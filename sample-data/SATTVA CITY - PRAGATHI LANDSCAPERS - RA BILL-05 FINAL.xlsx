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defaultThemeVersion="166925"/>
  <mc:AlternateContent xmlns:mc="http://schemas.openxmlformats.org/markup-compatibility/2006">
    <mc:Choice Requires="x15">
      <x15ac:absPath xmlns:x15ac="http://schemas.microsoft.com/office/spreadsheetml/2010/11/ac" url="D:\PRAGATHI\RUDRESH\Sattva City\RA BILL-05 SUBMISSION COPY\"/>
    </mc:Choice>
  </mc:AlternateContent>
  <xr:revisionPtr revIDLastSave="0" documentId="13_ncr:1_{7CD0B733-703D-41BF-BCE4-9E7217302D7F}" xr6:coauthVersionLast="47" xr6:coauthVersionMax="47" xr10:uidLastSave="{00000000-0000-0000-0000-000000000000}"/>
  <bookViews>
    <workbookView xWindow="-120" yWindow="-120" windowWidth="29040" windowHeight="15720" tabRatio="885" activeTab="12" xr2:uid="{00000000-000D-0000-FFFF-FFFF00000000}"/>
  </bookViews>
  <sheets>
    <sheet name="Bill Tracker" sheetId="16" r:id="rId1"/>
    <sheet name="Checklist" sheetId="17" r:id="rId2"/>
    <sheet name="PRAG SUMMURY " sheetId="24" state="hidden" r:id="rId3"/>
    <sheet name="PRAG SUM" sheetId="21" state="hidden" r:id="rId4"/>
    <sheet name="PRAG SUMMURY" sheetId="25" r:id="rId5"/>
    <sheet name="Abstract " sheetId="19" r:id="rId6"/>
    <sheet name="NT MEAS" sheetId="26" r:id="rId7"/>
    <sheet name="M BOOK" sheetId="4" r:id="rId8"/>
    <sheet name="BBS" sheetId="15" r:id="rId9"/>
    <sheet name="DC S " sheetId="27" r:id="rId10"/>
    <sheet name="NT" sheetId="14" state="hidden" r:id="rId11"/>
    <sheet name="DCS" sheetId="11" state="hidden" r:id="rId12"/>
    <sheet name="ISSUE DETAILS" sheetId="28" r:id="rId13"/>
    <sheet name="RECON" sheetId="29" r:id="rId14"/>
    <sheet name="RLS" sheetId="12" r:id="rId15"/>
    <sheet name="ISSUE BACKUP" sheetId="7" state="hidden" r:id="rId16"/>
    <sheet name="Recovery details" sheetId="13" r:id="rId17"/>
    <sheet name="Hold Amount Details" sheetId="22" r:id="rId18"/>
    <sheet name="Pragathi RMC Details" sheetId="23" r:id="rId19"/>
  </sheets>
  <externalReferences>
    <externalReference r:id="rId20"/>
    <externalReference r:id="rId21"/>
    <externalReference r:id="rId22"/>
  </externalReferences>
  <definedNames>
    <definedName nam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hidden="1">#REF!</definedName>
    <definedName name="\0">#REF!</definedName>
    <definedName name="\1">#REF!</definedName>
    <definedName name="\122" hidden="1">#REF!</definedName>
    <definedName name="\123" hidden="1">#REF!</definedName>
    <definedName name="\1234" hidden="1">#REF!</definedName>
    <definedName name="\12345" hidden="1">#REF!</definedName>
    <definedName name="\a">#N/A</definedName>
    <definedName name="\b">#N/A</definedName>
    <definedName name="\C">#REF!</definedName>
    <definedName name="\l">#REF!</definedName>
    <definedName name="\m">#REF!</definedName>
    <definedName name="\n">#REF!</definedName>
    <definedName name="\p">#REF!</definedName>
    <definedName name="\r">#REF!</definedName>
    <definedName name="\S">#REF!</definedName>
    <definedName name="\t">#REF!</definedName>
    <definedName name="\x">#REF!</definedName>
    <definedName name="_" hidden="1">#REF!</definedName>
    <definedName name="_??"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 hidden="1">{#N/A,#N/A,TRUE,"1? ????";#N/A,#N/A,TRUE,"1-2? ?????";#N/A,#N/A,TRUE,"2? ??";#N/A,#N/A,TRUE,"2??? ????";#N/A,#N/A,TRUE,"3(1)? ????";#N/A,#N/A,TRUE,"??????";#N/A,#N/A,TRUE,"3(1)?7 ????";#N/A,#N/A,TRUE,"5? ???";#N/A,#N/A,TRUE,"5?2 ???(?)";#N/A,#N/A,TRUE,"6? ????";#N/A,#N/A,TRUE,"6? ??(?)";#N/A,#N/A,TRUE,"6? ??(?)";#N/A,#N/A,TRUE,"????";#N/A,#N/A,TRUE,"6-6(3)? ??(??)";#N/A,#N/A,TRUE,"9? ???(?)";#N/A,#N/A,TRUE,"9? ???(?)";#N/A,#N/A,TRUE,"10(3)? ????";#N/A,#N/A,TRUE,"10(4)? ????"}</definedName>
    <definedName name="_????" hidden="1">{#N/A,#N/A,TRUE,"1? ????";#N/A,#N/A,TRUE,"1-2? ?????";#N/A,#N/A,TRUE,"2? ??";#N/A,#N/A,TRUE,"2??? ????";#N/A,#N/A,TRUE,"3(1)? ????";#N/A,#N/A,TRUE,"??????";#N/A,#N/A,TRUE,"3(1)?7 ????";#N/A,#N/A,TRUE,"5? ???";#N/A,#N/A,TRUE,"5?2 ???(?)";#N/A,#N/A,TRUE,"6? ????";#N/A,#N/A,TRUE,"6? ??(?)";#N/A,#N/A,TRUE,"6? ??(?)";#N/A,#N/A,TRUE,"????";#N/A,#N/A,TRUE,"6-6(3)? ??(??)";#N/A,#N/A,TRUE,"9? ???(?)";#N/A,#N/A,TRUE,"9? ???(?)";#N/A,#N/A,TRUE,"10(3)? ????";#N/A,#N/A,TRUE,"10(4)? ????"}</definedName>
    <definedName name="_????2" hidden="1">{#N/A,#N/A,TRUE,"1? ????";#N/A,#N/A,TRUE,"1-2? ?????";#N/A,#N/A,TRUE,"2? ??";#N/A,#N/A,TRUE,"2??? ????";#N/A,#N/A,TRUE,"3(1)? ????";#N/A,#N/A,TRUE,"??????";#N/A,#N/A,TRUE,"3(1)?7 ????";#N/A,#N/A,TRUE,"5? ???";#N/A,#N/A,TRUE,"5?2 ???(?)";#N/A,#N/A,TRUE,"6? ????";#N/A,#N/A,TRUE,"6? ??(?)";#N/A,#N/A,TRUE,"6? ??(?)";#N/A,#N/A,TRUE,"????";#N/A,#N/A,TRUE,"6-6(3)? ??(??)";#N/A,#N/A,TRUE,"9? ???(?)";#N/A,#N/A,TRUE,"9? ???(?)";#N/A,#N/A,TRUE,"10(3)? ????";#N/A,#N/A,TRUE,"10(4)? ????"}</definedName>
    <definedName name="_????8"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 hidden="1">{#N/A,#N/A,TRUE,"1? ????";#N/A,#N/A,TRUE,"1-2? ?????";#N/A,#N/A,TRUE,"2? ??";#N/A,#N/A,TRUE,"2??? ????";#N/A,#N/A,TRUE,"3(1)? ????";#N/A,#N/A,TRUE,"??????";#N/A,#N/A,TRUE,"3(1)?7 ????";#N/A,#N/A,TRUE,"5? ???";#N/A,#N/A,TRUE,"5?2 ???(?)";#N/A,#N/A,TRUE,"6? ????";#N/A,#N/A,TRUE,"6? ??(?)";#N/A,#N/A,TRUE,"6? ??(?)";#N/A,#N/A,TRUE,"????";#N/A,#N/A,TRUE,"6-6(3)? ??(??)";#N/A,#N/A,TRUE,"9? ???(?)";#N/A,#N/A,TRUE,"9? ???(?)";#N/A,#N/A,TRUE,"10(3)? ????";#N/A,#N/A,TRUE,"10(4)? ????"}</definedName>
    <definedName name="_\wdr">#REF!</definedName>
    <definedName name="___________________________________hp10" hidden="1">{#N/A,#N/A,TRUE,"Front";#N/A,#N/A,TRUE,"Simple Letter";#N/A,#N/A,TRUE,"Inside";#N/A,#N/A,TRUE,"Contents";#N/A,#N/A,TRUE,"Basis";#N/A,#N/A,TRUE,"Inclusions";#N/A,#N/A,TRUE,"Exclusions";#N/A,#N/A,TRUE,"Areas";#N/A,#N/A,TRUE,"Summary";#N/A,#N/A,TRUE,"Detail"}</definedName>
    <definedName name="_________________________________hp1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hp10" hidden="1">{#N/A,#N/A,TRUE,"Front";#N/A,#N/A,TRUE,"Simple Letter";#N/A,#N/A,TRUE,"Inside";#N/A,#N/A,TRUE,"Contents";#N/A,#N/A,TRUE,"Basis";#N/A,#N/A,TRUE,"Inclusions";#N/A,#N/A,TRUE,"Exclusions";#N/A,#N/A,TRUE,"Areas";#N/A,#N/A,TRUE,"Summary";#N/A,#N/A,TRUE,"Detail"}</definedName>
    <definedName name="______________________________KC139">#REF!</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KC139">#REF!</definedName>
    <definedName name="____________________________hp10" hidden="1">{#N/A,#N/A,TRUE,"Front";#N/A,#N/A,TRUE,"Simple Letter";#N/A,#N/A,TRUE,"Inside";#N/A,#N/A,TRUE,"Contents";#N/A,#N/A,TRUE,"Basis";#N/A,#N/A,TRUE,"Inclusions";#N/A,#N/A,TRUE,"Exclusions";#N/A,#N/A,TRUE,"Areas";#N/A,#N/A,TRUE,"Summary";#N/A,#N/A,TRUE,"Detail"}</definedName>
    <definedName name="____________________________KC139">#REF!</definedName>
    <definedName name="____________________________kp1"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KC139">#REF!</definedName>
    <definedName name="___________________________kp1" hidden="1">{#N/A,#N/A,TRUE,"Front";#N/A,#N/A,TRUE,"Simple Letter";#N/A,#N/A,TRUE,"Inside";#N/A,#N/A,TRUE,"Contents";#N/A,#N/A,TRUE,"Basis";#N/A,#N/A,TRUE,"Inclusions";#N/A,#N/A,TRUE,"Exclusions";#N/A,#N/A,TRUE,"Areas";#N/A,#N/A,TRUE,"Summary";#N/A,#N/A,TRUE,"Detail"}</definedName>
    <definedName name="__________________________hp10" hidden="1">{#N/A,#N/A,TRUE,"Front";#N/A,#N/A,TRUE,"Simple Letter";#N/A,#N/A,TRUE,"Inside";#N/A,#N/A,TRUE,"Contents";#N/A,#N/A,TRUE,"Basis";#N/A,#N/A,TRUE,"Inclusions";#N/A,#N/A,TRUE,"Exclusions";#N/A,#N/A,TRUE,"Areas";#N/A,#N/A,TRUE,"Summary";#N/A,#N/A,TRUE,"Detail"}</definedName>
    <definedName name="__________________________KC139">#REF!</definedName>
    <definedName name="__________________________kp1"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KC139">#REF!</definedName>
    <definedName name="________________________hp10" hidden="1">{#N/A,#N/A,TRUE,"Front";#N/A,#N/A,TRUE,"Simple Letter";#N/A,#N/A,TRUE,"Inside";#N/A,#N/A,TRUE,"Contents";#N/A,#N/A,TRUE,"Basis";#N/A,#N/A,TRUE,"Inclusions";#N/A,#N/A,TRUE,"Exclusions";#N/A,#N/A,TRUE,"Areas";#N/A,#N/A,TRUE,"Summary";#N/A,#N/A,TRUE,"Detail"}</definedName>
    <definedName name="________________________KC139">#REF!</definedName>
    <definedName name="________________________kp1" hidden="1">{#N/A,#N/A,TRUE,"Front";#N/A,#N/A,TRUE,"Simple Letter";#N/A,#N/A,TRUE,"Inside";#N/A,#N/A,TRUE,"Contents";#N/A,#N/A,TRUE,"Basis";#N/A,#N/A,TRUE,"Inclusions";#N/A,#N/A,TRUE,"Exclusions";#N/A,#N/A,TRUE,"Areas";#N/A,#N/A,TRUE,"Summary";#N/A,#N/A,TRUE,"Detail"}</definedName>
    <definedName name="________________________pqr1">#REF!</definedName>
    <definedName name="________________________pqr2">#REF!</definedName>
    <definedName name="_______________________hp10" hidden="1">{#N/A,#N/A,TRUE,"Front";#N/A,#N/A,TRUE,"Simple Letter";#N/A,#N/A,TRUE,"Inside";#N/A,#N/A,TRUE,"Contents";#N/A,#N/A,TRUE,"Basis";#N/A,#N/A,TRUE,"Inclusions";#N/A,#N/A,TRUE,"Exclusions";#N/A,#N/A,TRUE,"Areas";#N/A,#N/A,TRUE,"Summary";#N/A,#N/A,TRUE,"Detail"}</definedName>
    <definedName name="_______________________KC139">#REF!</definedName>
    <definedName name="_______________________pqr1">#REF!</definedName>
    <definedName name="_______________________pqr2">#REF!</definedName>
    <definedName name="______________________hp10" hidden="1">{#N/A,#N/A,TRUE,"Front";#N/A,#N/A,TRUE,"Simple Letter";#N/A,#N/A,TRUE,"Inside";#N/A,#N/A,TRUE,"Contents";#N/A,#N/A,TRUE,"Basis";#N/A,#N/A,TRUE,"Inclusions";#N/A,#N/A,TRUE,"Exclusions";#N/A,#N/A,TRUE,"Areas";#N/A,#N/A,TRUE,"Summary";#N/A,#N/A,TRUE,"Detail"}</definedName>
    <definedName name="______________________KC139">#REF!</definedName>
    <definedName name="______________________kp1" hidden="1">{#N/A,#N/A,TRUE,"Front";#N/A,#N/A,TRUE,"Simple Letter";#N/A,#N/A,TRUE,"Inside";#N/A,#N/A,TRUE,"Contents";#N/A,#N/A,TRUE,"Basis";#N/A,#N/A,TRUE,"Inclusions";#N/A,#N/A,TRUE,"Exclusions";#N/A,#N/A,TRUE,"Areas";#N/A,#N/A,TRUE,"Summary";#N/A,#N/A,TRUE,"Detail"}</definedName>
    <definedName name="______________________pqr1">#REF!</definedName>
    <definedName name="______________________pqr2">#REF!</definedName>
    <definedName name="_____________________hp10" hidden="1">{#N/A,#N/A,TRUE,"Front";#N/A,#N/A,TRUE,"Simple Letter";#N/A,#N/A,TRUE,"Inside";#N/A,#N/A,TRUE,"Contents";#N/A,#N/A,TRUE,"Basis";#N/A,#N/A,TRUE,"Inclusions";#N/A,#N/A,TRUE,"Exclusions";#N/A,#N/A,TRUE,"Areas";#N/A,#N/A,TRUE,"Summary";#N/A,#N/A,TRUE,"Detail"}</definedName>
    <definedName name="_____________________KC139">#REF!</definedName>
    <definedName name="_____________________kp1" hidden="1">{#N/A,#N/A,TRUE,"Front";#N/A,#N/A,TRUE,"Simple Letter";#N/A,#N/A,TRUE,"Inside";#N/A,#N/A,TRUE,"Contents";#N/A,#N/A,TRUE,"Basis";#N/A,#N/A,TRUE,"Inclusions";#N/A,#N/A,TRUE,"Exclusions";#N/A,#N/A,TRUE,"Areas";#N/A,#N/A,TRUE,"Summary";#N/A,#N/A,TRUE,"Detail"}</definedName>
    <definedName name="_____________________pqr1">#REF!</definedName>
    <definedName name="_____________________pqr2">#REF!</definedName>
    <definedName name="____________________hp10" hidden="1">{#N/A,#N/A,TRUE,"Front";#N/A,#N/A,TRUE,"Simple Letter";#N/A,#N/A,TRUE,"Inside";#N/A,#N/A,TRUE,"Contents";#N/A,#N/A,TRUE,"Basis";#N/A,#N/A,TRUE,"Inclusions";#N/A,#N/A,TRUE,"Exclusions";#N/A,#N/A,TRUE,"Areas";#N/A,#N/A,TRUE,"Summary";#N/A,#N/A,TRUE,"Detail"}</definedName>
    <definedName name="____________________KC139">#REF!</definedName>
    <definedName name="____________________pqr1">#REF!</definedName>
    <definedName name="____________________pqr2">#REF!</definedName>
    <definedName name="___________________hp10" hidden="1">{#N/A,#N/A,TRUE,"Front";#N/A,#N/A,TRUE,"Simple Letter";#N/A,#N/A,TRUE,"Inside";#N/A,#N/A,TRUE,"Contents";#N/A,#N/A,TRUE,"Basis";#N/A,#N/A,TRUE,"Inclusions";#N/A,#N/A,TRUE,"Exclusions";#N/A,#N/A,TRUE,"Areas";#N/A,#N/A,TRUE,"Summary";#N/A,#N/A,TRUE,"Detail"}</definedName>
    <definedName name="___________________KC139">#REF!</definedName>
    <definedName name="___________________kp1" hidden="1">{#N/A,#N/A,TRUE,"Front";#N/A,#N/A,TRUE,"Simple Letter";#N/A,#N/A,TRUE,"Inside";#N/A,#N/A,TRUE,"Contents";#N/A,#N/A,TRUE,"Basis";#N/A,#N/A,TRUE,"Inclusions";#N/A,#N/A,TRUE,"Exclusions";#N/A,#N/A,TRUE,"Areas";#N/A,#N/A,TRUE,"Summary";#N/A,#N/A,TRUE,"Detail"}</definedName>
    <definedName name="__________________A65539">#REF!</definedName>
    <definedName name="__________________can435">43.3</definedName>
    <definedName name="__________________hp10" hidden="1">{#N/A,#N/A,TRUE,"Front";#N/A,#N/A,TRUE,"Simple Letter";#N/A,#N/A,TRUE,"Inside";#N/A,#N/A,TRUE,"Contents";#N/A,#N/A,TRUE,"Basis";#N/A,#N/A,TRUE,"Inclusions";#N/A,#N/A,TRUE,"Exclusions";#N/A,#N/A,TRUE,"Areas";#N/A,#N/A,TRUE,"Summary";#N/A,#N/A,TRUE,"Detail"}</definedName>
    <definedName name="__________________KC139">#REF!</definedName>
    <definedName name="__________________kp1" hidden="1">{#N/A,#N/A,TRUE,"Front";#N/A,#N/A,TRUE,"Simple Letter";#N/A,#N/A,TRUE,"Inside";#N/A,#N/A,TRUE,"Contents";#N/A,#N/A,TRUE,"Basis";#N/A,#N/A,TRUE,"Inclusions";#N/A,#N/A,TRUE,"Exclusions";#N/A,#N/A,TRUE,"Areas";#N/A,#N/A,TRUE,"Summary";#N/A,#N/A,TRUE,"Detail"}</definedName>
    <definedName name="__________________pqr1">#REF!</definedName>
    <definedName name="__________________pqr2">#REF!</definedName>
    <definedName name="_________________can435">43.3</definedName>
    <definedName name="_________________cat12"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KC139">#REF!</definedName>
    <definedName name="_________________kp1" hidden="1">{#N/A,#N/A,TRUE,"Front";#N/A,#N/A,TRUE,"Simple Letter";#N/A,#N/A,TRUE,"Inside";#N/A,#N/A,TRUE,"Contents";#N/A,#N/A,TRUE,"Basis";#N/A,#N/A,TRUE,"Inclusions";#N/A,#N/A,TRUE,"Exclusions";#N/A,#N/A,TRUE,"Areas";#N/A,#N/A,TRUE,"Summary";#N/A,#N/A,TRUE,"Detail"}</definedName>
    <definedName name="_________________pqr1">#REF!</definedName>
    <definedName name="_________________pqr2">#REF!</definedName>
    <definedName name="________________can435">43.3</definedName>
    <definedName name="________________cat12"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KC139">#REF!</definedName>
    <definedName name="________________kp1" hidden="1">{#N/A,#N/A,TRUE,"Front";#N/A,#N/A,TRUE,"Simple Letter";#N/A,#N/A,TRUE,"Inside";#N/A,#N/A,TRUE,"Contents";#N/A,#N/A,TRUE,"Basis";#N/A,#N/A,TRUE,"Inclusions";#N/A,#N/A,TRUE,"Exclusions";#N/A,#N/A,TRUE,"Areas";#N/A,#N/A,TRUE,"Summary";#N/A,#N/A,TRUE,"Detail"}</definedName>
    <definedName name="________________pqr1">#REF!</definedName>
    <definedName name="________________pqr2">#REF!</definedName>
    <definedName name="________________sdb2">#REF!</definedName>
    <definedName name="_______________can430">40.73</definedName>
    <definedName name="_______________can435">43.3</definedName>
    <definedName name="_______________cat12"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KC139">#REF!</definedName>
    <definedName name="_______________kp1" hidden="1">{#N/A,#N/A,TRUE,"Front";#N/A,#N/A,TRUE,"Simple Letter";#N/A,#N/A,TRUE,"Inside";#N/A,#N/A,TRUE,"Contents";#N/A,#N/A,TRUE,"Basis";#N/A,#N/A,TRUE,"Inclusions";#N/A,#N/A,TRUE,"Exclusions";#N/A,#N/A,TRUE,"Areas";#N/A,#N/A,TRUE,"Summary";#N/A,#N/A,TRUE,"Detail"}</definedName>
    <definedName name="_______________pqr1">#REF!</definedName>
    <definedName name="_______________pqr2">#REF!</definedName>
    <definedName name="_______________sdb2">#REF!</definedName>
    <definedName name="______________can430">40.73</definedName>
    <definedName name="______________can435">43.3</definedName>
    <definedName name="______________cat12"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KC139">#REF!</definedName>
    <definedName name="______________kp1" hidden="1">{#N/A,#N/A,TRUE,"Front";#N/A,#N/A,TRUE,"Simple Letter";#N/A,#N/A,TRUE,"Inside";#N/A,#N/A,TRUE,"Contents";#N/A,#N/A,TRUE,"Basis";#N/A,#N/A,TRUE,"Inclusions";#N/A,#N/A,TRUE,"Exclusions";#N/A,#N/A,TRUE,"Areas";#N/A,#N/A,TRUE,"Summary";#N/A,#N/A,TRUE,"Detail"}</definedName>
    <definedName name="______________pqr1">#REF!</definedName>
    <definedName name="______________pqr2">#REF!</definedName>
    <definedName name="______________S1" hidden="1">{#N/A,#N/A,TRUE,"Front";#N/A,#N/A,TRUE,"Simple Letter";#N/A,#N/A,TRUE,"Inside";#N/A,#N/A,TRUE,"Contents";#N/A,#N/A,TRUE,"Basis";#N/A,#N/A,TRUE,"Inclusions";#N/A,#N/A,TRUE,"Exclusions";#N/A,#N/A,TRUE,"Areas";#N/A,#N/A,TRUE,"Summary";#N/A,#N/A,TRUE,"Detail"}</definedName>
    <definedName name="______________sdb2">#REF!</definedName>
    <definedName name="______________wrn1" hidden="1">{#N/A,#N/A,FALSE,"Kalk"}</definedName>
    <definedName name="______________wrn2" hidden="1">{"Kalk_druck",#N/A,FALSE,"Kalk";#N/A,#N/A,FALSE,"Risiken";"AllgKost_Druck",#N/A,FALSE,"AllgKost";"KompKost_Druck",#N/A,FALSE,"KompKost"}</definedName>
    <definedName name="______________wrn3" hidden="1">{#N/A,#N/A,FALSE,"Kalk"}</definedName>
    <definedName name="_____________can430">40.73</definedName>
    <definedName name="_____________can435">43.3</definedName>
    <definedName name="_____________cat12"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KC139">#REF!</definedName>
    <definedName name="_____________kp1" hidden="1">{#N/A,#N/A,TRUE,"Front";#N/A,#N/A,TRUE,"Simple Letter";#N/A,#N/A,TRUE,"Inside";#N/A,#N/A,TRUE,"Contents";#N/A,#N/A,TRUE,"Basis";#N/A,#N/A,TRUE,"Inclusions";#N/A,#N/A,TRUE,"Exclusions";#N/A,#N/A,TRUE,"Areas";#N/A,#N/A,TRUE,"Summary";#N/A,#N/A,TRUE,"Detail"}</definedName>
    <definedName name="_____________pqr1">#REF!</definedName>
    <definedName name="_____________pqr2">#REF!</definedName>
    <definedName name="_____________S1" hidden="1">{#N/A,#N/A,TRUE,"Front";#N/A,#N/A,TRUE,"Simple Letter";#N/A,#N/A,TRUE,"Inside";#N/A,#N/A,TRUE,"Contents";#N/A,#N/A,TRUE,"Basis";#N/A,#N/A,TRUE,"Inclusions";#N/A,#N/A,TRUE,"Exclusions";#N/A,#N/A,TRUE,"Areas";#N/A,#N/A,TRUE,"Summary";#N/A,#N/A,TRUE,"Detail"}</definedName>
    <definedName name="_____________sdb2">#REF!</definedName>
    <definedName name="_____________wrn1" hidden="1">{#N/A,#N/A,FALSE,"Kalk"}</definedName>
    <definedName name="_____________wrn2" hidden="1">{"Kalk_druck",#N/A,FALSE,"Kalk";#N/A,#N/A,FALSE,"Risiken";"AllgKost_Druck",#N/A,FALSE,"AllgKost";"KompKost_Druck",#N/A,FALSE,"KompKost"}</definedName>
    <definedName name="_____________wrn3" hidden="1">{#N/A,#N/A,FALSE,"Kalk"}</definedName>
    <definedName name="____________can430">40.73</definedName>
    <definedName name="____________can435">43.3</definedName>
    <definedName name="____________cat12" hidden="1">{#N/A,#N/A,TRUE,"Front";#N/A,#N/A,TRUE,"Simple Letter";#N/A,#N/A,TRUE,"Inside";#N/A,#N/A,TRUE,"Contents";#N/A,#N/A,TRUE,"Basis";#N/A,#N/A,TRUE,"Inclusions";#N/A,#N/A,TRUE,"Exclusions";#N/A,#N/A,TRUE,"Areas";#N/A,#N/A,TRUE,"Summary";#N/A,#N/A,TRUE,"Detail"}</definedName>
    <definedName name="____________g2811">#REF!</definedName>
    <definedName name="____________hp10" localSheetId="1"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KC139">#REF!</definedName>
    <definedName name="____________kp1" hidden="1">{#N/A,#N/A,TRUE,"Front";#N/A,#N/A,TRUE,"Simple Letter";#N/A,#N/A,TRUE,"Inside";#N/A,#N/A,TRUE,"Contents";#N/A,#N/A,TRUE,"Basis";#N/A,#N/A,TRUE,"Inclusions";#N/A,#N/A,TRUE,"Exclusions";#N/A,#N/A,TRUE,"Areas";#N/A,#N/A,TRUE,"Summary";#N/A,#N/A,TRUE,"Detail"}</definedName>
    <definedName name="____________pqr1">#REF!</definedName>
    <definedName name="____________pqr2">#REF!</definedName>
    <definedName name="____________S1" hidden="1">{#N/A,#N/A,TRUE,"Front";#N/A,#N/A,TRUE,"Simple Letter";#N/A,#N/A,TRUE,"Inside";#N/A,#N/A,TRUE,"Contents";#N/A,#N/A,TRUE,"Basis";#N/A,#N/A,TRUE,"Inclusions";#N/A,#N/A,TRUE,"Exclusions";#N/A,#N/A,TRUE,"Areas";#N/A,#N/A,TRUE,"Summary";#N/A,#N/A,TRUE,"Detail"}</definedName>
    <definedName name="____________sdb2">#REF!</definedName>
    <definedName name="____________wrn1" hidden="1">{#N/A,#N/A,FALSE,"Kalk"}</definedName>
    <definedName name="____________wrn2" hidden="1">{"Kalk_druck",#N/A,FALSE,"Kalk";#N/A,#N/A,FALSE,"Risiken";"AllgKost_Druck",#N/A,FALSE,"AllgKost";"KompKost_Druck",#N/A,FALSE,"KompKost"}</definedName>
    <definedName name="____________wrn3" hidden="1">{#N/A,#N/A,FALSE,"Kalk"}</definedName>
    <definedName name="___________aj1">#REF!</definedName>
    <definedName name="___________can430">40.73</definedName>
    <definedName name="___________can435">43.3</definedName>
    <definedName name="___________cat12" hidden="1">{#N/A,#N/A,TRUE,"Front";#N/A,#N/A,TRUE,"Simple Letter";#N/A,#N/A,TRUE,"Inside";#N/A,#N/A,TRUE,"Contents";#N/A,#N/A,TRUE,"Basis";#N/A,#N/A,TRUE,"Inclusions";#N/A,#N/A,TRUE,"Exclusions";#N/A,#N/A,TRUE,"Areas";#N/A,#N/A,TRUE,"Summary";#N/A,#N/A,TRUE,"Detail"}</definedName>
    <definedName name="___________g2811">#REF!</definedName>
    <definedName name="___________hp10" localSheetId="1"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iv66666">#REF!</definedName>
    <definedName name="___________KC139">#REF!</definedName>
    <definedName name="___________kp1" hidden="1">{#N/A,#N/A,TRUE,"Front";#N/A,#N/A,TRUE,"Simple Letter";#N/A,#N/A,TRUE,"Inside";#N/A,#N/A,TRUE,"Contents";#N/A,#N/A,TRUE,"Basis";#N/A,#N/A,TRUE,"Inclusions";#N/A,#N/A,TRUE,"Exclusions";#N/A,#N/A,TRUE,"Areas";#N/A,#N/A,TRUE,"Summary";#N/A,#N/A,TRUE,"Detail"}</definedName>
    <definedName name="___________pqr1">#REF!</definedName>
    <definedName name="___________pqr2">#REF!</definedName>
    <definedName name="___________S1" hidden="1">{#N/A,#N/A,TRUE,"Front";#N/A,#N/A,TRUE,"Simple Letter";#N/A,#N/A,TRUE,"Inside";#N/A,#N/A,TRUE,"Contents";#N/A,#N/A,TRUE,"Basis";#N/A,#N/A,TRUE,"Inclusions";#N/A,#N/A,TRUE,"Exclusions";#N/A,#N/A,TRUE,"Areas";#N/A,#N/A,TRUE,"Summary";#N/A,#N/A,TRUE,"Detail"}</definedName>
    <definedName name="___________sdb2">#REF!</definedName>
    <definedName name="___________wrn1" hidden="1">{#N/A,#N/A,FALSE,"Kalk"}</definedName>
    <definedName name="___________wrn2" hidden="1">{"Kalk_druck",#N/A,FALSE,"Kalk";#N/A,#N/A,FALSE,"Risiken";"AllgKost_Druck",#N/A,FALSE,"AllgKost";"KompKost_Druck",#N/A,FALSE,"KompKost"}</definedName>
    <definedName name="___________wrn3" hidden="1">{#N/A,#N/A,FALSE,"Kalk"}</definedName>
    <definedName name="__________aj1">#REF!</definedName>
    <definedName name="__________can430">40.73</definedName>
    <definedName name="__________can435">43.3</definedName>
    <definedName name="__________cat12" hidden="1">{#N/A,#N/A,TRUE,"Front";#N/A,#N/A,TRUE,"Simple Letter";#N/A,#N/A,TRUE,"Inside";#N/A,#N/A,TRUE,"Contents";#N/A,#N/A,TRUE,"Basis";#N/A,#N/A,TRUE,"Inclusions";#N/A,#N/A,TRUE,"Exclusions";#N/A,#N/A,TRUE,"Areas";#N/A,#N/A,TRUE,"Summary";#N/A,#N/A,TRUE,"Detail"}</definedName>
    <definedName name="__________hp10" localSheetId="1"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iv66666">#REF!</definedName>
    <definedName name="__________KC139">#REF!</definedName>
    <definedName name="__________kp1" hidden="1">{#N/A,#N/A,TRUE,"Front";#N/A,#N/A,TRUE,"Simple Letter";#N/A,#N/A,TRUE,"Inside";#N/A,#N/A,TRUE,"Contents";#N/A,#N/A,TRUE,"Basis";#N/A,#N/A,TRUE,"Inclusions";#N/A,#N/A,TRUE,"Exclusions";#N/A,#N/A,TRUE,"Areas";#N/A,#N/A,TRUE,"Summary";#N/A,#N/A,TRUE,"Detail"}</definedName>
    <definedName name="__________pqr1">#REF!</definedName>
    <definedName name="__________pqr2">#REF!</definedName>
    <definedName name="__________S1" hidden="1">{#N/A,#N/A,TRUE,"Front";#N/A,#N/A,TRUE,"Simple Letter";#N/A,#N/A,TRUE,"Inside";#N/A,#N/A,TRUE,"Contents";#N/A,#N/A,TRUE,"Basis";#N/A,#N/A,TRUE,"Inclusions";#N/A,#N/A,TRUE,"Exclusions";#N/A,#N/A,TRUE,"Areas";#N/A,#N/A,TRUE,"Summary";#N/A,#N/A,TRUE,"Detail"}</definedName>
    <definedName name="__________sdb2">#REF!</definedName>
    <definedName name="__________wrn1" hidden="1">{#N/A,#N/A,FALSE,"Kalk"}</definedName>
    <definedName name="__________wrn2" hidden="1">{"Kalk_druck",#N/A,FALSE,"Kalk";#N/A,#N/A,FALSE,"Risiken";"AllgKost_Druck",#N/A,FALSE,"AllgKost";"KompKost_Druck",#N/A,FALSE,"KompKost"}</definedName>
    <definedName name="__________wrn3" hidden="1">{#N/A,#N/A,FALSE,"Kalk"}</definedName>
    <definedName name="_________aj1">#REF!</definedName>
    <definedName name="_________bol1">#REF!</definedName>
    <definedName name="_________can430">40.73</definedName>
    <definedName name="_________can435">43.3</definedName>
    <definedName name="_________cat12" hidden="1">{#N/A,#N/A,TRUE,"Front";#N/A,#N/A,TRUE,"Simple Letter";#N/A,#N/A,TRUE,"Inside";#N/A,#N/A,TRUE,"Contents";#N/A,#N/A,TRUE,"Basis";#N/A,#N/A,TRUE,"Inclusions";#N/A,#N/A,TRUE,"Exclusions";#N/A,#N/A,TRUE,"Areas";#N/A,#N/A,TRUE,"Summary";#N/A,#N/A,TRUE,"Detail"}</definedName>
    <definedName name="_________f1">#REF!</definedName>
    <definedName name="_________g2811">#REF!</definedName>
    <definedName name="_________hp10" localSheetId="1"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iv66666">#REF!</definedName>
    <definedName name="_________KC139">#REF!</definedName>
    <definedName name="_________kp1" hidden="1">{#N/A,#N/A,TRUE,"Front";#N/A,#N/A,TRUE,"Simple Letter";#N/A,#N/A,TRUE,"Inside";#N/A,#N/A,TRUE,"Contents";#N/A,#N/A,TRUE,"Basis";#N/A,#N/A,TRUE,"Inclusions";#N/A,#N/A,TRUE,"Exclusions";#N/A,#N/A,TRUE,"Areas";#N/A,#N/A,TRUE,"Summary";#N/A,#N/A,TRUE,"Detail"}</definedName>
    <definedName name="_________lb1">#REF!</definedName>
    <definedName name="_________lb2">#REF!</definedName>
    <definedName name="_________mm1">#REF!</definedName>
    <definedName name="_________mm2">#REF!</definedName>
    <definedName name="_________mm3">#REF!</definedName>
    <definedName name="_________pqr1">#REF!</definedName>
    <definedName name="_________pqr2">#REF!</definedName>
    <definedName name="_________REM1">#REF!</definedName>
    <definedName name="_________REM2">#REF!</definedName>
    <definedName name="_________S1" hidden="1">{#N/A,#N/A,TRUE,"Front";#N/A,#N/A,TRUE,"Simple Letter";#N/A,#N/A,TRUE,"Inside";#N/A,#N/A,TRUE,"Contents";#N/A,#N/A,TRUE,"Basis";#N/A,#N/A,TRUE,"Inclusions";#N/A,#N/A,TRUE,"Exclusions";#N/A,#N/A,TRUE,"Areas";#N/A,#N/A,TRUE,"Summary";#N/A,#N/A,TRUE,"Detail"}</definedName>
    <definedName name="_________sdb2">#REF!</definedName>
    <definedName name="_________wrn1" hidden="1">{#N/A,#N/A,FALSE,"Kalk"}</definedName>
    <definedName name="_________wrn2" hidden="1">{"Kalk_druck",#N/A,FALSE,"Kalk";#N/A,#N/A,FALSE,"Risiken";"AllgKost_Druck",#N/A,FALSE,"AllgKost";"KompKost_Druck",#N/A,FALSE,"KompKost"}</definedName>
    <definedName name="_________wrn3" hidden="1">{#N/A,#N/A,FALSE,"Kalk"}</definedName>
    <definedName name="________A65539">#REF!</definedName>
    <definedName name="________aj1">#REF!</definedName>
    <definedName name="________bol1">#REF!</definedName>
    <definedName name="________can430">40.73</definedName>
    <definedName name="________can435">43.3</definedName>
    <definedName name="________cat12" hidden="1">{#N/A,#N/A,TRUE,"Front";#N/A,#N/A,TRUE,"Simple Letter";#N/A,#N/A,TRUE,"Inside";#N/A,#N/A,TRUE,"Contents";#N/A,#N/A,TRUE,"Basis";#N/A,#N/A,TRUE,"Inclusions";#N/A,#N/A,TRUE,"Exclusions";#N/A,#N/A,TRUE,"Areas";#N/A,#N/A,TRUE,"Summary";#N/A,#N/A,TRUE,"Detail"}</definedName>
    <definedName name="________DIA1">#REF!</definedName>
    <definedName name="________DIA2">#REF!</definedName>
    <definedName name="________f1">#REF!</definedName>
    <definedName name="________g2811">#REF!</definedName>
    <definedName name="________hp10" localSheetId="1"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iv66666">#REF!</definedName>
    <definedName name="________KC139">#REF!</definedName>
    <definedName name="________kp1" hidden="1">{#N/A,#N/A,TRUE,"Front";#N/A,#N/A,TRUE,"Simple Letter";#N/A,#N/A,TRUE,"Inside";#N/A,#N/A,TRUE,"Contents";#N/A,#N/A,TRUE,"Basis";#N/A,#N/A,TRUE,"Inclusions";#N/A,#N/A,TRUE,"Exclusions";#N/A,#N/A,TRUE,"Areas";#N/A,#N/A,TRUE,"Summary";#N/A,#N/A,TRUE,"Detail"}</definedName>
    <definedName name="________lb1">#REF!</definedName>
    <definedName name="________lb2">#REF!</definedName>
    <definedName name="________mm1">#REF!</definedName>
    <definedName name="________mm2">#REF!</definedName>
    <definedName name="________mm3">#REF!</definedName>
    <definedName name="________pqr1">#REF!</definedName>
    <definedName name="________pqr2">#REF!</definedName>
    <definedName name="________S1" hidden="1">{#N/A,#N/A,TRUE,"Front";#N/A,#N/A,TRUE,"Simple Letter";#N/A,#N/A,TRUE,"Inside";#N/A,#N/A,TRUE,"Contents";#N/A,#N/A,TRUE,"Basis";#N/A,#N/A,TRUE,"Inclusions";#N/A,#N/A,TRUE,"Exclusions";#N/A,#N/A,TRUE,"Areas";#N/A,#N/A,TRUE,"Summary";#N/A,#N/A,TRUE,"Detail"}</definedName>
    <definedName name="________sdb2">#REF!</definedName>
    <definedName name="________wrn1" hidden="1">{#N/A,#N/A,FALSE,"Kalk"}</definedName>
    <definedName name="________wrn2" hidden="1">{"Kalk_druck",#N/A,FALSE,"Kalk";#N/A,#N/A,FALSE,"Risiken";"AllgKost_Druck",#N/A,FALSE,"AllgKost";"KompKost_Druck",#N/A,FALSE,"KompKost"}</definedName>
    <definedName name="________wrn3" hidden="1">{#N/A,#N/A,FALSE,"Kalk"}</definedName>
    <definedName name="_______aj1">#REF!</definedName>
    <definedName name="_______b1">#N/A</definedName>
    <definedName name="_______bol1">#REF!</definedName>
    <definedName name="_______can430">40.73</definedName>
    <definedName name="_______can435">43.3</definedName>
    <definedName name="_______cat12" hidden="1">{#N/A,#N/A,TRUE,"Front";#N/A,#N/A,TRUE,"Simple Letter";#N/A,#N/A,TRUE,"Inside";#N/A,#N/A,TRUE,"Contents";#N/A,#N/A,TRUE,"Basis";#N/A,#N/A,TRUE,"Inclusions";#N/A,#N/A,TRUE,"Exclusions";#N/A,#N/A,TRUE,"Areas";#N/A,#N/A,TRUE,"Summary";#N/A,#N/A,TRUE,"Detail"}</definedName>
    <definedName name="_______DIA1">#REF!</definedName>
    <definedName name="_______DIA2">#REF!</definedName>
    <definedName name="_______f1">#REF!</definedName>
    <definedName name="_______g2811">#REF!</definedName>
    <definedName name="_______hp10" localSheetId="1"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iv66666">#REF!</definedName>
    <definedName name="_______KC139">#REF!</definedName>
    <definedName name="_______kp1" hidden="1">{#N/A,#N/A,TRUE,"Front";#N/A,#N/A,TRUE,"Simple Letter";#N/A,#N/A,TRUE,"Inside";#N/A,#N/A,TRUE,"Contents";#N/A,#N/A,TRUE,"Basis";#N/A,#N/A,TRUE,"Inclusions";#N/A,#N/A,TRUE,"Exclusions";#N/A,#N/A,TRUE,"Areas";#N/A,#N/A,TRUE,"Summary";#N/A,#N/A,TRUE,"Detail"}</definedName>
    <definedName name="_______lb1">#REF!</definedName>
    <definedName name="_______lb2">#REF!</definedName>
    <definedName name="_______loc1">#N/A</definedName>
    <definedName name="_______mm1">#REF!</definedName>
    <definedName name="_______mm2">#REF!</definedName>
    <definedName name="_______mm3">#REF!</definedName>
    <definedName name="_______pqr1">#REF!</definedName>
    <definedName name="_______pqr2">#REF!</definedName>
    <definedName name="_______S1" hidden="1">{#N/A,#N/A,TRUE,"Front";#N/A,#N/A,TRUE,"Simple Letter";#N/A,#N/A,TRUE,"Inside";#N/A,#N/A,TRUE,"Contents";#N/A,#N/A,TRUE,"Basis";#N/A,#N/A,TRUE,"Inclusions";#N/A,#N/A,TRUE,"Exclusions";#N/A,#N/A,TRUE,"Areas";#N/A,#N/A,TRUE,"Summary";#N/A,#N/A,TRUE,"Detail"}</definedName>
    <definedName name="_______sdb2">#REF!</definedName>
    <definedName name="_______wrn1" hidden="1">{#N/A,#N/A,FALSE,"Kalk"}</definedName>
    <definedName name="_______wrn2" hidden="1">{"Kalk_druck",#N/A,FALSE,"Kalk";#N/A,#N/A,FALSE,"Risiken";"AllgKost_Druck",#N/A,FALSE,"AllgKost";"KompKost_Druck",#N/A,FALSE,"KompKost"}</definedName>
    <definedName name="_______wrn3" hidden="1">{#N/A,#N/A,FALSE,"Kalk"}</definedName>
    <definedName name="_______ys1" hidden="1">{#N/A,#N/A,FALSE,"abs";#N/A,#N/A,FALSE,"Annex-I";#N/A,#N/A,FALSE,"Annex-II";#N/A,#N/A,FALSE,"Annex-III";#N/A,#N/A,FALSE,"Annex-IV";#N/A,#N/A,FALSE,"Annex-V";#N/A,#N/A,FALSE,"Annex-VI"}</definedName>
    <definedName name="______A65539">#REF!</definedName>
    <definedName name="______A655600">#REF!</definedName>
    <definedName name="______aj1">#REF!</definedName>
    <definedName name="______b1">#N/A</definedName>
    <definedName name="______bol1">#REF!</definedName>
    <definedName name="______can430">40.73</definedName>
    <definedName name="______can435">43.3</definedName>
    <definedName name="______cat12" hidden="1">{#N/A,#N/A,TRUE,"Front";#N/A,#N/A,TRUE,"Simple Letter";#N/A,#N/A,TRUE,"Inside";#N/A,#N/A,TRUE,"Contents";#N/A,#N/A,TRUE,"Basis";#N/A,#N/A,TRUE,"Inclusions";#N/A,#N/A,TRUE,"Exclusions";#N/A,#N/A,TRUE,"Areas";#N/A,#N/A,TRUE,"Summary";#N/A,#N/A,TRUE,"Detail"}</definedName>
    <definedName name="______DIA1">#REF!</definedName>
    <definedName name="______DIA2">#REF!</definedName>
    <definedName name="______f1">#REF!</definedName>
    <definedName name="______g2811">#REF!</definedName>
    <definedName name="______hp10" localSheetId="1"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DC2">#N/A</definedName>
    <definedName name="______idc3">#N/A</definedName>
    <definedName name="______iv66666">#REF!</definedName>
    <definedName name="______KC139">#REF!</definedName>
    <definedName name="______kp1" hidden="1">{#N/A,#N/A,TRUE,"Front";#N/A,#N/A,TRUE,"Simple Letter";#N/A,#N/A,TRUE,"Inside";#N/A,#N/A,TRUE,"Contents";#N/A,#N/A,TRUE,"Basis";#N/A,#N/A,TRUE,"Inclusions";#N/A,#N/A,TRUE,"Exclusions";#N/A,#N/A,TRUE,"Areas";#N/A,#N/A,TRUE,"Summary";#N/A,#N/A,TRUE,"Detail"}</definedName>
    <definedName name="______lb1">#REF!</definedName>
    <definedName name="______lb2">#REF!</definedName>
    <definedName name="______loc1">#N/A</definedName>
    <definedName name="______mm1">#REF!</definedName>
    <definedName name="______mm2">#REF!</definedName>
    <definedName name="______mm3">#REF!</definedName>
    <definedName name="______pqr1">#REF!</definedName>
    <definedName name="______pqr2">#REF!</definedName>
    <definedName name="______S1" hidden="1">{#N/A,#N/A,TRUE,"Front";#N/A,#N/A,TRUE,"Simple Letter";#N/A,#N/A,TRUE,"Inside";#N/A,#N/A,TRUE,"Contents";#N/A,#N/A,TRUE,"Basis";#N/A,#N/A,TRUE,"Inclusions";#N/A,#N/A,TRUE,"Exclusions";#N/A,#N/A,TRUE,"Areas";#N/A,#N/A,TRUE,"Summary";#N/A,#N/A,TRUE,"Detail"}</definedName>
    <definedName name="______sdb2">#REF!</definedName>
    <definedName name="______wrn1" hidden="1">{#N/A,#N/A,FALSE,"Kalk"}</definedName>
    <definedName name="______wrn2" hidden="1">{"Kalk_druck",#N/A,FALSE,"Kalk";#N/A,#N/A,FALSE,"Risiken";"AllgKost_Druck",#N/A,FALSE,"AllgKost";"KompKost_Druck",#N/A,FALSE,"KompKost"}</definedName>
    <definedName name="______wrn3" hidden="1">{#N/A,#N/A,FALSE,"Kalk"}</definedName>
    <definedName name="______xlnm.Print_Area_2">"'Stur-Detailed'!$A$1:$E$108"</definedName>
    <definedName name="______xlnm.Print_Area_3">"'Service - Low'!$A$1:$E$47"</definedName>
    <definedName name="______xlnm.Print_Area_4">"'Masonary &amp; Plastring'!$A$1:$E$73"</definedName>
    <definedName name="______xlnm.Print_Area_6">"'Interiors &amp; Softfurnishing'!$A$1:$E$19"</definedName>
    <definedName name="______xlnm.Print_Titles_2">"'Stur-Detailed'!$6:$6"</definedName>
    <definedName name="______xlnm.Print_Titles_4">"'Masonary &amp; Plastring'!$6:$6"</definedName>
    <definedName name="______xlnm.Print_Titles_6">"'Interiors &amp; Softfurnishing'!$6:$6"</definedName>
    <definedName name="______xlnm.Print_Titles_7">"'Windows &amp; Clading Works'!$6:$6"</definedName>
    <definedName name="______ys1" localSheetId="1" hidden="1">{#N/A,#N/A,FALSE,"abs";#N/A,#N/A,FALSE,"Annex-I";#N/A,#N/A,FALSE,"Annex-II";#N/A,#N/A,FALSE,"Annex-III";#N/A,#N/A,FALSE,"Annex-IV";#N/A,#N/A,FALSE,"Annex-V";#N/A,#N/A,FALSE,"Annex-VI"}</definedName>
    <definedName name="______ys1" hidden="1">{#N/A,#N/A,FALSE,"abs";#N/A,#N/A,FALSE,"Annex-I";#N/A,#N/A,FALSE,"Annex-II";#N/A,#N/A,FALSE,"Annex-III";#N/A,#N/A,FALSE,"Annex-IV";#N/A,#N/A,FALSE,"Annex-V";#N/A,#N/A,FALSE,"Annex-VI"}</definedName>
    <definedName name="_____A65539">#REF!</definedName>
    <definedName name="_____A655600">#REF!</definedName>
    <definedName name="_____aj1">#REF!</definedName>
    <definedName name="_____bol1">#REF!</definedName>
    <definedName name="_____can430">40.73</definedName>
    <definedName name="_____can435">43.3</definedName>
    <definedName name="_____cat12" hidden="1">{#N/A,#N/A,TRUE,"Front";#N/A,#N/A,TRUE,"Simple Letter";#N/A,#N/A,TRUE,"Inside";#N/A,#N/A,TRUE,"Contents";#N/A,#N/A,TRUE,"Basis";#N/A,#N/A,TRUE,"Inclusions";#N/A,#N/A,TRUE,"Exclusions";#N/A,#N/A,TRUE,"Areas";#N/A,#N/A,TRUE,"Summary";#N/A,#N/A,TRUE,"Detail"}</definedName>
    <definedName name="_____DIA1">#REF!</definedName>
    <definedName name="_____DIA2">#REF!</definedName>
    <definedName name="_____dim4">#REF!</definedName>
    <definedName name="_____f1">#REF!</definedName>
    <definedName name="_____g2811">#REF!</definedName>
    <definedName name="_____hp10" localSheetId="1"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v66666">#REF!</definedName>
    <definedName name="_____KC139">#REF!</definedName>
    <definedName name="_____kp1" hidden="1">{#N/A,#N/A,TRUE,"Front";#N/A,#N/A,TRUE,"Simple Letter";#N/A,#N/A,TRUE,"Inside";#N/A,#N/A,TRUE,"Contents";#N/A,#N/A,TRUE,"Basis";#N/A,#N/A,TRUE,"Inclusions";#N/A,#N/A,TRUE,"Exclusions";#N/A,#N/A,TRUE,"Areas";#N/A,#N/A,TRUE,"Summary";#N/A,#N/A,TRUE,"Detail"}</definedName>
    <definedName name="_____lb1">#REF!</definedName>
    <definedName name="_____lb2">#REF!</definedName>
    <definedName name="_____mm1">#REF!</definedName>
    <definedName name="_____mm2">#REF!</definedName>
    <definedName name="_____mm3">#REF!</definedName>
    <definedName name="_____pqr1">#REF!</definedName>
    <definedName name="_____pqr2">#REF!</definedName>
    <definedName name="_____RAB002" hidden="1">{#N/A,#N/A,TRUE,"Front";#N/A,#N/A,TRUE,"Simple Letter";#N/A,#N/A,TRUE,"Inside";#N/A,#N/A,TRUE,"Contents";#N/A,#N/A,TRUE,"Basis";#N/A,#N/A,TRUE,"Inclusions";#N/A,#N/A,TRUE,"Exclusions";#N/A,#N/A,TRUE,"Areas";#N/A,#N/A,TRUE,"Summary";#N/A,#N/A,TRUE,"Detail"}</definedName>
    <definedName name="_____rim4">#REF!</definedName>
    <definedName name="_____rm4">#REF!</definedName>
    <definedName name="_____S1" hidden="1">{#N/A,#N/A,TRUE,"Front";#N/A,#N/A,TRUE,"Simple Letter";#N/A,#N/A,TRUE,"Inside";#N/A,#N/A,TRUE,"Contents";#N/A,#N/A,TRUE,"Basis";#N/A,#N/A,TRUE,"Inclusions";#N/A,#N/A,TRUE,"Exclusions";#N/A,#N/A,TRUE,"Areas";#N/A,#N/A,TRUE,"Summary";#N/A,#N/A,TRUE,"Detail"}</definedName>
    <definedName name="_____sdb2">#REF!</definedName>
    <definedName name="_____sub20">#REF!</definedName>
    <definedName name="_____tem1" hidden="1">{#N/A,#N/A,TRUE,"Front";#N/A,#N/A,TRUE,"Simple Letter";#N/A,#N/A,TRUE,"Inside";#N/A,#N/A,TRUE,"Contents";#N/A,#N/A,TRUE,"Basis";#N/A,#N/A,TRUE,"Inclusions";#N/A,#N/A,TRUE,"Exclusions";#N/A,#N/A,TRUE,"Areas";#N/A,#N/A,TRUE,"Summary";#N/A,#N/A,TRUE,"Detail"}</definedName>
    <definedName name="_____wrn1" hidden="1">{#N/A,#N/A,FALSE,"Kalk"}</definedName>
    <definedName name="_____wrn2" hidden="1">{"Kalk_druck",#N/A,FALSE,"Kalk";#N/A,#N/A,FALSE,"Risiken";"AllgKost_Druck",#N/A,FALSE,"AllgKost";"KompKost_Druck",#N/A,FALSE,"KompKost"}</definedName>
    <definedName name="_____wrn3" hidden="1">{#N/A,#N/A,FALSE,"Kalk"}</definedName>
    <definedName name="_____xlnm.Print_Area_2">"'Stur-Detailed'!$A$1:$E$108"</definedName>
    <definedName name="_____xlnm.Print_Area_3">"'Service - Low'!$A$1:$E$47"</definedName>
    <definedName name="_____xlnm.Print_Area_4">"'Masonary &amp; Plastring'!$A$1:$E$73"</definedName>
    <definedName name="_____xlnm.Print_Area_6">"'Interiors &amp; Softfurnishing'!$A$1:$E$19"</definedName>
    <definedName name="_____xlnm.Print_Titles_2">"'Stur-Detailed'!$6:$6"</definedName>
    <definedName name="_____xlnm.Print_Titles_3">"'Service - Low'!$6:$6"</definedName>
    <definedName name="_____xlnm.Print_Titles_4">"'Masonary &amp; Plastring'!$6:$6"</definedName>
    <definedName name="_____xlnm.Print_Titles_6">"'Interiors &amp; Softfurnishing'!$6:$6"</definedName>
    <definedName name="_____xlnm.Print_Titles_7">"'Windows &amp; Clading Works'!$6:$6"</definedName>
    <definedName name="_____ys1" localSheetId="1" hidden="1">{#N/A,#N/A,FALSE,"abs";#N/A,#N/A,FALSE,"Annex-I";#N/A,#N/A,FALSE,"Annex-II";#N/A,#N/A,FALSE,"Annex-III";#N/A,#N/A,FALSE,"Annex-IV";#N/A,#N/A,FALSE,"Annex-V";#N/A,#N/A,FALSE,"Annex-VI"}</definedName>
    <definedName name="_____ys1" hidden="1">{#N/A,#N/A,FALSE,"abs";#N/A,#N/A,FALSE,"Annex-I";#N/A,#N/A,FALSE,"Annex-II";#N/A,#N/A,FALSE,"Annex-III";#N/A,#N/A,FALSE,"Annex-IV";#N/A,#N/A,FALSE,"Annex-V";#N/A,#N/A,FALSE,"Annex-VI"}</definedName>
    <definedName name="____A655600">#REF!</definedName>
    <definedName name="____A65800">#REF!</definedName>
    <definedName name="____A66000">#REF!</definedName>
    <definedName name="____A99999">#REF!</definedName>
    <definedName name="____aa1" hidden="1">{"'Bill No. 7'!$A$1:$G$32"}</definedName>
    <definedName name="____aj1">#REF!</definedName>
    <definedName name="____b111121">#REF!</definedName>
    <definedName name="____bb1" hidden="1">{"'Bill No. 7'!$A$1:$G$32"}</definedName>
    <definedName name="____bol1">#REF!</definedName>
    <definedName name="____can430">40.73</definedName>
    <definedName name="____can435">43.3</definedName>
    <definedName name="____cat12" hidden="1">{#N/A,#N/A,TRUE,"Front";#N/A,#N/A,TRUE,"Simple Letter";#N/A,#N/A,TRUE,"Inside";#N/A,#N/A,TRUE,"Contents";#N/A,#N/A,TRUE,"Basis";#N/A,#N/A,TRUE,"Inclusions";#N/A,#N/A,TRUE,"Exclusions";#N/A,#N/A,TRUE,"Areas";#N/A,#N/A,TRUE,"Summary";#N/A,#N/A,TRUE,"Detail"}</definedName>
    <definedName name="____d2" hidden="1">{#N/A,#N/A,FALSE,"mgtsum.XLS";#N/A,#N/A,FALSE,"CAPONE";#N/A,#N/A,FALSE,"CAPTWO";#N/A,#N/A,FALSE,"CAPTHREE"}</definedName>
    <definedName name="____DIA1">#REF!</definedName>
    <definedName name="____DIA2">#REF!</definedName>
    <definedName name="____dim4">#REF!</definedName>
    <definedName name="____exc1">#REF!</definedName>
    <definedName name="____exc11">#REF!</definedName>
    <definedName name="____exc2">#REF!</definedName>
    <definedName name="____EXC3">#REF!</definedName>
    <definedName name="____EXC4">#REF!</definedName>
    <definedName name="____f1">#REF!</definedName>
    <definedName name="____foo1">#REF!</definedName>
    <definedName name="____foo2">#REF!</definedName>
    <definedName name="____foo3">#REF!</definedName>
    <definedName name="____FOO4">#REF!</definedName>
    <definedName name="____g2811">#REF!</definedName>
    <definedName name="____hp10" localSheetId="1"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DC2">#N/A</definedName>
    <definedName name="____idc3">#N/A</definedName>
    <definedName name="____iv66666">#REF!</definedName>
    <definedName name="____K03">#REF!</definedName>
    <definedName name="____KC139">#REF!</definedName>
    <definedName name="____Ki1">#REF!</definedName>
    <definedName name="____Ki2">#REF!</definedName>
    <definedName name="____kp1" hidden="1">{#N/A,#N/A,TRUE,"Front";#N/A,#N/A,TRUE,"Simple Letter";#N/A,#N/A,TRUE,"Inside";#N/A,#N/A,TRUE,"Contents";#N/A,#N/A,TRUE,"Basis";#N/A,#N/A,TRUE,"Inclusions";#N/A,#N/A,TRUE,"Exclusions";#N/A,#N/A,TRUE,"Areas";#N/A,#N/A,TRUE,"Summary";#N/A,#N/A,TRUE,"Detail"}</definedName>
    <definedName name="____lb1">#REF!</definedName>
    <definedName name="____lb2">#REF!</definedName>
    <definedName name="____MAN1">#REF!</definedName>
    <definedName name="____mm1">#REF!</definedName>
    <definedName name="____mm2">#REF!</definedName>
    <definedName name="____mm3">#REF!</definedName>
    <definedName name="____MN1">#REF!</definedName>
    <definedName name="____ns1" hidden="1">{#N/A,#N/A,FALSE,"COVER1.XLS ";#N/A,#N/A,FALSE,"RACT1.XLS";#N/A,#N/A,FALSE,"RACT2.XLS";#N/A,#N/A,FALSE,"ECCMP";#N/A,#N/A,FALSE,"WELDER.XLS"}</definedName>
    <definedName name="____PB1">#REF!</definedName>
    <definedName name="____pcc1">#REF!</definedName>
    <definedName name="____pcc2">#REF!</definedName>
    <definedName name="____pcc3">#REF!</definedName>
    <definedName name="____PCC4">#REF!</definedName>
    <definedName name="____per1" hidden="1">#REF!</definedName>
    <definedName name="____per3" hidden="1">#REF!</definedName>
    <definedName name="____plb1">#REF!</definedName>
    <definedName name="____plb2">#REF!</definedName>
    <definedName name="____plb3">#REF!</definedName>
    <definedName name="____plb4">#REF!</definedName>
    <definedName name="____pqr1">#REF!</definedName>
    <definedName name="____pqr2">#REF!</definedName>
    <definedName name="____qqq1" hidden="1">#REF!</definedName>
    <definedName name="____qqq2" hidden="1">#REF!</definedName>
    <definedName name="____rim4">#REF!</definedName>
    <definedName name="____rm4">#REF!</definedName>
    <definedName name="____S1" hidden="1">{#N/A,#N/A,TRUE,"Front";#N/A,#N/A,TRUE,"Simple Letter";#N/A,#N/A,TRUE,"Inside";#N/A,#N/A,TRUE,"Contents";#N/A,#N/A,TRUE,"Basis";#N/A,#N/A,TRUE,"Inclusions";#N/A,#N/A,TRUE,"Exclusions";#N/A,#N/A,TRUE,"Areas";#N/A,#N/A,TRUE,"Summary";#N/A,#N/A,TRUE,"Detail"}</definedName>
    <definedName name="____sdb2">#REF!</definedName>
    <definedName name="____wrn1" hidden="1">{#N/A,#N/A,FALSE,"Kalk"}</definedName>
    <definedName name="____wrn2" hidden="1">{"Kalk_druck",#N/A,FALSE,"Kalk";#N/A,#N/A,FALSE,"Risiken";"AllgKost_Druck",#N/A,FALSE,"AllgKost";"KompKost_Druck",#N/A,FALSE,"KompKost"}</definedName>
    <definedName name="____wrn3" hidden="1">{#N/A,#N/A,FALSE,"Kalk"}</definedName>
    <definedName name="____xlnm.Print_Area_2">"'Stur-Detailed'!$A$1:$E$108"</definedName>
    <definedName name="____xlnm.Print_Area_3">"'Service - Low'!$A$1:$E$47"</definedName>
    <definedName name="____xlnm.Print_Area_4">"'Masonary &amp; Plastring'!$A$1:$E$73"</definedName>
    <definedName name="____xlnm.Print_Area_6">"'Interiors &amp; Softfurnishing'!$A$1:$E$19"</definedName>
    <definedName name="____xlnm.Print_Area_7">"'Windows &amp; Clading Works'!$A$1:$E$25"</definedName>
    <definedName name="____xlnm.Print_Titles_2">"'Stur-Detailed'!$6:$6"</definedName>
    <definedName name="____xlnm.Print_Titles_3">"'Service - Low'!$6:$6"</definedName>
    <definedName name="____xlnm.Print_Titles_4">"'Masonary &amp; Plastring'!$6:$6"</definedName>
    <definedName name="____xlnm.Print_Titles_6">"'Interiors &amp; Softfurnishing'!$6:$6"</definedName>
    <definedName name="____xlnm.Print_Titles_7">"'Windows &amp; Clading Works'!$6:$6"</definedName>
    <definedName name="____ys1" localSheetId="1" hidden="1">{#N/A,#N/A,FALSE,"abs";#N/A,#N/A,FALSE,"Annex-I";#N/A,#N/A,FALSE,"Annex-II";#N/A,#N/A,FALSE,"Annex-III";#N/A,#N/A,FALSE,"Annex-IV";#N/A,#N/A,FALSE,"Annex-V";#N/A,#N/A,FALSE,"Annex-VI"}</definedName>
    <definedName name="____ys1" hidden="1">{#N/A,#N/A,FALSE,"abs";#N/A,#N/A,FALSE,"Annex-I";#N/A,#N/A,FALSE,"Annex-II";#N/A,#N/A,FALSE,"Annex-III";#N/A,#N/A,FALSE,"Annex-IV";#N/A,#N/A,FALSE,"Annex-V";#N/A,#N/A,FALSE,"Annex-VI"}</definedName>
    <definedName name="___a65537">#REF!</definedName>
    <definedName name="___A65539">#REF!</definedName>
    <definedName name="___A65555">#REF!</definedName>
    <definedName name="___A655600">#REF!</definedName>
    <definedName name="___A655600_15">"$#REF!.$#REF!$#REF!"</definedName>
    <definedName name="___A655600_3">"$#REF!.$#REF!$#REF!"</definedName>
    <definedName name="___A655600_4">"$#REF!.$#REF!$#REF!"</definedName>
    <definedName name="___A655600_5">NA()</definedName>
    <definedName name="___A655600_6">"$#REF!.$#REF!$#REF!"</definedName>
    <definedName name="___A65658">#REF!</definedName>
    <definedName name="___A65800">#REF!</definedName>
    <definedName name="___A66000">#REF!</definedName>
    <definedName name="___A99999">#REF!</definedName>
    <definedName name="___aa1" hidden="1">{"'Bill No. 7'!$A$1:$G$32"}</definedName>
    <definedName name="___aaa10">#REF!</definedName>
    <definedName name="___aaa5">#REF!</definedName>
    <definedName name="___AAA51">#REF!</definedName>
    <definedName name="___aaa55">#REF!</definedName>
    <definedName name="___AAA6">#REF!</definedName>
    <definedName name="___AAA7">#REF!</definedName>
    <definedName name="___AAD5">#REF!</definedName>
    <definedName name="___aad55">#REF!</definedName>
    <definedName name="___aj1">#REF!</definedName>
    <definedName name="___AMT13300">#N/A</definedName>
    <definedName name="___AMT13502">#N/A</definedName>
    <definedName name="___AMT41301">#N/A</definedName>
    <definedName name="___AMT85116">#N/A</definedName>
    <definedName name="___AMT85125">#N/A</definedName>
    <definedName name="___AMT86106">#N/A</definedName>
    <definedName name="___b111121">#REF!</definedName>
    <definedName name="___bb1" hidden="1">{"'Bill No. 7'!$A$1:$G$32"}</definedName>
    <definedName name="___bol1">#REF!</definedName>
    <definedName name="___BOQ1">#N/A</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at123">#N/A</definedName>
    <definedName name="___Ctr10">#REF!</definedName>
    <definedName name="___d2" hidden="1">{#N/A,#N/A,FALSE,"mgtsum.XLS";#N/A,#N/A,FALSE,"CAPONE";#N/A,#N/A,FALSE,"CAPTWO";#N/A,#N/A,FALSE,"CAPTHREE"}</definedName>
    <definedName name="___DIA1">#REF!</definedName>
    <definedName name="___DIA2">#REF!</definedName>
    <definedName name="___dim4">#REF!</definedName>
    <definedName name="___dim4_15">"$#REF!.#REF!$#REF!"</definedName>
    <definedName name="___dim4_3">"$#REF!.#REF!$#REF!"</definedName>
    <definedName name="___dim4_4">"$#REF!.#REF!$#REF!"</definedName>
    <definedName name="___dim4_5">NA()</definedName>
    <definedName name="___dim4_6">"$#REF!.#REF!$#REF!"</definedName>
    <definedName name="___exc1">#REF!</definedName>
    <definedName name="___exc11">#REF!</definedName>
    <definedName name="___exc2">#REF!</definedName>
    <definedName name="___EXC3">#REF!</definedName>
    <definedName name="___EXC4">#REF!</definedName>
    <definedName name="___f1">#REF!</definedName>
    <definedName name="___fco2" hidden="1">{#N/A,#N/A,FALSE,"gc (2)"}</definedName>
    <definedName name="___Feb06" hidden="1">{#N/A,#N/A,TRUE,"Front";#N/A,#N/A,TRUE,"Simple Letter";#N/A,#N/A,TRUE,"Inside";#N/A,#N/A,TRUE,"Contents";#N/A,#N/A,TRUE,"Basis";#N/A,#N/A,TRUE,"Inclusions";#N/A,#N/A,TRUE,"Exclusions";#N/A,#N/A,TRUE,"Areas";#N/A,#N/A,TRUE,"Summary";#N/A,#N/A,TRUE,"Detail"}</definedName>
    <definedName name="___flx200">#REF!</definedName>
    <definedName name="___flx250">#REF!</definedName>
    <definedName name="___flx300">#REF!</definedName>
    <definedName name="___foo1">#REF!</definedName>
    <definedName name="___foo2">#REF!</definedName>
    <definedName name="___foo3">#REF!</definedName>
    <definedName name="___FOO4">#REF!</definedName>
    <definedName name="___g2811">#REF!</definedName>
    <definedName name="___hp10" localSheetId="1"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DC2">#N/A</definedName>
    <definedName name="___idc3">#N/A</definedName>
    <definedName name="___iv66666">#REF!</definedName>
    <definedName name="___jj300">#REF!</definedName>
    <definedName name="___K03">#REF!</definedName>
    <definedName name="___KC139">#REF!</definedName>
    <definedName name="___key1" hidden="1">#REF!</definedName>
    <definedName name="___key2" hidden="1">#REF!</definedName>
    <definedName name="___Ki1">#REF!</definedName>
    <definedName name="___Ki2">#REF!</definedName>
    <definedName name="___kp1" hidden="1">{#N/A,#N/A,TRUE,"Front";#N/A,#N/A,TRUE,"Simple Letter";#N/A,#N/A,TRUE,"Inside";#N/A,#N/A,TRUE,"Contents";#N/A,#N/A,TRUE,"Basis";#N/A,#N/A,TRUE,"Inclusions";#N/A,#N/A,TRUE,"Exclusions";#N/A,#N/A,TRUE,"Areas";#N/A,#N/A,TRUE,"Summary";#N/A,#N/A,TRUE,"Detail"}</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b1">#REF!</definedName>
    <definedName name="___lb1_15">"$#REF!.$#REF!$#REF!"</definedName>
    <definedName name="___lb1_3">"$#REF!.$#REF!$#REF!"</definedName>
    <definedName name="___lb1_4">"$#REF!.$#REF!$#REF!"</definedName>
    <definedName name="___lb1_5">NA()</definedName>
    <definedName name="___lb1_6">"$#REF!.$#REF!$#REF!"</definedName>
    <definedName name="___lb2">#REF!</definedName>
    <definedName name="___lb2_15">"$#REF!.$#REF!$#REF!"</definedName>
    <definedName name="___lb2_3">"$#REF!.$#REF!$#REF!"</definedName>
    <definedName name="___lb2_4">"$#REF!.$#REF!$#REF!"</definedName>
    <definedName name="___lb2_5">NA()</definedName>
    <definedName name="___lb2_6">"$#REF!.$#REF!$#REF!"</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oc1">#N/A</definedName>
    <definedName name="___MAN1">#REF!</definedName>
    <definedName name="___mm1">#REF!</definedName>
    <definedName name="___mm1_15">"$#REF!.$#REF!$#REF!"</definedName>
    <definedName name="___mm1_3">"$#REF!.$#REF!$#REF!"</definedName>
    <definedName name="___mm1_4">"$#REF!.$#REF!$#REF!"</definedName>
    <definedName name="___mm1_5">NA()</definedName>
    <definedName name="___mm1_6">"$#REF!.$#REF!$#REF!"</definedName>
    <definedName name="___mm2">#REF!</definedName>
    <definedName name="___mm2_15">"$#REF!.$#REF!$#REF!"</definedName>
    <definedName name="___mm2_3">"$#REF!.$#REF!$#REF!"</definedName>
    <definedName name="___mm2_4">"$#REF!.$#REF!$#REF!"</definedName>
    <definedName name="___mm2_5">NA()</definedName>
    <definedName name="___mm2_6">"$#REF!.$#REF!$#REF!"</definedName>
    <definedName name="___mm3">#REF!</definedName>
    <definedName name="___mm3_15">"$#REF!.$#REF!$#REF!"</definedName>
    <definedName name="___mm3_3">"$#REF!.$#REF!$#REF!"</definedName>
    <definedName name="___mm3_4">"$#REF!.$#REF!$#REF!"</definedName>
    <definedName name="___mm3_5">NA()</definedName>
    <definedName name="___mm3_6">"$#REF!.$#REF!$#REF!"</definedName>
    <definedName name="___MN1">#REF!</definedName>
    <definedName name="___OUT13300">#N/A</definedName>
    <definedName name="___OUT13502">#N/A</definedName>
    <definedName name="___OUT41301">#N/A</definedName>
    <definedName name="___OUT85116">#N/A</definedName>
    <definedName name="___OUT85125">#N/A</definedName>
    <definedName name="___OUT86106">#N/A</definedName>
    <definedName name="___PB1">#REF!</definedName>
    <definedName name="___pcc1">#REF!</definedName>
    <definedName name="___pcc2">#REF!</definedName>
    <definedName name="___pcc3">#REF!</definedName>
    <definedName name="___PCC4">#REF!</definedName>
    <definedName name="___per1" hidden="1">#REF!</definedName>
    <definedName name="___per3" hidden="1">#REF!</definedName>
    <definedName name="___plb1">#REF!</definedName>
    <definedName name="___plb2">#REF!</definedName>
    <definedName name="___plb3">#REF!</definedName>
    <definedName name="___plb4">#REF!</definedName>
    <definedName name="___pqr1">#REF!</definedName>
    <definedName name="___pqr2">#REF!</definedName>
    <definedName name="___PRN1" hidden="1">{#N/A,#N/A,FALSE,"COVER.XLS";#N/A,#N/A,FALSE,"RACT1.XLS";#N/A,#N/A,FALSE,"RACT2.XLS";#N/A,#N/A,FALSE,"ECCMP";#N/A,#N/A,FALSE,"WELDER.XLS"}</definedName>
    <definedName name="___q1">#N/A</definedName>
    <definedName name="___qqq1" hidden="1">#REF!</definedName>
    <definedName name="___qqq2" hidden="1">#REF!</definedName>
    <definedName name="___QRA86106">#N/A</definedName>
    <definedName name="___RAB002" hidden="1">{#N/A,#N/A,TRUE,"Front";#N/A,#N/A,TRUE,"Simple Letter";#N/A,#N/A,TRUE,"Inside";#N/A,#N/A,TRUE,"Contents";#N/A,#N/A,TRUE,"Basis";#N/A,#N/A,TRUE,"Inclusions";#N/A,#N/A,TRUE,"Exclusions";#N/A,#N/A,TRUE,"Areas";#N/A,#N/A,TRUE,"Summary";#N/A,#N/A,TRUE,"Detail"}</definedName>
    <definedName name="___rab07">#REF!</definedName>
    <definedName name="___ram1" hidden="1">{#N/A,#N/A,FALSE,"gc (2)"}</definedName>
    <definedName name="___REM1">#REF!</definedName>
    <definedName name="___REM2">#REF!</definedName>
    <definedName name="___rim4">#REF!</definedName>
    <definedName name="___rim4_15">"$#REF!.$#REF!$#REF!"</definedName>
    <definedName name="___rim4_3">"$#REF!.$#REF!$#REF!"</definedName>
    <definedName name="___rim4_4">"$#REF!.$#REF!$#REF!"</definedName>
    <definedName name="___rim4_5">NA()</definedName>
    <definedName name="___rim4_6">"$#REF!.$#REF!$#REF!"</definedName>
    <definedName name="___rm4">#REF!</definedName>
    <definedName name="___rm4_15">"$#REF!.$#REF!$#REF!"</definedName>
    <definedName name="___rm4_3">"$#REF!.$#REF!$#REF!"</definedName>
    <definedName name="___rm4_4">"$#REF!.$#REF!$#REF!"</definedName>
    <definedName name="___rm4_5">NA()</definedName>
    <definedName name="___rm4_6">"$#REF!.$#REF!$#REF!"</definedName>
    <definedName name="___S1" hidden="1">{#N/A,#N/A,TRUE,"Front";#N/A,#N/A,TRUE,"Simple Letter";#N/A,#N/A,TRUE,"Inside";#N/A,#N/A,TRUE,"Contents";#N/A,#N/A,TRUE,"Basis";#N/A,#N/A,TRUE,"Inclusions";#N/A,#N/A,TRUE,"Exclusions";#N/A,#N/A,TRUE,"Areas";#N/A,#N/A,TRUE,"Summary";#N/A,#N/A,TRUE,"Detail"}</definedName>
    <definedName name="___sdb2">#REF!</definedName>
    <definedName name="___sec1">#REF!</definedName>
    <definedName name="___Sec2">#REF!</definedName>
    <definedName name="___sec3">#REF!</definedName>
    <definedName name="___Sec4">#REF!</definedName>
    <definedName name="___sec5">#REF!</definedName>
    <definedName name="___sec6">#REF!</definedName>
    <definedName name="___sec7">#REF!</definedName>
    <definedName name="___sec71">#REF!</definedName>
    <definedName name="___SEC77">#REF!</definedName>
    <definedName name="___sec8">#REF!</definedName>
    <definedName name="___sec81">#REF!</definedName>
    <definedName name="___SEC88">#REF!</definedName>
    <definedName name="___SEC9">#REF!</definedName>
    <definedName name="___SH1">#REF!</definedName>
    <definedName name="___SH2">#REF!</definedName>
    <definedName name="___SH3">#REF!</definedName>
    <definedName name="___SH4">#REF!</definedName>
    <definedName name="___SH5">#REF!</definedName>
    <definedName name="___sti02" hidden="1">{#N/A,#N/A,FALSE,"gc (2)"}</definedName>
    <definedName name="___sub20">#REF!</definedName>
    <definedName name="___sum010">#REF!</definedName>
    <definedName name="___sum020">#REF!</definedName>
    <definedName name="___sum120">#REF!</definedName>
    <definedName name="___sum140">#REF!</definedName>
    <definedName name="___SUM200">#REF!</definedName>
    <definedName name="___SUM400">#REF!</definedName>
    <definedName name="___SUM410">#REF!</definedName>
    <definedName name="___SUM420">#REF!</definedName>
    <definedName name="___SUM440">#REF!</definedName>
    <definedName name="___SUM460">#REF!</definedName>
    <definedName name="___SUM480">#REF!</definedName>
    <definedName name="___SUM500">#REF!</definedName>
    <definedName name="___SUM510">#REF!</definedName>
    <definedName name="___SUM530">#REF!</definedName>
    <definedName name="___SUM540">#REF!</definedName>
    <definedName name="___SUM560">#REF!</definedName>
    <definedName name="___SUM570">#REF!</definedName>
    <definedName name="___SUM580">#REF!</definedName>
    <definedName name="___SUM590">#REF!</definedName>
    <definedName name="___SUM700">#REF!</definedName>
    <definedName name="___SUM701">#REF!</definedName>
    <definedName name="___SUM702">#REF!</definedName>
    <definedName name="___SUM703">#REF!</definedName>
    <definedName name="___SUM704">#REF!</definedName>
    <definedName name="___sum770">#REF!</definedName>
    <definedName name="___SUM800">#REF!</definedName>
    <definedName name="___sum900">#REF!</definedName>
    <definedName name="___SUM901">#REF!</definedName>
    <definedName name="___SUM902">#REF!</definedName>
    <definedName name="___SUM903">#REF!</definedName>
    <definedName name="___SUM904">#REF!</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hidden="1">{#N/A,#N/A,TRUE,"Financials";#N/A,#N/A,TRUE,"Operating Statistics";#N/A,#N/A,TRUE,"Capex &amp; Depreciation";#N/A,#N/A,TRUE,"Debt"}</definedName>
    <definedName name="___tb1" hidden="1">{#N/A,#N/A,FALSE,"One Pager";#N/A,#N/A,FALSE,"Technical"}</definedName>
    <definedName name="___tem1" hidden="1">{#N/A,#N/A,TRUE,"Front";#N/A,#N/A,TRUE,"Simple Letter";#N/A,#N/A,TRUE,"Inside";#N/A,#N/A,TRUE,"Contents";#N/A,#N/A,TRUE,"Basis";#N/A,#N/A,TRUE,"Inclusions";#N/A,#N/A,TRUE,"Exclusions";#N/A,#N/A,TRUE,"Areas";#N/A,#N/A,TRUE,"Summary";#N/A,#N/A,TRUE,"Detail"}</definedName>
    <definedName name="___tk1">#REF!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Val101">#REF!</definedName>
    <definedName name="___Val102">#REF!</definedName>
    <definedName name="___Val201">#REF!</definedName>
    <definedName name="___Val202">#REF!</definedName>
    <definedName name="___Val301">#REF!</definedName>
    <definedName name="___Val302">#REF!</definedName>
    <definedName name="___VAR13300">#N/A</definedName>
    <definedName name="___VAR13502">#N/A</definedName>
    <definedName name="___wrn1" hidden="1">{#N/A,#N/A,FALSE,"Kalk"}</definedName>
    <definedName name="___wrn2" hidden="1">{"Kalk_druck",#N/A,FALSE,"Kalk";#N/A,#N/A,FALSE,"Risiken";"AllgKost_Druck",#N/A,FALSE,"AllgKost";"KompKost_Druck",#N/A,FALSE,"KompKost"}</definedName>
    <definedName name="___wrn3" hidden="1">{#N/A,#N/A,FALSE,"Kalk"}</definedName>
    <definedName name="___xlfn.BAHTTEXT" hidden="1">#NAME?</definedName>
    <definedName name="___xlnm.Print_Area_2">"'Stur-Detailed'!$A$1:$E$108"</definedName>
    <definedName name="___xlnm.Print_Area_3">"'Service - Low'!$A$1:$E$47"</definedName>
    <definedName name="___xlnm.Print_Area_4">"'Masonary &amp; Plastring'!$A$1:$E$73"</definedName>
    <definedName name="___xlnm.Print_Area_6">"'Interiors &amp; Softfurnishing'!$A$1:$E$19"</definedName>
    <definedName name="___xlnm.Print_Area_7">"'Windows &amp; Clading Works'!$A$1:$E$25"</definedName>
    <definedName name="___xlnm.Print_Titles_2">"'Stur-Detailed'!$6:$6"</definedName>
    <definedName name="___xlnm.Print_Titles_3">"'Service - Low'!$6:$6"</definedName>
    <definedName name="___xlnm.Print_Titles_4">"'Masonary &amp; Plastring'!$6:$6"</definedName>
    <definedName name="___xlnm.Print_Titles_6">"'Interiors &amp; Softfurnishing'!$6:$6"</definedName>
    <definedName name="___xlnm.Print_Titles_7">"'Windows &amp; Clading Works'!$6:$6"</definedName>
    <definedName name="___xx1" hidden="1">{"'Typical Costs Estimates'!$C$158:$H$161"}</definedName>
    <definedName name="___ys1" localSheetId="1" hidden="1">{#N/A,#N/A,FALSE,"abs";#N/A,#N/A,FALSE,"Annex-I";#N/A,#N/A,FALSE,"Annex-II";#N/A,#N/A,FALSE,"Annex-III";#N/A,#N/A,FALSE,"Annex-IV";#N/A,#N/A,FALSE,"Annex-V";#N/A,#N/A,FALSE,"Annex-VI"}</definedName>
    <definedName name="___ys1" hidden="1">{#N/A,#N/A,FALSE,"abs";#N/A,#N/A,FALSE,"Annex-I";#N/A,#N/A,FALSE,"Annex-II";#N/A,#N/A,FALSE,"Annex-III";#N/A,#N/A,FALSE,"Annex-IV";#N/A,#N/A,FALSE,"Annex-V";#N/A,#N/A,FALSE,"Annex-VI"}</definedName>
    <definedName name="__1_">#REF!</definedName>
    <definedName name="__1__123Graph_ACHART_3" hidden="1">#REF!</definedName>
    <definedName name="__10_______123Graph_XCHART_4" hidden="1">#REF!</definedName>
    <definedName name="__11______123Graph_XCHART_3" hidden="1">#REF!</definedName>
    <definedName name="__12______123Graph_XCHART_4" hidden="1">#REF!</definedName>
    <definedName name="__123Graph_A" hidden="1">#REF!</definedName>
    <definedName name="__123Graph_ACURRENT" hidden="1">#REF!</definedName>
    <definedName name="__123Graph_ADOMSAL" hidden="1">#REF!</definedName>
    <definedName name="__123Graph_AEXPSAL" hidden="1">#REF!</definedName>
    <definedName name="__123Graph_AGROSSEARN" hidden="1">#REF!</definedName>
    <definedName name="__123Graph_AIncome" hidden="1">#REF!</definedName>
    <definedName name="__123Graph_ANETWORTH" hidden="1">#REF!</definedName>
    <definedName name="__123Graph_APROFIT" hidden="1">#REF!</definedName>
    <definedName name="__123Graph_ASTATPROG"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localSheetId="1" hidden="1">#REF!</definedName>
    <definedName name="__123Graph_X" hidden="1">#REF!</definedName>
    <definedName name="__123Graph_XDOMSAL" hidden="1">#REF!</definedName>
    <definedName name="__123Graph_XEXPSAL" hidden="1">#REF!</definedName>
    <definedName name="__123Graph_XGROSSEARN" hidden="1">#REF!</definedName>
    <definedName name="__123Graph_XIncome" hidden="1">#REF!</definedName>
    <definedName name="__123Graph_XIRG" hidden="1">#REF!</definedName>
    <definedName name="__123Graph_XNETWORTH" hidden="1">#REF!</definedName>
    <definedName name="__123Graph_XPROFIT" hidden="1">#REF!</definedName>
    <definedName name="__123Graph_XSTATPROG" hidden="1">#REF!</definedName>
    <definedName name="__17_____123Graph_XCHART_3" hidden="1">#REF!</definedName>
    <definedName name="__18_____123Graph_XCHART_4" hidden="1">#REF!</definedName>
    <definedName name="__2__123Graph_ACHART_4" hidden="1">#REF!</definedName>
    <definedName name="__23____123Graph_XCHART_3" hidden="1">#REF!</definedName>
    <definedName name="__24____123Graph_XCHART_4" hidden="1">#REF!</definedName>
    <definedName name="__3__123Graph_BCHART_3" hidden="1">#REF!</definedName>
    <definedName name="__32___123Graph_XCHART_3" hidden="1">#REF!</definedName>
    <definedName name="__33___123Graph_XCHART_4" hidden="1">#REF!</definedName>
    <definedName name="__4__123Graph_BCHART_4" hidden="1">#REF!</definedName>
    <definedName name="__5__123Graph_XCHART_3" hidden="1">#REF!</definedName>
    <definedName name="__6__123Graph_XCHART_4" hidden="1">#REF!</definedName>
    <definedName name="__88__123Graph_XCHART_3" hidden="1">#REF!</definedName>
    <definedName name="__89__123Graph_XCHART_4" hidden="1">#REF!</definedName>
    <definedName name="__9_______123Graph_XCHART_3" hidden="1">#REF!</definedName>
    <definedName name="__9__123Graph_BCHART_3" hidden="1">#REF!</definedName>
    <definedName name="__A31">#REF!</definedName>
    <definedName name="__a65537">#REF!</definedName>
    <definedName name="__A65539">#REF!</definedName>
    <definedName name="__A65555">#REF!</definedName>
    <definedName name="__A655600">#REF!</definedName>
    <definedName name="__A655600_15">"$#REF!.$#REF!$#REF!"</definedName>
    <definedName name="__A655600_3">"$#REF!.$#REF!$#REF!"</definedName>
    <definedName name="__A655600_4">"$#REF!.$#REF!$#REF!"</definedName>
    <definedName name="__A655600_5">NA()</definedName>
    <definedName name="__A655600_6">"$#REF!.$#REF!$#REF!"</definedName>
    <definedName name="__A65658">#REF!</definedName>
    <definedName name="__A65800">#REF!</definedName>
    <definedName name="__A66000">#REF!</definedName>
    <definedName name="__A99999">#REF!</definedName>
    <definedName name="__aa1" hidden="1">{"'Bill No. 7'!$A$1:$G$32"}</definedName>
    <definedName name="__aaa10">#REF!</definedName>
    <definedName name="__aaa11">#REF!</definedName>
    <definedName name="__AAA12">#REF!</definedName>
    <definedName name="__AAA21">#REF!</definedName>
    <definedName name="__aaa23">#REF!</definedName>
    <definedName name="__aaa34">#REF!</definedName>
    <definedName name="__aaa5">#REF!</definedName>
    <definedName name="__AAA51">#REF!</definedName>
    <definedName name="__AAA53">#REF!</definedName>
    <definedName name="__aaa54">#REF!</definedName>
    <definedName name="__aaa545">#REF!</definedName>
    <definedName name="__aaa55">#REF!</definedName>
    <definedName name="__aaa56">#REF!</definedName>
    <definedName name="__AAA57">#REF!</definedName>
    <definedName name="__aaa59">#REF!</definedName>
    <definedName name="__AAA6">#REF!</definedName>
    <definedName name="__AAA66">#REF!</definedName>
    <definedName name="__AAA69">#REF!</definedName>
    <definedName name="__AAA7">#REF!</definedName>
    <definedName name="__AAD5">#REF!</definedName>
    <definedName name="__aad55">#REF!</definedName>
    <definedName name="__AAD56">#REF!</definedName>
    <definedName name="__AAD57">#REF!</definedName>
    <definedName name="__aj1">#REF!</definedName>
    <definedName name="__AMT13300">#N/A</definedName>
    <definedName name="__AMT13502">#N/A</definedName>
    <definedName name="__AMT41301">#N/A</definedName>
    <definedName name="__AMT85116">#N/A</definedName>
    <definedName name="__AMT85125">#N/A</definedName>
    <definedName name="__AMT86106">#N/A</definedName>
    <definedName name="__aoc10">#REF!</definedName>
    <definedName name="__aoc11">#REF!</definedName>
    <definedName name="__aoc7">#REF!</definedName>
    <definedName name="__aoc8">#REF!</definedName>
    <definedName name="__aoc9">#REF!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b111121">#REF!</definedName>
    <definedName name="__b111121_1">NA()</definedName>
    <definedName name="__b111121_2">NA()</definedName>
    <definedName name="__b111121_3">NA()</definedName>
    <definedName name="__b111121_5">NA()</definedName>
    <definedName name="__bb1" hidden="1">{"'Bill No. 7'!$A$1:$G$32"}</definedName>
    <definedName name="__bol1">#REF!</definedName>
    <definedName name="__BOQ1">#N/A</definedName>
    <definedName name="__can430">40.73</definedName>
    <definedName name="__can435">43.3</definedName>
    <definedName name="__cat12" hidden="1">{#N/A,#N/A,TRUE,"Front";#N/A,#N/A,TRUE,"Simple Letter";#N/A,#N/A,TRUE,"Inside";#N/A,#N/A,TRUE,"Contents";#N/A,#N/A,TRUE,"Basis";#N/A,#N/A,TRUE,"Inclusions";#N/A,#N/A,TRUE,"Exclusions";#N/A,#N/A,TRUE,"Areas";#N/A,#N/A,TRUE,"Summary";#N/A,#N/A,TRUE,"Detail"}</definedName>
    <definedName name="__cat123">#N/A</definedName>
    <definedName name="__COL14">#REF!</definedName>
    <definedName name="__COL15">#REF!</definedName>
    <definedName name="__COL16">#REF!</definedName>
    <definedName name="__Ctr10">#REF!</definedName>
    <definedName name="__d2" hidden="1">{#N/A,#N/A,FALSE,"mgtsum.XLS";#N/A,#N/A,FALSE,"CAPONE";#N/A,#N/A,FALSE,"CAPTWO";#N/A,#N/A,FALSE,"CAPTHREE"}</definedName>
    <definedName name="__dcd3" hidden="1">{#N/A,#N/A,TRUE,"Front";#N/A,#N/A,TRUE,"Simple Letter";#N/A,#N/A,TRUE,"Inside";#N/A,#N/A,TRUE,"Contents";#N/A,#N/A,TRUE,"Basis";#N/A,#N/A,TRUE,"Inclusions";#N/A,#N/A,TRUE,"Exclusions";#N/A,#N/A,TRUE,"Areas";#N/A,#N/A,TRUE,"Summary";#N/A,#N/A,TRUE,"Detail"}</definedName>
    <definedName name="__DIA1">#REF!</definedName>
    <definedName name="__DIA2">#REF!</definedName>
    <definedName name="__dim4">#REF!</definedName>
    <definedName name="__dim4_15">"$#REF!.#REF!$#REF!"</definedName>
    <definedName name="__dim4_3">"$#REF!.#REF!$#REF!"</definedName>
    <definedName name="__dim4_4">"$#REF!.#REF!$#REF!"</definedName>
    <definedName name="__dim4_5">NA()</definedName>
    <definedName name="__dim4_6">"$#REF!.#REF!$#REF!"</definedName>
    <definedName name="__dk1" hidden="1">{#N/A,#N/A,FALSE,"COVER.XLS";#N/A,#N/A,FALSE,"RACT1.XLS";#N/A,#N/A,FALSE,"RACT2.XLS";#N/A,#N/A,FALSE,"ECCMP";#N/A,#N/A,FALSE,"WELDER.XLS"}</definedName>
    <definedName name="__exc1">#REF!</definedName>
    <definedName name="__exc11">#REF!</definedName>
    <definedName name="__exc2">#REF!</definedName>
    <definedName name="__EXC3">#REF!</definedName>
    <definedName name="__EXC4">#REF!</definedName>
    <definedName name="__f1">#REF!</definedName>
    <definedName name="__FDS_HYPERLINK_TOGGLE_STATE__" hidden="1">"ON"</definedName>
    <definedName name="__Feb06" hidden="1">{#N/A,#N/A,TRUE,"Front";#N/A,#N/A,TRUE,"Simple Letter";#N/A,#N/A,TRUE,"Inside";#N/A,#N/A,TRUE,"Contents";#N/A,#N/A,TRUE,"Basis";#N/A,#N/A,TRUE,"Inclusions";#N/A,#N/A,TRUE,"Exclusions";#N/A,#N/A,TRUE,"Areas";#N/A,#N/A,TRUE,"Summary";#N/A,#N/A,TRUE,"Detail"}</definedName>
    <definedName name="__flx200">#REF!</definedName>
    <definedName name="__flx250">#REF!</definedName>
    <definedName name="__flx300">#REF!</definedName>
    <definedName name="__foo1">#REF!</definedName>
    <definedName name="__foo2">#REF!</definedName>
    <definedName name="__foo3">#REF!</definedName>
    <definedName name="__FOO4">#REF!</definedName>
    <definedName name="__g2811">#REF!</definedName>
    <definedName name="__HDD1111" hidden="1">{#N/A,#N/A,TRUE,"Front";#N/A,#N/A,TRUE,"Simple Letter";#N/A,#N/A,TRUE,"Inside";#N/A,#N/A,TRUE,"Contents";#N/A,#N/A,TRUE,"Basis";#N/A,#N/A,TRUE,"Inclusions";#N/A,#N/A,TRUE,"Exclusions";#N/A,#N/A,TRUE,"Areas";#N/A,#N/A,TRUE,"Summary";#N/A,#N/A,TRUE,"Detail"}</definedName>
    <definedName name="__hp10" localSheetId="1"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DC2">#N/A</definedName>
    <definedName name="__IDC21">#N/A</definedName>
    <definedName name="__IDC22">#N/A</definedName>
    <definedName name="__IDC23">#N/A</definedName>
    <definedName name="__idc3">#N/A</definedName>
    <definedName name="__ind1">#REF!</definedName>
    <definedName name="__IND11">#REF!</definedName>
    <definedName name="__IND31">#REF!</definedName>
    <definedName name="__IntlFixup" hidden="1">TRUE</definedName>
    <definedName name="__IntlFixupTable" hidden="1">#REF!</definedName>
    <definedName name="__iv66666">#REF!</definedName>
    <definedName name="__JCR23">#REF!</definedName>
    <definedName name="__jj300">#REF!</definedName>
    <definedName name="__K03">#REF!</definedName>
    <definedName name="__KC139">#REF!</definedName>
    <definedName name="__KC580">#REF!</definedName>
    <definedName name="__key1" hidden="1">#REF!</definedName>
    <definedName name="__key2" hidden="1">#REF!</definedName>
    <definedName name="__Ki1">#REF!</definedName>
    <definedName name="__Ki1_1">NA()</definedName>
    <definedName name="__Ki1_2">NA()</definedName>
    <definedName name="__Ki1_3">NA()</definedName>
    <definedName name="__Ki1_5">NA()</definedName>
    <definedName name="__Ki2">#REF!</definedName>
    <definedName name="__Ki2_1">NA()</definedName>
    <definedName name="__Ki2_2">NA()</definedName>
    <definedName name="__Ki2_3">NA()</definedName>
    <definedName name="__Ki2_5">NA()</definedName>
    <definedName name="__kp1" hidden="1">{#N/A,#N/A,TRUE,"Front";#N/A,#N/A,TRUE,"Simple Letter";#N/A,#N/A,TRUE,"Inside";#N/A,#N/A,TRUE,"Contents";#N/A,#N/A,TRUE,"Basis";#N/A,#N/A,TRUE,"Inclusions";#N/A,#N/A,TRUE,"Exclusions";#N/A,#N/A,TRUE,"Areas";#N/A,#N/A,TRUE,"Summary";#N/A,#N/A,TRUE,"Detail"}</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1">#REF!</definedName>
    <definedName name="__lb1">#REF!</definedName>
    <definedName name="__lb1_15">"$#REF!.$#REF!$#REF!"</definedName>
    <definedName name="__lb1_3">"$#REF!.$#REF!$#REF!"</definedName>
    <definedName name="__lb1_4">"$#REF!.$#REF!$#REF!"</definedName>
    <definedName name="__lb1_5">NA()</definedName>
    <definedName name="__lb1_6">"$#REF!.$#REF!$#REF!"</definedName>
    <definedName name="__lb2">#REF!</definedName>
    <definedName name="__lb2_15">"$#REF!.$#REF!$#REF!"</definedName>
    <definedName name="__lb2_3">"$#REF!.$#REF!$#REF!"</definedName>
    <definedName name="__lb2_4">"$#REF!.$#REF!$#REF!"</definedName>
    <definedName name="__lb2_5">NA()</definedName>
    <definedName name="__lb2_6">"$#REF!.$#REF!$#REF!"</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oc1">#N/A</definedName>
    <definedName name="__lsc44">#REF!</definedName>
    <definedName name="__MAN1">#REF!</definedName>
    <definedName name="__MAN1_1">NA()</definedName>
    <definedName name="__MAN1_2">NA()</definedName>
    <definedName name="__MAN1_3">NA()</definedName>
    <definedName name="__MAN1_5">NA()</definedName>
    <definedName name="__mm1">#REF!</definedName>
    <definedName name="__mm1_15">"$#REF!.$#REF!$#REF!"</definedName>
    <definedName name="__mm1_3">"$#REF!.$#REF!$#REF!"</definedName>
    <definedName name="__mm1_4">"$#REF!.$#REF!$#REF!"</definedName>
    <definedName name="__mm1_5">NA()</definedName>
    <definedName name="__mm1_6">"$#REF!.$#REF!$#REF!"</definedName>
    <definedName name="__mm2">#REF!</definedName>
    <definedName name="__mm2_15">"$#REF!.$#REF!$#REF!"</definedName>
    <definedName name="__mm2_3">"$#REF!.$#REF!$#REF!"</definedName>
    <definedName name="__mm2_4">"$#REF!.$#REF!$#REF!"</definedName>
    <definedName name="__mm2_5">NA()</definedName>
    <definedName name="__mm2_6">"$#REF!.$#REF!$#REF!"</definedName>
    <definedName name="__mm3">#REF!</definedName>
    <definedName name="__mm3_15">"$#REF!.$#REF!$#REF!"</definedName>
    <definedName name="__mm3_3">"$#REF!.$#REF!$#REF!"</definedName>
    <definedName name="__mm3_4">"$#REF!.$#REF!$#REF!"</definedName>
    <definedName name="__mm3_5">NA()</definedName>
    <definedName name="__mm3_6">"$#REF!.$#REF!$#REF!"</definedName>
    <definedName name="__MN1">#REF!</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N1">#REF!</definedName>
    <definedName name="__ns1" hidden="1">{#N/A,#N/A,FALSE,"COVER1.XLS ";#N/A,#N/A,FALSE,"RACT1.XLS";#N/A,#N/A,FALSE,"RACT2.XLS";#N/A,#N/A,FALSE,"ECCMP";#N/A,#N/A,FALSE,"WELDER.XLS"}</definedName>
    <definedName name="__ol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OUT13300">#N/A</definedName>
    <definedName name="__OUT13502">#N/A</definedName>
    <definedName name="__OUT41301">#N/A</definedName>
    <definedName name="__OUT85116">#N/A</definedName>
    <definedName name="__OUT85125">#N/A</definedName>
    <definedName name="__OUT86106">#N/A</definedName>
    <definedName name="__PB1">#REF!</definedName>
    <definedName name="__PB1_1">NA()</definedName>
    <definedName name="__PB1_2">NA()</definedName>
    <definedName name="__PB1_3">NA()</definedName>
    <definedName name="__PB1_5">NA()</definedName>
    <definedName name="__pcc1">#REF!</definedName>
    <definedName name="__pcc2">#REF!</definedName>
    <definedName name="__pcc3">#REF!</definedName>
    <definedName name="__PCC4">#REF!</definedName>
    <definedName name="__per1" hidden="1">#REF!</definedName>
    <definedName name="__per3" hidden="1">#REF!</definedName>
    <definedName name="__plb1">#REF!</definedName>
    <definedName name="__plb2">#REF!</definedName>
    <definedName name="__plb3">#REF!</definedName>
    <definedName name="__plb4">#REF!</definedName>
    <definedName name="__pqr1">#REF!</definedName>
    <definedName name="__pqr2">#REF!</definedName>
    <definedName name="__PRN1" hidden="1">{#N/A,#N/A,FALSE,"COVER.XLS";#N/A,#N/A,FALSE,"RACT1.XLS";#N/A,#N/A,FALSE,"RACT2.XLS";#N/A,#N/A,FALSE,"ECCMP";#N/A,#N/A,FALSE,"WELDER.XLS"}</definedName>
    <definedName name="__q1">#N/A</definedName>
    <definedName name="__qqq1" hidden="1">#REF!</definedName>
    <definedName name="__qqq2" hidden="1">#REF!</definedName>
    <definedName name="__QRA86106">#N/A</definedName>
    <definedName name="__RAB002" hidden="1">{#N/A,#N/A,TRUE,"Front";#N/A,#N/A,TRUE,"Simple Letter";#N/A,#N/A,TRUE,"Inside";#N/A,#N/A,TRUE,"Contents";#N/A,#N/A,TRUE,"Basis";#N/A,#N/A,TRUE,"Inclusions";#N/A,#N/A,TRUE,"Exclusions";#N/A,#N/A,TRUE,"Areas";#N/A,#N/A,TRUE,"Summary";#N/A,#N/A,TRUE,"Detail"}</definedName>
    <definedName name="__rab07">#REF!</definedName>
    <definedName name="__rim4">#REF!</definedName>
    <definedName name="__rim4_15">"$#REF!.$#REF!$#REF!"</definedName>
    <definedName name="__rim4_3">"$#REF!.$#REF!$#REF!"</definedName>
    <definedName name="__rim4_4">"$#REF!.$#REF!$#REF!"</definedName>
    <definedName name="__rim4_5">NA()</definedName>
    <definedName name="__rim4_6">"$#REF!.$#REF!$#REF!"</definedName>
    <definedName name="__rm4">#REF!</definedName>
    <definedName name="__rm4_15">"$#REF!.$#REF!$#REF!"</definedName>
    <definedName name="__rm4_3">"$#REF!.$#REF!$#REF!"</definedName>
    <definedName name="__rm4_4">"$#REF!.$#REF!$#REF!"</definedName>
    <definedName name="__rm4_5">NA()</definedName>
    <definedName name="__rm4_6">"$#REF!.$#REF!$#REF!"</definedName>
    <definedName name="__S1" hidden="1">{#N/A,#N/A,TRUE,"Front";#N/A,#N/A,TRUE,"Simple Letter";#N/A,#N/A,TRUE,"Inside";#N/A,#N/A,TRUE,"Contents";#N/A,#N/A,TRUE,"Basis";#N/A,#N/A,TRUE,"Inclusions";#N/A,#N/A,TRUE,"Exclusions";#N/A,#N/A,TRUE,"Areas";#N/A,#N/A,TRUE,"Summary";#N/A,#N/A,TRUE,"Detail"}</definedName>
    <definedName name="__S12">#REF!</definedName>
    <definedName name="__sah3" hidden="1">{#N/A,#N/A,TRUE,"Front";#N/A,#N/A,TRUE,"Simple Letter";#N/A,#N/A,TRUE,"Inside";#N/A,#N/A,TRUE,"Contents";#N/A,#N/A,TRUE,"Basis";#N/A,#N/A,TRUE,"Inclusions";#N/A,#N/A,TRUE,"Exclusions";#N/A,#N/A,TRUE,"Areas";#N/A,#N/A,TRUE,"Summary";#N/A,#N/A,TRUE,"Detail"}</definedName>
    <definedName name="__sdb2">#REF!</definedName>
    <definedName name="__SDB3">#N/A</definedName>
    <definedName name="__sec1">#REF!</definedName>
    <definedName name="__sec111">#REF!</definedName>
    <definedName name="__SEC15">#REF!</definedName>
    <definedName name="__Sec2">#REF!</definedName>
    <definedName name="__sec22">#REF!</definedName>
    <definedName name="__SEC23">#REF!</definedName>
    <definedName name="__SEC24">#REF!</definedName>
    <definedName name="__sec3">#REF!</definedName>
    <definedName name="__SEC32">#REF!</definedName>
    <definedName name="__sec33">#REF!</definedName>
    <definedName name="__Sec4">#REF!</definedName>
    <definedName name="__sec45">#REF!</definedName>
    <definedName name="__SEC46">#REF!</definedName>
    <definedName name="__sec5">#REF!</definedName>
    <definedName name="__sec55">#REF!</definedName>
    <definedName name="__SEC56">#REF!</definedName>
    <definedName name="__sec6">#REF!</definedName>
    <definedName name="__sec66">#REF!</definedName>
    <definedName name="__SEC67">#REF!</definedName>
    <definedName name="__sec7">#REF!</definedName>
    <definedName name="__sec71">#REF!</definedName>
    <definedName name="__SEC72">#REF!</definedName>
    <definedName name="__SEC74">#REF!</definedName>
    <definedName name="__SEC75">#REF!</definedName>
    <definedName name="__SEC77">#REF!</definedName>
    <definedName name="__sec777">#REF!</definedName>
    <definedName name="__sec78">#REF!</definedName>
    <definedName name="__sec79">#REF!</definedName>
    <definedName name="__sec8">#REF!</definedName>
    <definedName name="__sec81">#REF!</definedName>
    <definedName name="__SEC82">#REF!</definedName>
    <definedName name="__SEC83">#REF!</definedName>
    <definedName name="__SEC87">#REF!</definedName>
    <definedName name="__SEC88">#REF!</definedName>
    <definedName name="__sec888">#REF!</definedName>
    <definedName name="__sec89">#REF!</definedName>
    <definedName name="__sec899">#REF!</definedName>
    <definedName name="__SEC9">#REF!</definedName>
    <definedName name="__SEC91">#REF!</definedName>
    <definedName name="__SH1">#REF!</definedName>
    <definedName name="__SH2">#REF!</definedName>
    <definedName name="__SH3">#REF!</definedName>
    <definedName name="__SH4">#REF!</definedName>
    <definedName name="__SH5">#REF!</definedName>
    <definedName name="__SO16" hidden="1">{#N/A,#N/A,TRUE,"Krycí list"}</definedName>
    <definedName name="__SS2">#REF!</definedName>
    <definedName name="__sub20">#REF!</definedName>
    <definedName name="__sum010">#REF!</definedName>
    <definedName name="__sum020">#REF!</definedName>
    <definedName name="__sum120">#REF!</definedName>
    <definedName name="__sum140">#REF!</definedName>
    <definedName name="__SUM200">#REF!</definedName>
    <definedName name="__SUM400">#REF!</definedName>
    <definedName name="__SUM410">#REF!</definedName>
    <definedName name="__SUM420">#REF!</definedName>
    <definedName name="__SUM440">#REF!</definedName>
    <definedName name="__SUM460">#REF!</definedName>
    <definedName name="__SUM480">#REF!</definedName>
    <definedName name="__SUM500">#REF!</definedName>
    <definedName name="__SUM510">#REF!</definedName>
    <definedName name="__SUM530">#REF!</definedName>
    <definedName name="__SUM540">#REF!</definedName>
    <definedName name="__SUM560">#REF!</definedName>
    <definedName name="__SUM570">#REF!</definedName>
    <definedName name="__SUM580">#REF!</definedName>
    <definedName name="__SUM590">#REF!</definedName>
    <definedName name="__SUM700">#REF!</definedName>
    <definedName name="__SUM701">#REF!</definedName>
    <definedName name="__SUM702">#REF!</definedName>
    <definedName name="__SUM703">#REF!</definedName>
    <definedName name="__SUM704">#REF!</definedName>
    <definedName name="__sum770">#REF!</definedName>
    <definedName name="__SUM800">#REF!</definedName>
    <definedName name="__sum900">#REF!</definedName>
    <definedName name="__SUM901">#REF!</definedName>
    <definedName name="__SUM902">#REF!</definedName>
    <definedName name="__SUM903">#REF!</definedName>
    <definedName name="__SUM904">#REF!</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hidden="1">{#N/A,#N/A,TRUE,"Financials";#N/A,#N/A,TRUE,"Operating Statistics";#N/A,#N/A,TRUE,"Capex &amp; Depreciation";#N/A,#N/A,TRUE,"Debt"}</definedName>
    <definedName name="__tb1" hidden="1">{#N/A,#N/A,FALSE,"One Pager";#N/A,#N/A,FALSE,"Technical"}</definedName>
    <definedName name="__TB2_1">NA()</definedName>
    <definedName name="__TB2_2">NA()</definedName>
    <definedName name="__TB2_3">NA()</definedName>
    <definedName name="__TB2_5">NA()</definedName>
    <definedName name="__tem1" hidden="1">{#N/A,#N/A,TRUE,"Front";#N/A,#N/A,TRUE,"Simple Letter";#N/A,#N/A,TRUE,"Inside";#N/A,#N/A,TRUE,"Contents";#N/A,#N/A,TRUE,"Basis";#N/A,#N/A,TRUE,"Inclusions";#N/A,#N/A,TRUE,"Exclusions";#N/A,#N/A,TRUE,"Areas";#N/A,#N/A,TRUE,"Summary";#N/A,#N/A,TRUE,"Detail"}</definedName>
    <definedName name="__tk1">#REF!</definedName>
    <definedName name="__tm3" hidden="1">{#N/A,#N/A,TRUE,"Front";#N/A,#N/A,TRUE,"Simple Letter";#N/A,#N/A,TRUE,"Inside";#N/A,#N/A,TRUE,"Contents";#N/A,#N/A,TRUE,"Basis";#N/A,#N/A,TRUE,"Inclusions";#N/A,#N/A,TRUE,"Exclusions";#N/A,#N/A,TRUE,"Areas";#N/A,#N/A,TRUE,"Summary";#N/A,#N/A,TRUE,"Detail"}</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Val101">#REF!</definedName>
    <definedName name="__Val102">#REF!</definedName>
    <definedName name="__Val201">#REF!</definedName>
    <definedName name="__Val202">#REF!</definedName>
    <definedName name="__Val301">#REF!</definedName>
    <definedName name="__Val302">#REF!</definedName>
    <definedName name="__VAR13300">#N/A</definedName>
    <definedName name="__VAR13502">#N/A</definedName>
    <definedName name="__wrn1" hidden="1">{#N/A,#N/A,FALSE,"Kalk"}</definedName>
    <definedName name="__wrn2" hidden="1">{"Kalk_druck",#N/A,FALSE,"Kalk";#N/A,#N/A,FALSE,"Risiken";"AllgKost_Druck",#N/A,FALSE,"AllgKost";"KompKost_Druck",#N/A,FALSE,"KompKost"}</definedName>
    <definedName name="__wrn3" hidden="1">{#N/A,#N/A,FALSE,"Kalk"}</definedName>
    <definedName name="__xlfn.BAHTTEXT" hidden="1">#NAME?</definedName>
    <definedName name="__xlfn.RTD" hidden="1">#NAME?</definedName>
    <definedName name="__xlnm._FilterDatabase">#REF!</definedName>
    <definedName name="__xlnm.Print_Area">#REF!</definedName>
    <definedName name="__xlnm.Print_Area_1">#REF!</definedName>
    <definedName name="__xlnm.Print_Area_2">"'Stur-Detailed'!$A$1:$E$108"</definedName>
    <definedName name="__xlnm.Print_Area_3">"'Service - Low'!$A$1:$E$47"</definedName>
    <definedName name="__xlnm.Print_Area_4">"$#REF!.$A$1:$T$19"</definedName>
    <definedName name="__xlnm.Print_Area_6">"'Interiors &amp; Softfurnishing'!$A$1:$E$19"</definedName>
    <definedName name="__xlnm.Print_Area_7">"'Windows &amp; Clading Works'!$A$1:$E$25"</definedName>
    <definedName name="__xlnm.Print_Titles_1">NA()</definedName>
    <definedName name="__xlnm.Print_Titles_2">"'Stur-Detailed'!$6:$6"</definedName>
    <definedName name="__xlnm.Print_Titles_3">"'Service - Low'!$6:$6"</definedName>
    <definedName name="__xlnm.Print_Titles_4">"'Masonary &amp; Plastring'!$6:$6"</definedName>
    <definedName name="__xlnm.Print_Titles_6">"'Interiors &amp; Softfurnishing'!$6:$6"</definedName>
    <definedName name="__xlnm.Print_Titles_7">"'Windows &amp; Clading Works'!$6:$6"</definedName>
    <definedName name="__xx1" hidden="1">{"'Typical Costs Estimates'!$C$158:$H$161"}</definedName>
    <definedName name="__ys1" localSheetId="1" hidden="1">{#N/A,#N/A,FALSE,"abs";#N/A,#N/A,FALSE,"Annex-I";#N/A,#N/A,FALSE,"Annex-II";#N/A,#N/A,FALSE,"Annex-III";#N/A,#N/A,FALSE,"Annex-IV";#N/A,#N/A,FALSE,"Annex-V";#N/A,#N/A,FALSE,"Annex-VI"}</definedName>
    <definedName name="__ys1" hidden="1">{#N/A,#N/A,FALSE,"abs";#N/A,#N/A,FALSE,"Annex-I";#N/A,#N/A,FALSE,"Annex-II";#N/A,#N/A,FALSE,"Annex-III";#N/A,#N/A,FALSE,"Annex-IV";#N/A,#N/A,FALSE,"Annex-V";#N/A,#N/A,FALSE,"Annex-VI"}</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0">#REF!</definedName>
    <definedName name="_0___0">#REF!</definedName>
    <definedName name="_0___0_1">NA()</definedName>
    <definedName name="_0___0_2">NA()</definedName>
    <definedName name="_0___0_3">NA()</definedName>
    <definedName name="_0___0_5">NA()</definedName>
    <definedName name="_0_1">#N/A</definedName>
    <definedName name="_0_1_1">NA()</definedName>
    <definedName name="_0_10">#REF!</definedName>
    <definedName name="_0_11">#REF!</definedName>
    <definedName name="_0_12">#REF!</definedName>
    <definedName name="_0_2">NA()</definedName>
    <definedName name="_0_20">#REF!</definedName>
    <definedName name="_0_21">#REF!</definedName>
    <definedName name="_0_24">#REF!</definedName>
    <definedName name="_0_25">#REF!</definedName>
    <definedName name="_0_26">#REF!</definedName>
    <definedName name="_0_27">#REF!</definedName>
    <definedName name="_0_28">#REF!</definedName>
    <definedName name="_0_29">#REF!</definedName>
    <definedName name="_0_3">NA()</definedName>
    <definedName name="_0_30">#REF!</definedName>
    <definedName name="_0_31">#REF!</definedName>
    <definedName name="_0_32">#REF!</definedName>
    <definedName name="_0_33">#REF!</definedName>
    <definedName name="_0_34">#REF!</definedName>
    <definedName name="_0_35">#REF!</definedName>
    <definedName name="_0_36">#REF!</definedName>
    <definedName name="_0_37">#REF!</definedName>
    <definedName name="_0_38">#REF!</definedName>
    <definedName name="_0_39">#REF!</definedName>
    <definedName name="_0_4">#REF!</definedName>
    <definedName name="_0_40">#REF!</definedName>
    <definedName name="_0_41">#REF!</definedName>
    <definedName name="_0_42">#REF!</definedName>
    <definedName name="_0_43">#REF!</definedName>
    <definedName name="_0_44">#REF!</definedName>
    <definedName name="_0_45">#REF!</definedName>
    <definedName name="_0_46">#REF!</definedName>
    <definedName name="_0_47">#REF!</definedName>
    <definedName name="_0_48">#REF!</definedName>
    <definedName name="_0_49">#REF!</definedName>
    <definedName name="_0_5">NA()</definedName>
    <definedName name="_0_50">#REF!</definedName>
    <definedName name="_0_51">#REF!</definedName>
    <definedName name="_0_52">#REF!</definedName>
    <definedName name="_0_53">#REF!</definedName>
    <definedName name="_0_55">#REF!</definedName>
    <definedName name="_0_56">#REF!</definedName>
    <definedName name="_0_57">#REF!</definedName>
    <definedName name="_0_61">#REF!</definedName>
    <definedName name="_0_62">#REF!</definedName>
    <definedName name="_0_63">#REF!</definedName>
    <definedName name="_0_64">#REF!</definedName>
    <definedName name="_0_65">#REF!</definedName>
    <definedName name="_0_66">#REF!</definedName>
    <definedName name="_0_8">#REF!</definedName>
    <definedName name="_0_9">#REF!</definedName>
    <definedName name="_1">#N/A</definedName>
    <definedName name="_1_">#REF!</definedName>
    <definedName name="_1__________________________________________________________123Graph_ACHART_3" hidden="1">#REF!</definedName>
    <definedName name="_1___123Graph_ACHART_3" hidden="1">#REF!</definedName>
    <definedName name="_1__123Graph_AAdmin_Expenses" hidden="1">#REF!</definedName>
    <definedName name="_1__123Graph_AChart_1AJ" hidden="1">#REF!</definedName>
    <definedName name="_1__123Graph_ACHART_3" hidden="1">#REF!</definedName>
    <definedName name="_10_______________________________________________________123Graph_ACHART_4" hidden="1">#REF!</definedName>
    <definedName name="_10__123Graph_BCHART_4" hidden="1">#REF!</definedName>
    <definedName name="_10__123Graph_XCHART_4" hidden="1">#REF!</definedName>
    <definedName name="_10_p_1">#REF!</definedName>
    <definedName name="_100___________________________123Graph_BCHART_4" hidden="1">#REF!</definedName>
    <definedName name="_1000A01">#N/A</definedName>
    <definedName name="_100PrimeState_4_1">#REF!</definedName>
    <definedName name="_101___________________________123Graph_XCHART_3" hidden="1">#REF!</definedName>
    <definedName name="_101PRINT_AREA_MI_4_1">#REF!</definedName>
    <definedName name="_102___________________________123Graph_XCHART_4" hidden="1">#REF!</definedName>
    <definedName name="_102PROD_4_1">#REF!</definedName>
    <definedName name="_103__________________________123Graph_XCHART_3" hidden="1">#REF!</definedName>
    <definedName name="_103ProdCode1_4_1">#REF!</definedName>
    <definedName name="_104__________________________123Graph_XCHART_4" hidden="1">#REF!</definedName>
    <definedName name="_104ProdCode1_Text_4_1">#REF!</definedName>
    <definedName name="_105_________________________123Graph_ACHART_3" hidden="1">#REF!</definedName>
    <definedName name="_105ProdCode2_4_1">#REF!</definedName>
    <definedName name="_106_________________________123Graph_ACHART_4" hidden="1">#REF!</definedName>
    <definedName name="_106ProdCode2_Text_4_1">#REF!</definedName>
    <definedName name="_107_________________________123Graph_BCHART_3" hidden="1">#REF!</definedName>
    <definedName name="_108_________________________123Graph_BCHART_4" hidden="1">#REF!</definedName>
    <definedName name="_109_________________________123Graph_XCHART_3" hidden="1">#REF!</definedName>
    <definedName name="_109ProdCode3_4_1">#REF!</definedName>
    <definedName name="_11_______________________________________________________123Graph_BCHART_3" hidden="1">#REF!</definedName>
    <definedName name="_11__123Graph_BCHART_4" hidden="1">#REF!</definedName>
    <definedName name="_11__123Graph_XCHART_3" hidden="1">#REF!</definedName>
    <definedName name="_11_p_4_1">#REF!</definedName>
    <definedName name="_110_________________________123Graph_XCHART_4" hidden="1">#REF!</definedName>
    <definedName name="_111________________________123Graph_XCHART_3" hidden="1">#REF!</definedName>
    <definedName name="_112________________________123Graph_XCHART_4" hidden="1">#REF!</definedName>
    <definedName name="_112ProdCode3_Text_4_1">#REF!</definedName>
    <definedName name="_113_______________________123Graph_ACHART_3" hidden="1">#REF!</definedName>
    <definedName name="_114_______________________123Graph_ACHART_4" hidden="1">#REF!</definedName>
    <definedName name="_115_______________________123Graph_BCHART_3" hidden="1">#REF!</definedName>
    <definedName name="_115ProdCode4_4_1">#REF!</definedName>
    <definedName name="_116_______________________123Graph_BCHART_4" hidden="1">#REF!</definedName>
    <definedName name="_117_______________________123Graph_XCHART_3" hidden="1">#REF!</definedName>
    <definedName name="_118_______________________123Graph_XCHART_4" hidden="1">#REF!</definedName>
    <definedName name="_118ProdCode4_Text_4_1">#REF!</definedName>
    <definedName name="_119______________________123Graph_XCHART_3" hidden="1">#REF!</definedName>
    <definedName name="_119ProdCode5_4_1">#REF!</definedName>
    <definedName name="_12_______________________________________________________123Graph_BCHART_4" hidden="1">#REF!</definedName>
    <definedName name="_12____123Graph_BCHART_4" hidden="1">#REF!</definedName>
    <definedName name="_12__123Graph_BCHART_4" hidden="1">#REF!</definedName>
    <definedName name="_12__123Graph_XCHART_4" hidden="1">#REF!</definedName>
    <definedName name="_120______________________123Graph_XCHART_4" hidden="1">#REF!</definedName>
    <definedName name="_120ProdCode5_Text_4_1">#REF!</definedName>
    <definedName name="_121_____________________123Graph_ACHART_3" hidden="1">#REF!</definedName>
    <definedName name="_122_____________________123Graph_ACHART_4" hidden="1">#REF!</definedName>
    <definedName name="_123" hidden="1">#REF!</definedName>
    <definedName name="_123_____________________123Graph_BCHART_3" hidden="1">#REF!</definedName>
    <definedName name="_123ProdPct1_4_1">#REF!</definedName>
    <definedName name="_124_____________________123Graph_BCHART_4" hidden="1">#REF!</definedName>
    <definedName name="_125_____________________123Graph_XCHART_3" hidden="1">#REF!</definedName>
    <definedName name="_126_____________________123Graph_XCHART_4" hidden="1">#REF!</definedName>
    <definedName name="_126ProdPct2_4_1">#REF!</definedName>
    <definedName name="_127____________________123Graph_ACHART_3" hidden="1">#REF!</definedName>
    <definedName name="_128____________________123Graph_ACHART_4" hidden="1">#REF!</definedName>
    <definedName name="_129____________________123Graph_BCHART_3" hidden="1">#REF!</definedName>
    <definedName name="_129ProdPct3_4_1">#REF!</definedName>
    <definedName name="_12Excel_BuiltIn_Print_Area_1_1_1">#REF!</definedName>
    <definedName name="_13______________________________________________________123Graph_ACHART_3" hidden="1">#REF!</definedName>
    <definedName name="_13__123Graph_XCHART_3" hidden="1">#REF!</definedName>
    <definedName name="_130____________________123Graph_BCHART_4" hidden="1">#REF!</definedName>
    <definedName name="_130ProdPct4_4_1">#REF!</definedName>
    <definedName name="_131____________________123Graph_XCHART_3" hidden="1">#REF!</definedName>
    <definedName name="_131ProdPct5_4_1">#REF!</definedName>
    <definedName name="_132____________________123Graph_XCHART_4" hidden="1">#REF!</definedName>
    <definedName name="_132ProjAddress1_4_1">#REF!</definedName>
    <definedName name="_133___________________123Graph_ACHART_3" hidden="1">#REF!</definedName>
    <definedName name="_133ProjAddress2_4_1">#REF!</definedName>
    <definedName name="_134___________________123Graph_ACHART_4" hidden="1">#REF!</definedName>
    <definedName name="_134ProjCity_4_1">#REF!</definedName>
    <definedName name="_135___________________123Graph_BCHART_3" hidden="1">#REF!</definedName>
    <definedName name="_135ProjCountry_4_1">#REF!</definedName>
    <definedName name="_136___________________123Graph_BCHART_4" hidden="1">#REF!</definedName>
    <definedName name="_136ProjCounty_4_1">#REF!</definedName>
    <definedName name="_137___________________123Graph_XCHART_3" hidden="1">#REF!</definedName>
    <definedName name="_137ProjName_4_1">#REF!</definedName>
    <definedName name="_138___________________123Graph_XCHART_4" hidden="1">#REF!</definedName>
    <definedName name="_138ProjNum_4_1">#REF!</definedName>
    <definedName name="_139__________________123Graph_ACHART_3" hidden="1">#REF!</definedName>
    <definedName name="_139ProjPostal_4_1">#REF!</definedName>
    <definedName name="_13Excel_BuiltIn_Print_Area_1_1_1_1">NA()</definedName>
    <definedName name="_14______________________________________________________123Graph_ACHART_4" hidden="1">#REF!</definedName>
    <definedName name="_14__123Graph_XCHART_4" hidden="1">#REF!</definedName>
    <definedName name="_140__________________123Graph_ACHART_4" hidden="1">#REF!</definedName>
    <definedName name="_140ProjState_4_1">#REF!</definedName>
    <definedName name="_141__________________123Graph_BCHART_3" hidden="1">#REF!</definedName>
    <definedName name="_142__________________123Graph_BCHART_4" hidden="1">#REF!</definedName>
    <definedName name="_143__________________123Graph_XCHART_3" hidden="1">#REF!</definedName>
    <definedName name="_143PSABillingMethod_4_1">#REF!</definedName>
    <definedName name="_144__________________123Graph_XCHART_4" hidden="1">#REF!</definedName>
    <definedName name="_144rim4_4_1">#REF!</definedName>
    <definedName name="_145_________________123Graph_ACHART_3" hidden="1">#REF!</definedName>
    <definedName name="_145SalesMgr_4_1">#REF!</definedName>
    <definedName name="_146_________________123Graph_ACHART_4" hidden="1">#REF!</definedName>
    <definedName name="_146saud_4_1">#REF!</definedName>
    <definedName name="_147_________________123Graph_BCHART_3" hidden="1">#REF!</definedName>
    <definedName name="_147sauf_4_1">#REF!</definedName>
    <definedName name="_148_________________123Graph_BCHART_4" hidden="1">#REF!</definedName>
    <definedName name="_148sauif_4_1">#REF!</definedName>
    <definedName name="_149_________________123Graph_XCHART_3" hidden="1">#REF!</definedName>
    <definedName name="_149SelectedLanguage_4_1">#REF!</definedName>
    <definedName name="_14AcctName_4_1">#REF!</definedName>
    <definedName name="_15______________________________________________________123Graph_BCHART_3" hidden="1">#REF!</definedName>
    <definedName name="_15___123Graph_ACHART_3" hidden="1">#REF!</definedName>
    <definedName name="_15__123Graph_XCHART_3" hidden="1">#REF!</definedName>
    <definedName name="_150_________________123Graph_XCHART_4" hidden="1">#REF!</definedName>
    <definedName name="_151________________123Graph_ACHART_3" hidden="1">#REF!</definedName>
    <definedName name="_152________________123Graph_ACHART_4" hidden="1">#REF!</definedName>
    <definedName name="_152SiteID_4_1">#REF!</definedName>
    <definedName name="_153________________123Graph_BCHART_3" hidden="1">#REF!</definedName>
    <definedName name="_154________________123Graph_BCHART_4" hidden="1">#REF!</definedName>
    <definedName name="_155________________123Graph_XCHART_3" hidden="1">#REF!</definedName>
    <definedName name="_155SiteType_4_1">#REF!</definedName>
    <definedName name="_156________________123Graph_XCHART_4" hidden="1">#REF!</definedName>
    <definedName name="_156SmallProj_4_1">#REF!</definedName>
    <definedName name="_157_______________123Graph_ACHART_3" hidden="1">#REF!</definedName>
    <definedName name="_157SmallProj_Text_4_1">#REF!</definedName>
    <definedName name="_158_______________123Graph_ACHART_4" hidden="1">#REF!</definedName>
    <definedName name="_158SP1Branch_4_1">#REF!</definedName>
    <definedName name="_159_______________123Graph_BCHART_3" hidden="1">#REF!</definedName>
    <definedName name="_159SP1Credit_4_1">#REF!</definedName>
    <definedName name="_16______________________________________________________123Graph_BCHART_4" hidden="1">#REF!</definedName>
    <definedName name="_16__123Graph_XCHART_4" hidden="1">#REF!</definedName>
    <definedName name="_160_______________123Graph_BCHART_4" hidden="1">#REF!</definedName>
    <definedName name="_160SP1Name_4_1">#REF!</definedName>
    <definedName name="_161_______________123Graph_XCHART_3" hidden="1">#REF!</definedName>
    <definedName name="_161SP1Number_4_1">#REF!</definedName>
    <definedName name="_162_______________123Graph_XCHART_4" hidden="1">#REF!</definedName>
    <definedName name="_163______________123Graph_ACHART_3" hidden="1">#REF!</definedName>
    <definedName name="_163__123Graph_XCHART_3" hidden="1">#REF!</definedName>
    <definedName name="_164______________123Graph_ACHART_4" hidden="1">#REF!</definedName>
    <definedName name="_164__123Graph_XCHART_4" hidden="1">#REF!</definedName>
    <definedName name="_164SP2Branch_4_1">#REF!</definedName>
    <definedName name="_165______________123Graph_BCHART_3" hidden="1">#REF!</definedName>
    <definedName name="_166______________123Graph_BCHART_4" hidden="1">#REF!</definedName>
    <definedName name="_167______________123Graph_XCHART_3" hidden="1">#REF!</definedName>
    <definedName name="_167SP2Credit_4_1">#REF!</definedName>
    <definedName name="_168______________123Graph_XCHART_4" hidden="1">#REF!</definedName>
    <definedName name="_169_____________123Graph_ACHART_3" hidden="1">#REF!</definedName>
    <definedName name="_16Excel_BuiltIn_Print_Area_2_1">#REF!</definedName>
    <definedName name="_17_____________________________________________________123Graph_ACHART_3" hidden="1">#REF!</definedName>
    <definedName name="_17__123Graph_XCHART_3" hidden="1">#REF!</definedName>
    <definedName name="_170_____________123Graph_ACHART_4" hidden="1">#REF!</definedName>
    <definedName name="_170SP2Name_4_1">#REF!</definedName>
    <definedName name="_171_____________123Graph_BCHART_3" hidden="1">#REF!</definedName>
    <definedName name="_171__123Graph_XCHART_3" hidden="1">#REF!</definedName>
    <definedName name="_172_____________123Graph_BCHART_4" hidden="1">#REF!</definedName>
    <definedName name="_172__123Graph_XCHART_4" hidden="1">#REF!</definedName>
    <definedName name="_173_____________123Graph_XCHART_3" hidden="1">#REF!</definedName>
    <definedName name="_173SP2Number_4_1">#REF!</definedName>
    <definedName name="_174_____________123Graph_XCHART_4" hidden="1">#REF!</definedName>
    <definedName name="_175____________123Graph_ACHART_3" hidden="1">#REF!</definedName>
    <definedName name="_176____________123Graph_ACHART_4" hidden="1">#REF!</definedName>
    <definedName name="_176SP3Branch_4_1">#REF!</definedName>
    <definedName name="_177____________123Graph_BCHART_3" hidden="1">#REF!</definedName>
    <definedName name="_178____________123Graph_BCHART_4" hidden="1">#REF!</definedName>
    <definedName name="_179____________123Graph_XCHART_3" hidden="1">#REF!</definedName>
    <definedName name="_179SP3Credit_4_1">#REF!</definedName>
    <definedName name="_17AcctPrio_4_1">#REF!</definedName>
    <definedName name="_18_____________________________________________________123Graph_ACHART_4" hidden="1">#REF!</definedName>
    <definedName name="_18_____123Graph_XCHART_4" hidden="1">#REF!</definedName>
    <definedName name="_18___123Graph_ACHART_4" hidden="1">#REF!</definedName>
    <definedName name="_18__123Graph_XCHART_4" hidden="1">#REF!</definedName>
    <definedName name="_180____________123Graph_XCHART_4" hidden="1">#REF!</definedName>
    <definedName name="_181___________123Graph_ACHART_3" hidden="1">#REF!</definedName>
    <definedName name="_182___________123Graph_ACHART_4" hidden="1">#REF!</definedName>
    <definedName name="_182SP3Name_4_1">#REF!</definedName>
    <definedName name="_183___________123Graph_BCHART_3" hidden="1">#REF!</definedName>
    <definedName name="_184___________123Graph_BCHART_4" hidden="1">#REF!</definedName>
    <definedName name="_185___________123Graph_XCHART_3" hidden="1">#REF!</definedName>
    <definedName name="_185SP3Number_4_1">#REF!</definedName>
    <definedName name="_186___________123Graph_XCHART_4" hidden="1">#REF!</definedName>
    <definedName name="_187__________123Graph_ACHART_3" hidden="1">#REF!</definedName>
    <definedName name="_188__________123Graph_ACHART_4" hidden="1">#REF!</definedName>
    <definedName name="_188SP4Branch_4_1">#REF!</definedName>
    <definedName name="_189__________123Graph_BCHART_3" hidden="1">#REF!</definedName>
    <definedName name="_19_____________________________________________________123Graph_BCHART_3" hidden="1">#REF!</definedName>
    <definedName name="_190__________123Graph_BCHART_4" hidden="1">#REF!</definedName>
    <definedName name="_191__________123Graph_XCHART_3" hidden="1">#REF!</definedName>
    <definedName name="_191SP4Credit_4_1">#REF!</definedName>
    <definedName name="_192__________123Graph_XCHART_4" hidden="1">#REF!</definedName>
    <definedName name="_192SP4Name_4_1">#REF!</definedName>
    <definedName name="_193_________123Graph_ACHART_3" hidden="1">#REF!</definedName>
    <definedName name="_194_________123Graph_ACHART_4" hidden="1">#REF!</definedName>
    <definedName name="_195_________123Graph_BCHART_3" hidden="1">#REF!</definedName>
    <definedName name="_195SP4Number_4_1">#REF!</definedName>
    <definedName name="_196_________123Graph_BCHART_4" hidden="1">#REF!</definedName>
    <definedName name="_197_________123Graph_XCHART_3" hidden="1">#REF!</definedName>
    <definedName name="_198_________123Graph_XCHART_4" hidden="1">#REF!</definedName>
    <definedName name="_198SP5Branch_4_1">#REF!</definedName>
    <definedName name="_199________123Graph_ACHART_3" hidden="1">#REF!</definedName>
    <definedName name="_1Excel_BuiltIn_Print_Area_1">#REF!</definedName>
    <definedName name="_1Excel_BuiltIn_Print_Area_1_1_1">#REF!</definedName>
    <definedName name="_1Excel_BuiltIn_Print_Area_2_1">#REF!</definedName>
    <definedName name="_1Excel_BuiltIn_Print_Area_2_1_1_1_1_1_1">"$#REF!.$A$6:$D$111"</definedName>
    <definedName name="_2_">#REF!</definedName>
    <definedName name="_2__________________________________________________________123Graph_ACHART_4" hidden="1">#REF!</definedName>
    <definedName name="_2___123Graph_ACHART_4" hidden="1">#REF!</definedName>
    <definedName name="_2__123Graph_AChart_1AJ" hidden="1">#REF!</definedName>
    <definedName name="_2__123Graph_AChart_1Q" hidden="1">#REF!</definedName>
    <definedName name="_2__123Graph_ACHART_3" hidden="1">#REF!</definedName>
    <definedName name="_2__123Graph_ACHART_4" hidden="1">#REF!</definedName>
    <definedName name="_2__123Graph_AService_Expense" hidden="1">#REF!</definedName>
    <definedName name="_20_____________________________________________________123Graph_BCHART_4" hidden="1">#REF!</definedName>
    <definedName name="_200________123Graph_ACHART_4" hidden="1">#REF!</definedName>
    <definedName name="_201________123Graph_BCHART_3" hidden="1">#REF!</definedName>
    <definedName name="_201SP5Credit_4_1">#REF!</definedName>
    <definedName name="_202________123Graph_BCHART_4" hidden="1">#REF!</definedName>
    <definedName name="_2021_01_04">#N/A</definedName>
    <definedName name="_203________123Graph_XCHART_3" hidden="1">#REF!</definedName>
    <definedName name="_204________123Graph_XCHART_4" hidden="1">#REF!</definedName>
    <definedName name="_204SP5Name_4_1">#REF!</definedName>
    <definedName name="_205_______123Graph_ACHART_3" hidden="1">#REF!</definedName>
    <definedName name="_206_______123Graph_ACHART_4" hidden="1">#REF!</definedName>
    <definedName name="_207_______123Graph_BCHART_3" hidden="1">#REF!</definedName>
    <definedName name="_207SP5Number_4_1">#REF!</definedName>
    <definedName name="_208_______123Graph_BCHART_4" hidden="1">#REF!</definedName>
    <definedName name="_208SpecClass_4_1">#REF!</definedName>
    <definedName name="_209_______123Graph_XCHART_3" hidden="1">#REF!</definedName>
    <definedName name="_209SpecClass_Text_4_1">#REF!</definedName>
    <definedName name="_20AcctPrio_Text_4_1">#REF!</definedName>
    <definedName name="_21___________________________________________________123Graph_ACHART_3" hidden="1">#REF!</definedName>
    <definedName name="_21_______123Graph_XCHART_3" hidden="1">#REF!</definedName>
    <definedName name="_21___123Graph_BCHART_3" hidden="1">#REF!</definedName>
    <definedName name="_210_______123Graph_XCHART_4" hidden="1">#REF!</definedName>
    <definedName name="_211______123Graph_ACHART_3" hidden="1">#REF!</definedName>
    <definedName name="_212______123Graph_ACHART_4" hidden="1">#REF!</definedName>
    <definedName name="_212SpecEnv1_4_1">#REF!</definedName>
    <definedName name="_213______123Graph_BCHART_3" hidden="1">#REF!</definedName>
    <definedName name="_214______123Graph_BCHART_4" hidden="1">#REF!</definedName>
    <definedName name="_215______123Graph_XCHART_3" hidden="1">#REF!</definedName>
    <definedName name="_215SpecEnv1_Text_4_1">#REF!</definedName>
    <definedName name="_216______123Graph_XCHART_4" hidden="1">#REF!</definedName>
    <definedName name="_217_____123Graph_ACHART_3" hidden="1">#REF!</definedName>
    <definedName name="_218_____123Graph_ACHART_4" hidden="1">#REF!</definedName>
    <definedName name="_218SpecEnv2_4_1">#REF!</definedName>
    <definedName name="_219_____123Graph_BCHART_3" hidden="1">#REF!</definedName>
    <definedName name="_21BidClass_4_1">#REF!</definedName>
    <definedName name="_22___________________________________________________123Graph_ACHART_4" hidden="1">#REF!</definedName>
    <definedName name="_22_______123Graph_XCHART_4" hidden="1">#REF!</definedName>
    <definedName name="_220_____123Graph_BCHART_4" hidden="1">#REF!</definedName>
    <definedName name="_221_____123Graph_XCHART_3" hidden="1">#REF!</definedName>
    <definedName name="_221SpecEnv2_Text_4_1">#REF!</definedName>
    <definedName name="_222_____123Graph_XCHART_4" hidden="1">#REF!</definedName>
    <definedName name="_222SPLR_4_1">#REF!</definedName>
    <definedName name="_223____123Graph_ACHART_3" hidden="1">#REF!</definedName>
    <definedName name="_224____123Graph_ACHART_4" hidden="1">#REF!</definedName>
    <definedName name="_225____123Graph_BCHART_3" hidden="1">#REF!</definedName>
    <definedName name="_225SrvcCode1_4_1">#REF!</definedName>
    <definedName name="_226____123Graph_BCHART_4" hidden="1">#REF!</definedName>
    <definedName name="_227____123Graph_XCHART_3" hidden="1">#REF!</definedName>
    <definedName name="_228____123Graph_XCHART_4" hidden="1">#REF!</definedName>
    <definedName name="_228SrvcCode1_Text_4_1">#REF!</definedName>
    <definedName name="_229___123Graph_ACHART_3" hidden="1">#REF!</definedName>
    <definedName name="_22BidClass_Text_4_1">#REF!</definedName>
    <definedName name="_23___________________________________________________123Graph_BCHART_3" hidden="1">#REF!</definedName>
    <definedName name="_230___123Graph_ACHART_4" hidden="1">#REF!</definedName>
    <definedName name="_231___123Graph_BCHART_3" hidden="1">#REF!</definedName>
    <definedName name="_231SrvcCode2_4_1">#REF!</definedName>
    <definedName name="_232___123Graph_BCHART_4" hidden="1">#REF!</definedName>
    <definedName name="_233___123Graph_XCHART_3" hidden="1">#REF!</definedName>
    <definedName name="_234___123Graph_XCHART_4" hidden="1">#REF!</definedName>
    <definedName name="_234SrvcCode2_Text_4_1">#REF!</definedName>
    <definedName name="_235__123Graph_ACHART_3" hidden="1">#REF!</definedName>
    <definedName name="_236__123Graph_ACHART_4" hidden="1">#REF!</definedName>
    <definedName name="_237__123Graph_BCHART_3" hidden="1">#REF!</definedName>
    <definedName name="_237SrvcCode3_4_1">#REF!</definedName>
    <definedName name="_238__123Graph_BCHART_4" hidden="1">#REF!</definedName>
    <definedName name="_239__123Graph_XCHART_3" hidden="1">#REF!</definedName>
    <definedName name="_24___________________________________________________123Graph_BCHART_4" hidden="1">#REF!</definedName>
    <definedName name="_24___123Graph_BCHART_4" hidden="1">#REF!</definedName>
    <definedName name="_240__123Graph_XCHART_4" hidden="1">#REF!</definedName>
    <definedName name="_240SrvcCode3_Text_4_1">#REF!</definedName>
    <definedName name="_241SrvcCode4_4_1">#REF!</definedName>
    <definedName name="_242SrvcCode4_Text_4_1">#REF!</definedName>
    <definedName name="_243SrvcCode5_4_1">#REF!</definedName>
    <definedName name="_244SrvcCode5_Text_4_1">#REF!</definedName>
    <definedName name="_245StartDate_4_1">#REF!</definedName>
    <definedName name="_246swf_4_1">#REF!</definedName>
    <definedName name="_247TierCode_4_1">#REF!</definedName>
    <definedName name="_248TierCode_Text_4_1">#REF!</definedName>
    <definedName name="_249vatf_4_1">#REF!</definedName>
    <definedName name="_25_________________________________________________123Graph_ACHART_3" hidden="1">#REF!</definedName>
    <definedName name="_25___123Graph_XCHART_3" hidden="1">#REF!</definedName>
    <definedName name="_25BillingFreq_4_1">#REF!</definedName>
    <definedName name="_26_________________________________________________123Graph_ACHART_4" hidden="1">#REF!</definedName>
    <definedName name="_26___123Graph_XCHART_4" hidden="1">#REF!</definedName>
    <definedName name="_2672__123Graph_XCHART_3" hidden="1">#REF!</definedName>
    <definedName name="_2673__123Graph_XCHART_4" hidden="1">#REF!</definedName>
    <definedName name="_27_________________________________________________123Graph_BCHART_3" hidden="1">#REF!</definedName>
    <definedName name="_27______123Graph_XCHART_3" hidden="1">#REF!</definedName>
    <definedName name="_28_________________________________________________123Graph_BCHART_4" hidden="1">#REF!</definedName>
    <definedName name="_28______123Graph_XCHART_4" hidden="1">#REF!</definedName>
    <definedName name="_28BillingTiming_4_1">#REF!</definedName>
    <definedName name="_29_______________________________________________123Graph_ACHART_3" hidden="1">#REF!</definedName>
    <definedName name="_297_______123Graph_XCHART_3" hidden="1">#REF!</definedName>
    <definedName name="_298_______123Graph_XCHART_4" hidden="1">#REF!</definedName>
    <definedName name="_299______123Graph_XCHART_3" hidden="1">#REF!</definedName>
    <definedName name="_29BusType_4_1">#REF!</definedName>
    <definedName name="_2Excel_BuiltIn_Print_Area_1_1_1_1">#REF!</definedName>
    <definedName name="_2Excel_BuiltIn_Print_Area_10">#REF!</definedName>
    <definedName name="_2Excel_BuiltIn_Print_Area_4_1">#REF!</definedName>
    <definedName name="_2m_100">#REF!</definedName>
    <definedName name="_2m_150">#REF!</definedName>
    <definedName name="_2m_200">#REF!</definedName>
    <definedName name="_2m_25">#REF!</definedName>
    <definedName name="_2m_250">#REF!</definedName>
    <definedName name="_2m_300">#REF!</definedName>
    <definedName name="_2m_32">#REF!</definedName>
    <definedName name="_2m_40">#REF!</definedName>
    <definedName name="_2m_50">#REF!</definedName>
    <definedName name="_2m_65">#REF!</definedName>
    <definedName name="_2m_80">#REF!</definedName>
    <definedName name="_3__________________________________________________________123Graph_BCHART_3" hidden="1">#REF!</definedName>
    <definedName name="_3____123Graph_ACHART_3" hidden="1">#REF!</definedName>
    <definedName name="_3___123Graph_BCHART_3" hidden="1">#REF!</definedName>
    <definedName name="_3__123Graph_AChart_1Q" hidden="1">#REF!</definedName>
    <definedName name="_3__123Graph_ACHART_3" hidden="1">#REF!</definedName>
    <definedName name="_3__123Graph_BAdmin_Expenses" hidden="1">#REF!</definedName>
    <definedName name="_3__123Graph_BChart_1Q" hidden="1">#REF!</definedName>
    <definedName name="_3__123Graph_BCHART_3" hidden="1">#REF!</definedName>
    <definedName name="_30_______________________________________________123Graph_ACHART_4" hidden="1">#REF!</definedName>
    <definedName name="_300______123Graph_XCHART_4" hidden="1">#REF!</definedName>
    <definedName name="_30BusType_Text_4_1">#REF!</definedName>
    <definedName name="_30cd___Horizontal_Strobe_light_speaker__wall_mounted">#REF!</definedName>
    <definedName name="_30cd__Vertical_strobe_light__wall_mounted">#REF!</definedName>
    <definedName name="_31_______________________________________________123Graph_BCHART_3" hidden="1">#REF!</definedName>
    <definedName name="_31cab21.5tp_4_1">#REF!</definedName>
    <definedName name="_32_______________________________________________123Graph_BCHART_4" hidden="1">#REF!</definedName>
    <definedName name="_32___123Graph_XCHART_3" hidden="1">#REF!</definedName>
    <definedName name="_32cab21s_4_1">#REF!</definedName>
    <definedName name="_33_____________________________________________123Graph_ACHART_3" hidden="1">#REF!</definedName>
    <definedName name="_33cab21us_4_1">#REF!</definedName>
    <definedName name="_34_____________________________________________123Graph_ACHART_4" hidden="1">#REF!</definedName>
    <definedName name="_34cab31s_4_1">#REF!</definedName>
    <definedName name="_35_____________________________________________123Graph_BCHART_3" hidden="1">#REF!</definedName>
    <definedName name="_35cab31us_4_1">#REF!</definedName>
    <definedName name="_36_____________________________________________123Graph_BCHART_4" hidden="1">#REF!</definedName>
    <definedName name="_36cab41s_4_1">#REF!</definedName>
    <definedName name="_37___________________________________________123Graph_ACHART_3" hidden="1">#REF!</definedName>
    <definedName name="_37_____123Graph_XCHART_3" hidden="1">#REF!</definedName>
    <definedName name="_37cab41us_4_1">#REF!</definedName>
    <definedName name="_38___________________________________________123Graph_ACHART_4" hidden="1">#REF!</definedName>
    <definedName name="_38_____123Graph_XCHART_4" hidden="1">#REF!</definedName>
    <definedName name="_38__123Graph_ACHART_3" hidden="1">#REF!</definedName>
    <definedName name="_38cabf_4_1">#REF!</definedName>
    <definedName name="_39___________________________________________123Graph_BCHART_3" hidden="1">#REF!</definedName>
    <definedName name="_39CABLE_4_1">#REF!</definedName>
    <definedName name="_3Excel_BuiltIn_Print_Area_3">#REF!</definedName>
    <definedName name="_3m_100">#REF!</definedName>
    <definedName name="_3m_150">#REF!</definedName>
    <definedName name="_3m_200">#REF!</definedName>
    <definedName name="_3m_25">#REF!</definedName>
    <definedName name="_3m_250">#REF!</definedName>
    <definedName name="_3m_300">#REF!</definedName>
    <definedName name="_3m_32">#REF!</definedName>
    <definedName name="_3m_40">#REF!</definedName>
    <definedName name="_3m_50">#REF!</definedName>
    <definedName name="_3m_65">#REF!</definedName>
    <definedName name="_3m_80">#REF!</definedName>
    <definedName name="_4__________________________________________________________123Graph_BCHART_4" hidden="1">#REF!</definedName>
    <definedName name="_4___123Graph_BCHART_4" hidden="1">#REF!</definedName>
    <definedName name="_4__123Graph_ACHART_3" hidden="1">#REF!</definedName>
    <definedName name="_4__123Graph_ACHART_4" hidden="1">#REF!</definedName>
    <definedName name="_4__123Graph_BChart_1Q" hidden="1">#REF!</definedName>
    <definedName name="_4__123Graph_BCHART_4" hidden="1">#REF!</definedName>
    <definedName name="_4__123Graph_BService_Expense" hidden="1">#REF!</definedName>
    <definedName name="_4_a_1">#REF!</definedName>
    <definedName name="_40___________________________________________123Graph_BCHART_4" hidden="1">#REF!</definedName>
    <definedName name="_40CALf_4_1">#REF!</definedName>
    <definedName name="_41_________________________________________123Graph_ACHART_3" hidden="1">#REF!</definedName>
    <definedName name="_41ChangeBy_4_1">#REF!</definedName>
    <definedName name="_42_________________________________________123Graph_ACHART_4" hidden="1">#REF!</definedName>
    <definedName name="_42ChangeDate_4_1">#REF!</definedName>
    <definedName name="_43_________________________________________123Graph_BCHART_3" hidden="1">#REF!</definedName>
    <definedName name="_43CompDate_4_1">#REF!</definedName>
    <definedName name="_44_________________________________________123Graph_BCHART_4" hidden="1">#REF!</definedName>
    <definedName name="_449_____123Graph_XCHART_3" hidden="1">#REF!</definedName>
    <definedName name="_44conf_4_1">#REF!</definedName>
    <definedName name="_45_________________________________________123Graph_XCHART_3" hidden="1">#REF!</definedName>
    <definedName name="_450_____123Graph_XCHART_4" hidden="1">#REF!</definedName>
    <definedName name="_45ContAmt_4_1">#REF!</definedName>
    <definedName name="_46_________________________________________123Graph_XCHART_4" hidden="1">#REF!</definedName>
    <definedName name="_47________________________________________123Graph_XCHART_3" hidden="1">#REF!</definedName>
    <definedName name="_47____123Graph_XCHART_3" hidden="1">#REF!</definedName>
    <definedName name="_48________________________________________123Graph_XCHART_4" hidden="1">#REF!</definedName>
    <definedName name="_48____123Graph_XCHART_4" hidden="1">#REF!</definedName>
    <definedName name="_48ContWithAcct_4_1">#REF!</definedName>
    <definedName name="_49_______________________________________123Graph_ACHART_3" hidden="1">#REF!</definedName>
    <definedName name="_49ContWithName_4_1">#REF!</definedName>
    <definedName name="_4Excel_BuiltIn_Print_Area_4">#REF!</definedName>
    <definedName name="_5________________________________________________________123Graph_ACHART_3" hidden="1">#REF!</definedName>
    <definedName name="_5___123Graph_XCHART_3" hidden="1">#REF!</definedName>
    <definedName name="_5__123Graph_XAdmin_Expenses" hidden="1">#REF!</definedName>
    <definedName name="_5__123Graph_XCHART_3" hidden="1">#REF!</definedName>
    <definedName name="_5_0ACwvu.Pag" hidden="1">#REF!</definedName>
    <definedName name="_50_______________________________________123Graph_ACHART_4" hidden="1">#REF!</definedName>
    <definedName name="_50__123Graph_ACHART_4" hidden="1">#REF!</definedName>
    <definedName name="_50ContWithPrio_4_1">#REF!</definedName>
    <definedName name="_51_______________________________________123Graph_BCHART_3" hidden="1">#REF!</definedName>
    <definedName name="_51ContWithPrio_Text_4_1">#REF!</definedName>
    <definedName name="_52_______________________________________123Graph_BCHART_4" hidden="1">#REF!</definedName>
    <definedName name="_52CONum_4_1">#REF!</definedName>
    <definedName name="_53_______________________________________123Graph_XCHART_3" hidden="1">#REF!</definedName>
    <definedName name="_53CorpClient_4_1">#REF!</definedName>
    <definedName name="_54_______________________________________123Graph_XCHART_4" hidden="1">#REF!</definedName>
    <definedName name="_54CorpClient_Text_4_1">#REF!</definedName>
    <definedName name="_55______________________________________123Graph_XCHART_3" hidden="1">#REF!</definedName>
    <definedName name="_55CURR_4_1">#REF!</definedName>
    <definedName name="_56______________________________________123Graph_XCHART_4" hidden="1">#REF!</definedName>
    <definedName name="_57_____________________________________123Graph_ACHART_3" hidden="1">#REF!</definedName>
    <definedName name="_58_____________________________________123Graph_ACHART_4" hidden="1">#REF!</definedName>
    <definedName name="_58CurrencyRate_4_1">#REF!</definedName>
    <definedName name="_59_____________________________________123Graph_BCHART_3" hidden="1">#REF!</definedName>
    <definedName name="_59___123Graph_XCHART_3" hidden="1">#REF!</definedName>
    <definedName name="_599____123Graph_XCHART_3" hidden="1">#REF!</definedName>
    <definedName name="_59dim4_4_1">#REF!</definedName>
    <definedName name="_5Excel_BuiltIn_Print_Area_5">#REF!</definedName>
    <definedName name="_6________________________________________________________123Graph_ACHART_4" hidden="1">#REF!</definedName>
    <definedName name="_6____123Graph_ACHART_4" hidden="1">#REF!</definedName>
    <definedName name="_6___123Graph_XCHART_4" hidden="1">#REF!</definedName>
    <definedName name="_6__123Graph_ACHART_4" hidden="1">#REF!</definedName>
    <definedName name="_6__123Graph_BCHART_3" hidden="1">#REF!</definedName>
    <definedName name="_6__123Graph_XCHART_4" hidden="1">#REF!</definedName>
    <definedName name="_6__123Graph_XService_Expense" hidden="1">#REF!</definedName>
    <definedName name="_6_0Swvu.Pag" hidden="1">#REF!</definedName>
    <definedName name="_60_____________________________________123Graph_BCHART_4" hidden="1">#REF!</definedName>
    <definedName name="_60___123Graph_XCHART_4" hidden="1">#REF!</definedName>
    <definedName name="_600____123Graph_XCHART_4" hidden="1">#REF!</definedName>
    <definedName name="_60EngAddress_4_1">#REF!</definedName>
    <definedName name="_61_____________________________________123Graph_XCHART_3" hidden="1">#REF!</definedName>
    <definedName name="_61EngCity_4_1">#REF!</definedName>
    <definedName name="_62_____________________________________123Graph_XCHART_4" hidden="1">#REF!</definedName>
    <definedName name="_62__123Graph_BCHART_3" hidden="1">#REF!</definedName>
    <definedName name="_62EngName_4_1">#REF!</definedName>
    <definedName name="_63____________________________________123Graph_XCHART_3" hidden="1">#REF!</definedName>
    <definedName name="_63___123Graph_XCHART_3" hidden="1">#REF!</definedName>
    <definedName name="_63EngPostal_4_1">#REF!</definedName>
    <definedName name="_64____________________________________123Graph_XCHART_4" hidden="1">#REF!</definedName>
    <definedName name="_64___123Graph_XCHART_4" hidden="1">#REF!</definedName>
    <definedName name="_64EngPrio_4_1">#REF!</definedName>
    <definedName name="_65___________________________________123Graph_ACHART_3" hidden="1">#REF!</definedName>
    <definedName name="_65EngPrio_Text_4_1">#REF!</definedName>
    <definedName name="_66___________________________________123Graph_ACHART_4" hidden="1">#REF!</definedName>
    <definedName name="_66EngState_4_1">#REF!</definedName>
    <definedName name="_67___________________________________123Graph_BCHART_3" hidden="1">#REF!</definedName>
    <definedName name="_67EstCost_4_1">#REF!</definedName>
    <definedName name="_68___________________________________123Graph_BCHART_4" hidden="1">#REF!</definedName>
    <definedName name="_68eu_4_1">#REF!</definedName>
    <definedName name="_69___________________________________123Graph_XCHART_3" hidden="1">#REF!</definedName>
    <definedName name="_69Excel_BuiltIn_Print_Area_1">#REF!</definedName>
    <definedName name="_6Excel_BuiltIn_Print_Area_6">#REF!</definedName>
    <definedName name="_7________________________________________________________123Graph_BCHART_3" hidden="1">#REF!</definedName>
    <definedName name="_7__123Graph_ACHART_3" hidden="1">#REF!</definedName>
    <definedName name="_7_a_4_1">#REF!</definedName>
    <definedName name="_70___________________________________123Graph_XCHART_4" hidden="1">#REF!</definedName>
    <definedName name="_70Excel_BuiltIn_Print_Area_1_1">#REF!</definedName>
    <definedName name="_71__________________________________123Graph_XCHART_3" hidden="1">#REF!</definedName>
    <definedName name="_71Excel_BuiltIn_Print_Area_1_1_1_1">#REF!</definedName>
    <definedName name="_72__________________________________123Graph_XCHART_4" hidden="1">#REF!</definedName>
    <definedName name="_72Excel_BuiltIn_Print_Area_2_1_1">#REF!</definedName>
    <definedName name="_73_________________________________123Graph_ACHART_3" hidden="1">#REF!</definedName>
    <definedName name="_73Excel_BuiltIn_Print_Titles_1_1_1_1">#REF!</definedName>
    <definedName name="_74_________________________________123Graph_ACHART_4" hidden="1">#REF!</definedName>
    <definedName name="_74__123Graph_BCHART_4" hidden="1">#REF!</definedName>
    <definedName name="_75_________________________________123Graph_BCHART_3" hidden="1">#REF!</definedName>
    <definedName name="_75__123Graph_XCHART_3" hidden="1">#REF!</definedName>
    <definedName name="_76_________________________________123Graph_BCHART_4" hidden="1">#REF!</definedName>
    <definedName name="_76__123Graph_XCHART_4" hidden="1">#REF!</definedName>
    <definedName name="_77_________________________________123Graph_XCHART_3" hidden="1">#REF!</definedName>
    <definedName name="_78_________________________________123Graph_XCHART_4" hidden="1">#REF!</definedName>
    <definedName name="_79________________________________123Graph_XCHART_3" hidden="1">#REF!</definedName>
    <definedName name="_79FiscalIDNum_4_1">#REF!</definedName>
    <definedName name="_7a" hidden="1">#REF!</definedName>
    <definedName name="_7Excel_BuiltIn_Print_Area_8">#REF!</definedName>
    <definedName name="_8________________________________________________________123Graph_BCHART_4" hidden="1">#REF!</definedName>
    <definedName name="_8__123Graph_ACHART_4" hidden="1">#REF!</definedName>
    <definedName name="_8__123Graph_BCHART_4" hidden="1">#REF!</definedName>
    <definedName name="_8_0Rwvu.Pag" hidden="1">#REF!</definedName>
    <definedName name="_8_l_1">#REF!</definedName>
    <definedName name="_80________________________________123Graph_XCHART_4" hidden="1">#REF!</definedName>
    <definedName name="_80FormTitle_4_1">#REF!</definedName>
    <definedName name="_81_______________________________123Graph_ACHART_3" hidden="1">#REF!</definedName>
    <definedName name="_81GMAmount_4_1">#REF!</definedName>
    <definedName name="_82_______________________________123Graph_ACHART_4" hidden="1">#REF!</definedName>
    <definedName name="_82GMPercent_4_1">#REF!</definedName>
    <definedName name="_83_______________________________123Graph_BCHART_3" hidden="1">#REF!</definedName>
    <definedName name="_84_______________________________123Graph_BCHART_4" hidden="1">#REF!</definedName>
    <definedName name="_84indf_4_1">#REF!</definedName>
    <definedName name="_85_______________________________123Graph_XCHART_3" hidden="1">#REF!</definedName>
    <definedName name="_856___123Graph_XCHART_3" hidden="1">#REF!</definedName>
    <definedName name="_857___123Graph_XCHART_4" hidden="1">#REF!</definedName>
    <definedName name="_86_______________________________123Graph_XCHART_4" hidden="1">#REF!</definedName>
    <definedName name="_87______________________________123Graph_XCHART_3" hidden="1">#REF!</definedName>
    <definedName name="_87InstBillingMethod_4_1">#REF!</definedName>
    <definedName name="_88______________________________123Graph_XCHART_4" hidden="1">#REF!</definedName>
    <definedName name="_88__123Graph_XCHART_3" hidden="1">#REF!</definedName>
    <definedName name="_88instf_4_1">#REF!</definedName>
    <definedName name="_89_____________________________123Graph_ACHART_3" hidden="1">#REF!</definedName>
    <definedName name="_89MarketType_4_1">#REF!</definedName>
    <definedName name="_8Excel_BuiltIn_Print_Area_1_1">#REF!</definedName>
    <definedName name="_9_______________________________________________________123Graph_ACHART_3" hidden="1">#REF!</definedName>
    <definedName name="_9____123Graph_BCHART_3" hidden="1">#REF!</definedName>
    <definedName name="_9__123Graph_BCHART_3" hidden="1">#REF!</definedName>
    <definedName name="_9__123Graph_XCHART_3" hidden="1">#REF!</definedName>
    <definedName name="_9_l_4_1">#REF!</definedName>
    <definedName name="_90_____________________________123Graph_ACHART_4" hidden="1">#REF!</definedName>
    <definedName name="_90MarketType_Text_4_1">#REF!</definedName>
    <definedName name="_91_____________________________123Graph_BCHART_3" hidden="1">#REF!</definedName>
    <definedName name="_91nonmodular_4_1">#REF!</definedName>
    <definedName name="_92_____________________________123Graph_BCHART_4" hidden="1">#REF!</definedName>
    <definedName name="_92OwnAcctNum_4_1">#REF!</definedName>
    <definedName name="_93_____________________________123Graph_XCHART_3" hidden="1">#REF!</definedName>
    <definedName name="_93po_4_1">#REF!</definedName>
    <definedName name="_94_____________________________123Graph_XCHART_4" hidden="1">#REF!</definedName>
    <definedName name="_94PrimeAddress_4_1">#REF!</definedName>
    <definedName name="_95____________________________123Graph_XCHART_3" hidden="1">#REF!</definedName>
    <definedName name="_95PrimeCity_4_1">#REF!</definedName>
    <definedName name="_96.12.30">#REF!</definedName>
    <definedName name="_96____________________________123Graph_XCHART_4" hidden="1">#REF!</definedName>
    <definedName name="_96PrimeName_4_1">#REF!</definedName>
    <definedName name="_97___________________________123Graph_ACHART_3" hidden="1">#REF!</definedName>
    <definedName name="_97PrimePostal_4_1">#REF!</definedName>
    <definedName name="_98___________________________123Graph_ACHART_4" hidden="1">#REF!</definedName>
    <definedName name="_98PrimePrio_4_1">#REF!</definedName>
    <definedName name="_99___________________________123Graph_BCHART_3" hidden="1">#REF!</definedName>
    <definedName name="_99PrimePrio_Text_4_1">#REF!</definedName>
    <definedName name="_9Excel_BuiltIn_Print_Area_1_2">#REF!</definedName>
    <definedName name="_a">#REF!</definedName>
    <definedName name="_a_1">NA()</definedName>
    <definedName name="_a_10">#REF!</definedName>
    <definedName name="_a_11">#REF!</definedName>
    <definedName name="_a_12">#REF!</definedName>
    <definedName name="_a_20">#REF!</definedName>
    <definedName name="_a_21">#REF!</definedName>
    <definedName name="_a_24">#REF!</definedName>
    <definedName name="_a_25">#REF!</definedName>
    <definedName name="_a_26">#REF!</definedName>
    <definedName name="_a_27">#REF!</definedName>
    <definedName name="_a_28">#REF!</definedName>
    <definedName name="_a_29">#REF!</definedName>
    <definedName name="_a_30">#REF!</definedName>
    <definedName name="_a_31">#REF!</definedName>
    <definedName name="_a_32">#REF!</definedName>
    <definedName name="_a_33">#REF!</definedName>
    <definedName name="_a_34">#REF!</definedName>
    <definedName name="_a_35">#REF!</definedName>
    <definedName name="_a_36">#REF!</definedName>
    <definedName name="_a_37">#REF!</definedName>
    <definedName name="_a_38">#REF!</definedName>
    <definedName name="_a_39">#REF!</definedName>
    <definedName name="_a_4">#REF!</definedName>
    <definedName name="_a_40">#REF!</definedName>
    <definedName name="_a_41">#REF!</definedName>
    <definedName name="_a_42">#REF!</definedName>
    <definedName name="_a_43">#REF!</definedName>
    <definedName name="_a_44">#REF!</definedName>
    <definedName name="_a_45">#REF!</definedName>
    <definedName name="_a_46">#REF!</definedName>
    <definedName name="_a_47">#REF!</definedName>
    <definedName name="_a_48">#REF!</definedName>
    <definedName name="_a_49">#REF!</definedName>
    <definedName name="_a_5">NA()</definedName>
    <definedName name="_a_50">#REF!</definedName>
    <definedName name="_a_51">#REF!</definedName>
    <definedName name="_a_52">#REF!</definedName>
    <definedName name="_a_53">#REF!</definedName>
    <definedName name="_a_55">#REF!</definedName>
    <definedName name="_a_56">#REF!</definedName>
    <definedName name="_a_57">#REF!</definedName>
    <definedName name="_a_6">#REF!</definedName>
    <definedName name="_a_61">#REF!</definedName>
    <definedName name="_a_62">#REF!</definedName>
    <definedName name="_a_63">#REF!</definedName>
    <definedName name="_a_64">#REF!</definedName>
    <definedName name="_a_65">#REF!</definedName>
    <definedName name="_a_66">#REF!</definedName>
    <definedName name="_a_8">#REF!</definedName>
    <definedName name="_a_9">#REF!</definedName>
    <definedName name="_A2">#REF!</definedName>
    <definedName name="_a65537">#REF!</definedName>
    <definedName name="_A65539">#REF!</definedName>
    <definedName name="_A65555">#REF!</definedName>
    <definedName name="_A655600">#REF!</definedName>
    <definedName name="_A655600_15">"$#REF!.$#REF!$#REF!"</definedName>
    <definedName name="_A655600_3">"$#REF!.$#REF!$#REF!"</definedName>
    <definedName name="_A655600_4">"$#REF!.$#REF!$#REF!"</definedName>
    <definedName name="_A655600_5">NA()</definedName>
    <definedName name="_A655600_6">"$#REF!.$#REF!$#REF!"</definedName>
    <definedName name="_A65658">#REF!</definedName>
    <definedName name="_A65800">#REF!</definedName>
    <definedName name="_A66000">#REF!</definedName>
    <definedName name="_A99999">#REF!</definedName>
    <definedName name="_AA1">#REF!</definedName>
    <definedName name="_aaa10">#REF!</definedName>
    <definedName name="_aaa11">#REF!</definedName>
    <definedName name="_AAA12">#REF!</definedName>
    <definedName name="_AAA21">#REF!</definedName>
    <definedName name="_aaa23">#REF!</definedName>
    <definedName name="_aaa34">#REF!</definedName>
    <definedName name="_aaa5">#REF!</definedName>
    <definedName name="_AAA51">#REF!</definedName>
    <definedName name="_AAA53">#REF!</definedName>
    <definedName name="_aaa54">#REF!</definedName>
    <definedName name="_aaa545">#REF!</definedName>
    <definedName name="_aaa55">#REF!</definedName>
    <definedName name="_aaa56">#REF!</definedName>
    <definedName name="_AAA57">#REF!</definedName>
    <definedName name="_aaa59">#REF!</definedName>
    <definedName name="_AAA6">#REF!</definedName>
    <definedName name="_AAA66">#REF!</definedName>
    <definedName name="_AAA69">#REF!</definedName>
    <definedName name="_AAA7">#REF!</definedName>
    <definedName name="_AAD5">#REF!</definedName>
    <definedName name="_aad55">#REF!</definedName>
    <definedName name="_AAD56">#REF!</definedName>
    <definedName name="_AAD57">#REF!</definedName>
    <definedName name="_abs123" hidden="1">{#N/A,#N/A,FALSE,"M&amp;B_43A_fab";#N/A,#N/A,FALSE,"M&amp;B_43A_ERE.";#N/A,#N/A,FALSE,"M&amp;B-43A-ALIGN"}</definedName>
    <definedName name="_ABS2" hidden="1">{#N/A,#N/A,FALSE,"M&amp;B_43A_fab";#N/A,#N/A,FALSE,"M&amp;B_43A_ERE.";#N/A,#N/A,FALSE,"M&amp;B-43A-ALIGN"}</definedName>
    <definedName name="_aj1">#REF!</definedName>
    <definedName name="_alt1">#REF!</definedName>
    <definedName name="_ALT2">#REF!</definedName>
    <definedName name="_ALT3">#REF!</definedName>
    <definedName name="_ALT4">#REF!</definedName>
    <definedName name="_AMT13300">#N/A</definedName>
    <definedName name="_AMT13502">#N/A</definedName>
    <definedName name="_AMT41301">#N/A</definedName>
    <definedName name="_AMT85116">#N/A</definedName>
    <definedName name="_AMT85125">#N/A</definedName>
    <definedName name="_AMT86106">#N/A</definedName>
    <definedName name="_aoc10">#REF!</definedName>
    <definedName name="_aoc11">#REF!</definedName>
    <definedName name="_aoc7">#REF!</definedName>
    <definedName name="_aoc8">#REF!</definedName>
    <definedName name="_aoc9">#REF!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#REF!</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100000">#REF!</definedName>
    <definedName name="_b111121">#REF!</definedName>
    <definedName name="_b111121_1">NA()</definedName>
    <definedName name="_b111121_2">NA()</definedName>
    <definedName name="_b111121_3">NA()</definedName>
    <definedName name="_b111121_5">NA()</definedName>
    <definedName name="_bbs">#REF!</definedName>
    <definedName name="_BD">#REF!</definedName>
    <definedName name="_BED">#REF!</definedName>
    <definedName name="_bol1">#REF!</definedName>
    <definedName name="_BOQ1">#N/A</definedName>
    <definedName name="_C">#REF!</definedName>
    <definedName name="_C___0">#REF!</definedName>
    <definedName name="_C___0_1">NA()</definedName>
    <definedName name="_C___0_2">NA()</definedName>
    <definedName name="_C___0_3">NA()</definedName>
    <definedName name="_C___0_5">NA()</definedName>
    <definedName name="_C___13">#REF!</definedName>
    <definedName name="_C___13_1">NA()</definedName>
    <definedName name="_C___13_2">NA()</definedName>
    <definedName name="_C___13_3">NA()</definedName>
    <definedName name="_C___13_5">NA()</definedName>
    <definedName name="_C_1">#N/A</definedName>
    <definedName name="_C_1_1">NA()</definedName>
    <definedName name="_C_10">#REF!</definedName>
    <definedName name="_C_11">#REF!</definedName>
    <definedName name="_C_12">#REF!</definedName>
    <definedName name="_C_2">NA()</definedName>
    <definedName name="_C_20">#REF!</definedName>
    <definedName name="_C_21">#REF!</definedName>
    <definedName name="_C_24">#REF!</definedName>
    <definedName name="_C_25">#REF!</definedName>
    <definedName name="_C_26">#REF!</definedName>
    <definedName name="_C_27">#REF!</definedName>
    <definedName name="_C_28">#REF!</definedName>
    <definedName name="_C_29">#REF!</definedName>
    <definedName name="_C_3">NA()</definedName>
    <definedName name="_C_30">#REF!</definedName>
    <definedName name="_C_31">#REF!</definedName>
    <definedName name="_C_32">#REF!</definedName>
    <definedName name="_C_33">#REF!</definedName>
    <definedName name="_C_34">#REF!</definedName>
    <definedName name="_C_35">#REF!</definedName>
    <definedName name="_C_36">#REF!</definedName>
    <definedName name="_C_37">#REF!</definedName>
    <definedName name="_C_38">#REF!</definedName>
    <definedName name="_C_39">#REF!</definedName>
    <definedName name="_C_40">#REF!</definedName>
    <definedName name="_C_41">#REF!</definedName>
    <definedName name="_C_42">#REF!</definedName>
    <definedName name="_C_43">#REF!</definedName>
    <definedName name="_C_44">#REF!</definedName>
    <definedName name="_C_45">#REF!</definedName>
    <definedName name="_C_46">#REF!</definedName>
    <definedName name="_C_47">#REF!</definedName>
    <definedName name="_C_48">#REF!</definedName>
    <definedName name="_C_49">#REF!</definedName>
    <definedName name="_C_5">NA()</definedName>
    <definedName name="_C_50">#REF!</definedName>
    <definedName name="_C_51">#REF!</definedName>
    <definedName name="_C_52">#REF!</definedName>
    <definedName name="_C_53">#REF!</definedName>
    <definedName name="_C_55">#REF!</definedName>
    <definedName name="_C_56">#REF!</definedName>
    <definedName name="_C_57">#REF!</definedName>
    <definedName name="_C_61">#REF!</definedName>
    <definedName name="_C_62">#REF!</definedName>
    <definedName name="_C_63">#REF!</definedName>
    <definedName name="_C_64">#REF!</definedName>
    <definedName name="_C_65">#REF!</definedName>
    <definedName name="_C_66">#REF!</definedName>
    <definedName name="_C_8">#REF!</definedName>
    <definedName name="_C_9">#REF!</definedName>
    <definedName name="_C1">#REF!</definedName>
    <definedName name="_can430">40.73</definedName>
    <definedName name="_can435">43.3</definedName>
    <definedName name="_cat12" hidden="1">{#N/A,#N/A,TRUE,"Front";#N/A,#N/A,TRUE,"Simple Letter";#N/A,#N/A,TRUE,"Inside";#N/A,#N/A,TRUE,"Contents";#N/A,#N/A,TRUE,"Basis";#N/A,#N/A,TRUE,"Inclusions";#N/A,#N/A,TRUE,"Exclusions";#N/A,#N/A,TRUE,"Areas";#N/A,#N/A,TRUE,"Summary";#N/A,#N/A,TRUE,"Detail"}</definedName>
    <definedName name="_cat123">#N/A</definedName>
    <definedName name="_COL14">#REF!</definedName>
    <definedName name="_COL15">#REF!</definedName>
    <definedName name="_COL16">#REF!</definedName>
    <definedName name="_Ctr10">#REF!</definedName>
    <definedName name="_CY53__">#REF!</definedName>
    <definedName name="_CY53___1">#REF!</definedName>
    <definedName name="_CY53___10">#REF!</definedName>
    <definedName name="_CY53___11">#REF!</definedName>
    <definedName name="_CY53___12">#REF!</definedName>
    <definedName name="_CY53___20">#REF!</definedName>
    <definedName name="_CY53___21">#REF!</definedName>
    <definedName name="_CY53___24">#REF!</definedName>
    <definedName name="_CY53___25">#REF!</definedName>
    <definedName name="_CY53___26">#REF!</definedName>
    <definedName name="_CY53___27">#REF!</definedName>
    <definedName name="_CY53___28">#REF!</definedName>
    <definedName name="_CY53___29">#REF!</definedName>
    <definedName name="_CY53___30">#REF!</definedName>
    <definedName name="_CY53___31">#REF!</definedName>
    <definedName name="_CY53___32">#REF!</definedName>
    <definedName name="_CY53___33">#REF!</definedName>
    <definedName name="_CY53___34">#REF!</definedName>
    <definedName name="_CY53___35">#REF!</definedName>
    <definedName name="_CY53___36">#REF!</definedName>
    <definedName name="_CY53___37">#REF!</definedName>
    <definedName name="_CY53___38">#REF!</definedName>
    <definedName name="_CY53___39">#REF!</definedName>
    <definedName name="_CY53___4">#REF!</definedName>
    <definedName name="_CY53___40">#REF!</definedName>
    <definedName name="_CY53___41">#REF!</definedName>
    <definedName name="_CY53___42">#REF!</definedName>
    <definedName name="_CY53___43">#REF!</definedName>
    <definedName name="_CY53___44">#REF!</definedName>
    <definedName name="_CY53___45">#REF!</definedName>
    <definedName name="_CY53___46">#REF!</definedName>
    <definedName name="_CY53___47">#REF!</definedName>
    <definedName name="_CY53___48">#REF!</definedName>
    <definedName name="_CY53___49">#REF!</definedName>
    <definedName name="_CY53___50">#REF!</definedName>
    <definedName name="_CY53___51">#REF!</definedName>
    <definedName name="_CY53___52">#REF!</definedName>
    <definedName name="_CY53___53">#REF!</definedName>
    <definedName name="_CY53___55">#REF!</definedName>
    <definedName name="_CY53___56">#REF!</definedName>
    <definedName name="_CY53___57">#REF!</definedName>
    <definedName name="_CY53___61">#REF!</definedName>
    <definedName name="_CY53___62">#REF!</definedName>
    <definedName name="_CY53___63">#REF!</definedName>
    <definedName name="_CY53___64">#REF!</definedName>
    <definedName name="_CY53___65">#REF!</definedName>
    <definedName name="_CY53___66">#REF!</definedName>
    <definedName name="_CY53___8">#REF!</definedName>
    <definedName name="_CY53___9">#REF!</definedName>
    <definedName name="_d">#REF!</definedName>
    <definedName name="_d1">#REF!</definedName>
    <definedName name="_d2" hidden="1">{#N/A,#N/A,FALSE,"mgtsum.XLS";#N/A,#N/A,FALSE,"CAPONE";#N/A,#N/A,FALSE,"CAPTWO";#N/A,#N/A,FALSE,"CAPTHREE"}</definedName>
    <definedName name="_dcd3" hidden="1">{#N/A,#N/A,TRUE,"Front";#N/A,#N/A,TRUE,"Simple Letter";#N/A,#N/A,TRUE,"Inside";#N/A,#N/A,TRUE,"Contents";#N/A,#N/A,TRUE,"Basis";#N/A,#N/A,TRUE,"Inclusions";#N/A,#N/A,TRUE,"Exclusions";#N/A,#N/A,TRUE,"Areas";#N/A,#N/A,TRUE,"Summary";#N/A,#N/A,TRUE,"Detail"}</definedName>
    <definedName name="_DIA1">#REF!</definedName>
    <definedName name="_DIA2">#REF!</definedName>
    <definedName name="_dim4">#REF!</definedName>
    <definedName name="_dim4_15">"$#REF!.#REF!$#REF!"</definedName>
    <definedName name="_dim4_3">"$#REF!.#REF!$#REF!"</definedName>
    <definedName name="_dim4_4">"$#REF!.#REF!$#REF!"</definedName>
    <definedName name="_dim4_5">NA()</definedName>
    <definedName name="_dim4_6">"$#REF!.#REF!$#REF!"</definedName>
    <definedName name="_Dist_Values" hidden="1">#REF!</definedName>
    <definedName name="_dk1" hidden="1">{#N/A,#N/A,FALSE,"COVER.XLS";#N/A,#N/A,FALSE,"RACT1.XLS";#N/A,#N/A,FALSE,"RACT2.XLS";#N/A,#N/A,FALSE,"ECCMP";#N/A,#N/A,FALSE,"WELDER.XLS"}</definedName>
    <definedName name="_err1">#N/A</definedName>
    <definedName name="_exc1">#REF!</definedName>
    <definedName name="_exc1_1">NA()</definedName>
    <definedName name="_exc1_2">NA()</definedName>
    <definedName name="_exc1_3">NA()</definedName>
    <definedName name="_exc1_5">NA()</definedName>
    <definedName name="_exc11">#REF!</definedName>
    <definedName name="_exc11_1">NA()</definedName>
    <definedName name="_exc11_2">NA()</definedName>
    <definedName name="_exc11_3">NA()</definedName>
    <definedName name="_exc11_5">NA()</definedName>
    <definedName name="_exc2">#REF!</definedName>
    <definedName name="_exc2_1">NA()</definedName>
    <definedName name="_exc2_2">NA()</definedName>
    <definedName name="_exc2_3">NA()</definedName>
    <definedName name="_exc2_5">NA()</definedName>
    <definedName name="_EXC3">#REF!</definedName>
    <definedName name="_EXC3_1">NA()</definedName>
    <definedName name="_EXC3_2">NA()</definedName>
    <definedName name="_EXC3_3">NA()</definedName>
    <definedName name="_EXC3_5">NA()</definedName>
    <definedName name="_EXC4">#REF!</definedName>
    <definedName name="_EXC4_1">NA()</definedName>
    <definedName name="_EXC4_2">NA()</definedName>
    <definedName name="_EXC4_3">NA()</definedName>
    <definedName name="_EXC4_5">NA()</definedName>
    <definedName name="_f">#REF!</definedName>
    <definedName name="_f1">#REF!</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co2" hidden="1">{#N/A,#N/A,FALSE,"gc (2)"}</definedName>
    <definedName name="_FF">#REF!</definedName>
    <definedName name="_Fill" localSheetId="1" hidden="1">#REF!</definedName>
    <definedName name="_Fill" hidden="1">#REF!</definedName>
    <definedName name="_Fill1" localSheetId="1" hidden="1">#REF!</definedName>
    <definedName name="_Fill1" hidden="1">#REF!</definedName>
    <definedName name="_xlnm._FilterDatabase" localSheetId="11" hidden="1">DCS!$C$5:$I$159</definedName>
    <definedName name="_xlnm._FilterDatabase" hidden="1">#N/A</definedName>
    <definedName name="_flx200">#REF!</definedName>
    <definedName name="_flx250">#REF!</definedName>
    <definedName name="_flx300">#REF!</definedName>
    <definedName name="_foo1">#REF!</definedName>
    <definedName name="_foo1_1">NA()</definedName>
    <definedName name="_foo1_2">NA()</definedName>
    <definedName name="_foo1_3">NA()</definedName>
    <definedName name="_foo1_5">NA()</definedName>
    <definedName name="_foo2">#REF!</definedName>
    <definedName name="_foo2_1">NA()</definedName>
    <definedName name="_foo2_2">NA()</definedName>
    <definedName name="_foo2_3">NA()</definedName>
    <definedName name="_foo2_5">NA()</definedName>
    <definedName name="_foo3">#REF!</definedName>
    <definedName name="_foo3_1">NA()</definedName>
    <definedName name="_foo3_2">NA()</definedName>
    <definedName name="_foo3_3">NA()</definedName>
    <definedName name="_foo3_5">NA()</definedName>
    <definedName name="_FOO4">#REF!</definedName>
    <definedName name="_FOO4_1">NA()</definedName>
    <definedName name="_FOO4_2">NA()</definedName>
    <definedName name="_FOO4_3">NA()</definedName>
    <definedName name="_FOO4_5">NA()</definedName>
    <definedName name="_GOTO_I10_">#REF!</definedName>
    <definedName name="_GOTO_I10__1">#REF!</definedName>
    <definedName name="_GOTO_I10__10">#REF!</definedName>
    <definedName name="_GOTO_I10__11">#REF!</definedName>
    <definedName name="_GOTO_I10__12">#REF!</definedName>
    <definedName name="_GOTO_I10__20">#REF!</definedName>
    <definedName name="_GOTO_I10__21">#REF!</definedName>
    <definedName name="_GOTO_I10__24">#REF!</definedName>
    <definedName name="_GOTO_I10__25">#REF!</definedName>
    <definedName name="_GOTO_I10__26">#REF!</definedName>
    <definedName name="_GOTO_I10__27">#REF!</definedName>
    <definedName name="_GOTO_I10__28">#REF!</definedName>
    <definedName name="_GOTO_I10__29">#REF!</definedName>
    <definedName name="_GOTO_I10__30">#REF!</definedName>
    <definedName name="_GOTO_I10__31">#REF!</definedName>
    <definedName name="_GOTO_I10__32">#REF!</definedName>
    <definedName name="_GOTO_I10__33">#REF!</definedName>
    <definedName name="_GOTO_I10__34">#REF!</definedName>
    <definedName name="_GOTO_I10__35">#REF!</definedName>
    <definedName name="_GOTO_I10__36">#REF!</definedName>
    <definedName name="_GOTO_I10__37">#REF!</definedName>
    <definedName name="_GOTO_I10__38">#REF!</definedName>
    <definedName name="_GOTO_I10__39">#REF!</definedName>
    <definedName name="_GOTO_I10__4">#REF!</definedName>
    <definedName name="_GOTO_I10__40">#REF!</definedName>
    <definedName name="_GOTO_I10__41">#REF!</definedName>
    <definedName name="_GOTO_I10__42">#REF!</definedName>
    <definedName name="_GOTO_I10__43">#REF!</definedName>
    <definedName name="_GOTO_I10__44">#REF!</definedName>
    <definedName name="_GOTO_I10__45">#REF!</definedName>
    <definedName name="_GOTO_I10__46">#REF!</definedName>
    <definedName name="_GOTO_I10__47">#REF!</definedName>
    <definedName name="_GOTO_I10__48">#REF!</definedName>
    <definedName name="_GOTO_I10__49">#REF!</definedName>
    <definedName name="_GOTO_I10__50">#REF!</definedName>
    <definedName name="_GOTO_I10__51">#REF!</definedName>
    <definedName name="_GOTO_I10__52">#REF!</definedName>
    <definedName name="_GOTO_I10__53">#REF!</definedName>
    <definedName name="_GOTO_I10__55">#REF!</definedName>
    <definedName name="_GOTO_I10__56">#REF!</definedName>
    <definedName name="_GOTO_I10__57">#REF!</definedName>
    <definedName name="_GOTO_I10__61">#REF!</definedName>
    <definedName name="_GOTO_I10__62">#REF!</definedName>
    <definedName name="_GOTO_I10__63">#REF!</definedName>
    <definedName name="_GOTO_I10__64">#REF!</definedName>
    <definedName name="_GOTO_I10__65">#REF!</definedName>
    <definedName name="_GOTO_I10__66">#REF!</definedName>
    <definedName name="_GOTO_I10__8">#REF!</definedName>
    <definedName name="_GOTO_I10__9">#REF!</definedName>
    <definedName name="_HDD1">#REF!</definedName>
    <definedName name="_HDD1111" hidden="1">{#N/A,#N/A,TRUE,"Front";#N/A,#N/A,TRUE,"Simple Letter";#N/A,#N/A,TRUE,"Inside";#N/A,#N/A,TRUE,"Contents";#N/A,#N/A,TRUE,"Basis";#N/A,#N/A,TRUE,"Inclusions";#N/A,#N/A,TRUE,"Exclusions";#N/A,#N/A,TRUE,"Areas";#N/A,#N/A,TRUE,"Summary";#N/A,#N/A,TRUE,"Detail"}</definedName>
    <definedName name="_hp10" localSheetId="1"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#REF!</definedName>
    <definedName name="_IDC2">#N/A</definedName>
    <definedName name="_IDC21">#N/A</definedName>
    <definedName name="_IDC22">#N/A</definedName>
    <definedName name="_IDC23">#N/A</definedName>
    <definedName name="_idc3">#N/A</definedName>
    <definedName name="_ig541">#REF!</definedName>
    <definedName name="_ind1">#REF!</definedName>
    <definedName name="_IND11">#REF!</definedName>
    <definedName name="_IND31">#REF!</definedName>
    <definedName name="_IV100000">#REF!</definedName>
    <definedName name="_iv66666">#REF!</definedName>
    <definedName name="_j">#REF!</definedName>
    <definedName name="_JCR23">#REF!</definedName>
    <definedName name="_jj300">#REF!</definedName>
    <definedName name="_jyr6"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#REF!</definedName>
    <definedName name="_K03">#REF!</definedName>
    <definedName name="_KC139">#REF!</definedName>
    <definedName name="_KC139_1">"'file:///f:/documents%20and%20settings/anpcpmc/desktop/cop%20-%2011.xls'#$''.$b$2"</definedName>
    <definedName name="_KC139_10">"'file:///c:/documents%20and%20settings/uma.r.anprakashpmc/desktop/bills/docume~1/admini~1/locals~1/temp/rar$di01.859/cop%20-%2011.xls'#$''.$b$2"</definedName>
    <definedName name="_KC139_11">"'file:///c:/documents%20and%20settings/uma.r.anprakashpmc/desktop/bills/docume~1/admini~1/locals~1/temp/rar$di01.859/cop%20-%2011.xls'#$''.$b$2"</definedName>
    <definedName name="_KC580">#REF!</definedName>
    <definedName name="_Key1" localSheetId="1" hidden="1">#REF!</definedName>
    <definedName name="_Key1" hidden="1">#REF!</definedName>
    <definedName name="_Key2" localSheetId="1" hidden="1">#REF!</definedName>
    <definedName name="_Key2" hidden="1">#REF!</definedName>
    <definedName name="_KEY3" hidden="1">#REF!</definedName>
    <definedName name="_Ki1">#REF!</definedName>
    <definedName name="_Ki1_1">NA()</definedName>
    <definedName name="_Ki1_2">NA()</definedName>
    <definedName name="_Ki1_3">NA()</definedName>
    <definedName name="_Ki1_5">NA()</definedName>
    <definedName name="_Ki2">#REF!</definedName>
    <definedName name="_Ki2_1">NA()</definedName>
    <definedName name="_Ki2_2">NA()</definedName>
    <definedName name="_Ki2_3">NA()</definedName>
    <definedName name="_Ki2_5">NA()</definedName>
    <definedName name="_kp1" hidden="1">{#N/A,#N/A,TRUE,"Front";#N/A,#N/A,TRUE,"Simple Letter";#N/A,#N/A,TRUE,"Inside";#N/A,#N/A,TRUE,"Contents";#N/A,#N/A,TRUE,"Basis";#N/A,#N/A,TRUE,"Inclusions";#N/A,#N/A,TRUE,"Exclusions";#N/A,#N/A,TRUE,"Areas";#N/A,#N/A,TRUE,"Summary";#N/A,#N/A,TRUE,"Detail"}</definedName>
    <definedName name="_kp1_1">{#N/A,#N/A,TRUE,"Front";#N/A,#N/A,TRUE,"Simple Letter";#N/A,#N/A,TRUE,"Inside";#N/A,#N/A,TRUE,"Contents";#N/A,#N/A,TRUE,"Basis";#N/A,#N/A,TRUE,"Inclusions";#N/A,#N/A,TRUE,"Exclusions";#N/A,#N/A,TRUE,"Areas";#N/A,#N/A,TRUE,"Summary";#N/A,#N/A,TRUE,"Detail"}</definedName>
    <definedName name="_kp2" hidden="1">{#N/A,#N/A,TRUE,"Front";#N/A,#N/A,TRUE,"Simple Letter";#N/A,#N/A,TRUE,"Inside";#N/A,#N/A,TRUE,"Contents";#N/A,#N/A,TRUE,"Basis";#N/A,#N/A,TRUE,"Inclusions";#N/A,#N/A,TRUE,"Exclusions";#N/A,#N/A,TRUE,"Areas";#N/A,#N/A,TRUE,"Summary";#N/A,#N/A,TRUE,"Detail"}</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#REF!</definedName>
    <definedName name="_l_1">NA()</definedName>
    <definedName name="_l_4">#REF!</definedName>
    <definedName name="_l_5">NA()</definedName>
    <definedName name="_l_6">#REF!</definedName>
    <definedName name="_L1">#REF!</definedName>
    <definedName name="_lb1">#REF!</definedName>
    <definedName name="_lb1_15">"$#REF!.$#REF!$#REF!"</definedName>
    <definedName name="_lb1_3">"$#REF!.$#REF!$#REF!"</definedName>
    <definedName name="_lb1_4">"$#REF!.$#REF!$#REF!"</definedName>
    <definedName name="_lb1_5">NA()</definedName>
    <definedName name="_lb1_6">"$#REF!.$#REF!$#REF!"</definedName>
    <definedName name="_lb2">#REF!</definedName>
    <definedName name="_lb2_15">"$#REF!.$#REF!$#REF!"</definedName>
    <definedName name="_lb2_3">"$#REF!.$#REF!$#REF!"</definedName>
    <definedName name="_lb2_4">"$#REF!.$#REF!$#REF!"</definedName>
    <definedName name="_lb2_5">NA()</definedName>
    <definedName name="_lb2_6">"$#REF!.$#REF!$#REF!"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l">#REF!</definedName>
    <definedName name="_loc1">#N/A</definedName>
    <definedName name="_lsc44">#REF!</definedName>
    <definedName name="_m">#REF!</definedName>
    <definedName name="_m_1">#REF!</definedName>
    <definedName name="_m_10">#REF!</definedName>
    <definedName name="_m_11">#REF!</definedName>
    <definedName name="_m_12">#REF!</definedName>
    <definedName name="_m_20">#REF!</definedName>
    <definedName name="_m_21">#REF!</definedName>
    <definedName name="_m_24">#REF!</definedName>
    <definedName name="_m_25">#REF!</definedName>
    <definedName name="_m_26">#REF!</definedName>
    <definedName name="_m_27">#REF!</definedName>
    <definedName name="_m_28">#REF!</definedName>
    <definedName name="_m_29">#REF!</definedName>
    <definedName name="_m_30">#REF!</definedName>
    <definedName name="_m_31">#REF!</definedName>
    <definedName name="_m_32">#REF!</definedName>
    <definedName name="_m_33">#REF!</definedName>
    <definedName name="_m_34">#REF!</definedName>
    <definedName name="_m_35">#REF!</definedName>
    <definedName name="_m_36">#REF!</definedName>
    <definedName name="_m_37">#REF!</definedName>
    <definedName name="_m_38">#REF!</definedName>
    <definedName name="_m_39">#REF!</definedName>
    <definedName name="_m_4">#REF!</definedName>
    <definedName name="_m_40">#REF!</definedName>
    <definedName name="_m_41">#REF!</definedName>
    <definedName name="_m_42">#REF!</definedName>
    <definedName name="_m_43">#REF!</definedName>
    <definedName name="_m_44">#REF!</definedName>
    <definedName name="_m_45">#REF!</definedName>
    <definedName name="_m_46">#REF!</definedName>
    <definedName name="_m_47">#REF!</definedName>
    <definedName name="_m_48">#REF!</definedName>
    <definedName name="_m_49">#REF!</definedName>
    <definedName name="_m_50">#REF!</definedName>
    <definedName name="_m_51">#REF!</definedName>
    <definedName name="_m_52">#REF!</definedName>
    <definedName name="_m_53">#REF!</definedName>
    <definedName name="_m_55">#REF!</definedName>
    <definedName name="_m_56">#REF!</definedName>
    <definedName name="_m_57">#REF!</definedName>
    <definedName name="_m_61">#REF!</definedName>
    <definedName name="_m_62">#REF!</definedName>
    <definedName name="_m_63">#REF!</definedName>
    <definedName name="_m_64">#REF!</definedName>
    <definedName name="_m_65">#REF!</definedName>
    <definedName name="_m_66">#REF!</definedName>
    <definedName name="_m_8">#REF!</definedName>
    <definedName name="_m_9">#REF!</definedName>
    <definedName name="_M15">#REF!</definedName>
    <definedName name="_M7">#REF!</definedName>
    <definedName name="_MAN1">#REF!</definedName>
    <definedName name="_MAN1_1">NA()</definedName>
    <definedName name="_MAN1_2">NA()</definedName>
    <definedName name="_MAN1_3">NA()</definedName>
    <definedName name="_MAN1_5">NA()</definedName>
    <definedName name="_MAT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D4">#N/A</definedName>
    <definedName name="_mm1">#REF!</definedName>
    <definedName name="_mm1_15">"$#REF!.$#REF!$#REF!"</definedName>
    <definedName name="_mm1_3">"$#REF!.$#REF!$#REF!"</definedName>
    <definedName name="_mm1_4">"$#REF!.$#REF!$#REF!"</definedName>
    <definedName name="_mm1_5">NA()</definedName>
    <definedName name="_mm1_6">"$#REF!.$#REF!$#REF!"</definedName>
    <definedName name="_mm2">#REF!</definedName>
    <definedName name="_mm2_15">"$#REF!.$#REF!$#REF!"</definedName>
    <definedName name="_mm2_3">"$#REF!.$#REF!$#REF!"</definedName>
    <definedName name="_mm2_4">"$#REF!.$#REF!$#REF!"</definedName>
    <definedName name="_mm2_5">NA()</definedName>
    <definedName name="_mm2_6">"$#REF!.$#REF!$#REF!"</definedName>
    <definedName name="_mm3">#REF!</definedName>
    <definedName name="_mm3_15">"$#REF!.$#REF!$#REF!"</definedName>
    <definedName name="_mm3_3">"$#REF!.$#REF!$#REF!"</definedName>
    <definedName name="_mm3_4">"$#REF!.$#REF!$#REF!"</definedName>
    <definedName name="_mm3_5">NA()</definedName>
    <definedName name="_mm3_6">"$#REF!.$#REF!$#REF!"</definedName>
    <definedName name="_MN1">#REF!</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n">#N/A</definedName>
    <definedName name="_n_1">#REF!</definedName>
    <definedName name="_n_10">#REF!</definedName>
    <definedName name="_n_11">#REF!</definedName>
    <definedName name="_n_12">#REF!</definedName>
    <definedName name="_n_20">#REF!</definedName>
    <definedName name="_n_21">#REF!</definedName>
    <definedName name="_n_24">#REF!</definedName>
    <definedName name="_n_25">#REF!</definedName>
    <definedName name="_n_26">#REF!</definedName>
    <definedName name="_n_27">#REF!</definedName>
    <definedName name="_n_28">#REF!</definedName>
    <definedName name="_n_29">#REF!</definedName>
    <definedName name="_n_30">#REF!</definedName>
    <definedName name="_n_31">#REF!</definedName>
    <definedName name="_n_32">#REF!</definedName>
    <definedName name="_n_33">#REF!</definedName>
    <definedName name="_n_34">#REF!</definedName>
    <definedName name="_n_35">#REF!</definedName>
    <definedName name="_n_36">#REF!</definedName>
    <definedName name="_n_37">#REF!</definedName>
    <definedName name="_n_38">#REF!</definedName>
    <definedName name="_n_39">#REF!</definedName>
    <definedName name="_n_4">#REF!</definedName>
    <definedName name="_n_40">#REF!</definedName>
    <definedName name="_n_41">#REF!</definedName>
    <definedName name="_n_42">#REF!</definedName>
    <definedName name="_n_43">#REF!</definedName>
    <definedName name="_n_44">#REF!</definedName>
    <definedName name="_n_45">#REF!</definedName>
    <definedName name="_n_46">#REF!</definedName>
    <definedName name="_n_47">#REF!</definedName>
    <definedName name="_n_48">#REF!</definedName>
    <definedName name="_n_49">#REF!</definedName>
    <definedName name="_n_50">#REF!</definedName>
    <definedName name="_n_51">#REF!</definedName>
    <definedName name="_n_52">#REF!</definedName>
    <definedName name="_n_53">#REF!</definedName>
    <definedName name="_n_55">#REF!</definedName>
    <definedName name="_n_56">#REF!</definedName>
    <definedName name="_n_57">#REF!</definedName>
    <definedName name="_n_61">#REF!</definedName>
    <definedName name="_n_62">#REF!</definedName>
    <definedName name="_n_63">#REF!</definedName>
    <definedName name="_n_64">#REF!</definedName>
    <definedName name="_n_65">#REF!</definedName>
    <definedName name="_n_66">#REF!</definedName>
    <definedName name="_n_8">#REF!</definedName>
    <definedName name="_n_9">#REF!</definedName>
    <definedName name="_NN1">#REF!</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rder1" hidden="1">255</definedName>
    <definedName name="_Order2" hidden="1">0</definedName>
    <definedName name="_OUT13300">#N/A</definedName>
    <definedName name="_OUT13502">#N/A</definedName>
    <definedName name="_OUT41301">#N/A</definedName>
    <definedName name="_OUT85116">#N/A</definedName>
    <definedName name="_OUT85125">#N/A</definedName>
    <definedName name="_OUT86106">#N/A</definedName>
    <definedName name="_p">#REF!</definedName>
    <definedName name="_p_1">NA()</definedName>
    <definedName name="_p_10">#REF!</definedName>
    <definedName name="_p_11">#REF!</definedName>
    <definedName name="_p_12">#REF!</definedName>
    <definedName name="_p_20">#REF!</definedName>
    <definedName name="_p_21">#REF!</definedName>
    <definedName name="_p_24">#REF!</definedName>
    <definedName name="_p_25">#REF!</definedName>
    <definedName name="_p_26">#REF!</definedName>
    <definedName name="_p_27">#REF!</definedName>
    <definedName name="_p_28">#REF!</definedName>
    <definedName name="_p_29">#REF!</definedName>
    <definedName name="_p_30">#REF!</definedName>
    <definedName name="_p_31">#REF!</definedName>
    <definedName name="_p_32">#REF!</definedName>
    <definedName name="_p_33">#REF!</definedName>
    <definedName name="_p_34">#REF!</definedName>
    <definedName name="_p_35">#REF!</definedName>
    <definedName name="_p_36">#REF!</definedName>
    <definedName name="_p_37">#REF!</definedName>
    <definedName name="_p_38">#REF!</definedName>
    <definedName name="_p_39">#REF!</definedName>
    <definedName name="_p_4">#REF!</definedName>
    <definedName name="_p_40">#REF!</definedName>
    <definedName name="_p_41">#REF!</definedName>
    <definedName name="_p_42">#REF!</definedName>
    <definedName name="_p_43">#REF!</definedName>
    <definedName name="_p_44">#REF!</definedName>
    <definedName name="_p_45">#REF!</definedName>
    <definedName name="_p_46">#REF!</definedName>
    <definedName name="_p_47">#REF!</definedName>
    <definedName name="_p_48">#REF!</definedName>
    <definedName name="_p_49">#REF!</definedName>
    <definedName name="_p_5">NA()</definedName>
    <definedName name="_p_50">#REF!</definedName>
    <definedName name="_p_51">#REF!</definedName>
    <definedName name="_p_52">#REF!</definedName>
    <definedName name="_p_53">#REF!</definedName>
    <definedName name="_p_55">#REF!</definedName>
    <definedName name="_p_56">#REF!</definedName>
    <definedName name="_p_57">#REF!</definedName>
    <definedName name="_p_6">#REF!</definedName>
    <definedName name="_p_61">#REF!</definedName>
    <definedName name="_p_62">#REF!</definedName>
    <definedName name="_p_63">#REF!</definedName>
    <definedName name="_p_64">#REF!</definedName>
    <definedName name="_p_65">#REF!</definedName>
    <definedName name="_p_66">#REF!</definedName>
    <definedName name="_p_8">#REF!</definedName>
    <definedName name="_p_9">#REF!</definedName>
    <definedName name="_Parse_Out" hidden="1">#REF!</definedName>
    <definedName name="_PB1">#REF!</definedName>
    <definedName name="_PB1_1">NA()</definedName>
    <definedName name="_PB1_2">NA()</definedName>
    <definedName name="_PB1_3">NA()</definedName>
    <definedName name="_PB1_5">NA()</definedName>
    <definedName name="_pcc1">#REF!</definedName>
    <definedName name="_pcc1_1">NA()</definedName>
    <definedName name="_pcc1_2">NA()</definedName>
    <definedName name="_pcc1_3">NA()</definedName>
    <definedName name="_pcc1_5">NA()</definedName>
    <definedName name="_pcc2">#REF!</definedName>
    <definedName name="_pcc2_1">NA()</definedName>
    <definedName name="_pcc2_2">NA()</definedName>
    <definedName name="_pcc2_3">NA()</definedName>
    <definedName name="_pcc2_5">NA()</definedName>
    <definedName name="_pcc3">#REF!</definedName>
    <definedName name="_pcc3_1">NA()</definedName>
    <definedName name="_pcc3_2">NA()</definedName>
    <definedName name="_pcc3_3">NA()</definedName>
    <definedName name="_pcc3_5">NA()</definedName>
    <definedName name="_PCC4">#REF!</definedName>
    <definedName name="_PCC4_1">NA()</definedName>
    <definedName name="_PCC4_2">NA()</definedName>
    <definedName name="_PCC4_3">NA()</definedName>
    <definedName name="_PCC4_5">NA()</definedName>
    <definedName name="_per1" hidden="1">#REF!</definedName>
    <definedName name="_per3" hidden="1">#REF!</definedName>
    <definedName name="_pl1">#REF!</definedName>
    <definedName name="_plb1">#REF!</definedName>
    <definedName name="_plb1_1">NA()</definedName>
    <definedName name="_plb1_2">NA()</definedName>
    <definedName name="_plb1_3">NA()</definedName>
    <definedName name="_plb1_5">NA()</definedName>
    <definedName name="_plb2">#REF!</definedName>
    <definedName name="_plb2_1">NA()</definedName>
    <definedName name="_plb2_2">NA()</definedName>
    <definedName name="_plb2_3">NA()</definedName>
    <definedName name="_plb2_5">NA()</definedName>
    <definedName name="_plb3">#REF!</definedName>
    <definedName name="_plb3_1">NA()</definedName>
    <definedName name="_plb3_2">NA()</definedName>
    <definedName name="_plb3_3">NA()</definedName>
    <definedName name="_plb3_5">NA()</definedName>
    <definedName name="_plb4">#REF!</definedName>
    <definedName name="_plb4_1">NA()</definedName>
    <definedName name="_plb4_2">NA()</definedName>
    <definedName name="_plb4_3">NA()</definedName>
    <definedName name="_plb4_5">NA()</definedName>
    <definedName name="_PPRN3..AF242">#REF!</definedName>
    <definedName name="_PPRN3..AF242_1">#REF!</definedName>
    <definedName name="_PPRN3..AF242_10">#REF!</definedName>
    <definedName name="_PPRN3..AF242_11">#REF!</definedName>
    <definedName name="_PPRN3..AF242_12">#REF!</definedName>
    <definedName name="_PPRN3..AF242_20">#REF!</definedName>
    <definedName name="_PPRN3..AF242_21">#REF!</definedName>
    <definedName name="_PPRN3..AF242_24">#REF!</definedName>
    <definedName name="_PPRN3..AF242_25">#REF!</definedName>
    <definedName name="_PPRN3..AF242_26">#REF!</definedName>
    <definedName name="_PPRN3..AF242_27">#REF!</definedName>
    <definedName name="_PPRN3..AF242_28">#REF!</definedName>
    <definedName name="_PPRN3..AF242_29">#REF!</definedName>
    <definedName name="_PPRN3..AF242_30">#REF!</definedName>
    <definedName name="_PPRN3..AF242_31">#REF!</definedName>
    <definedName name="_PPRN3..AF242_32">#REF!</definedName>
    <definedName name="_PPRN3..AF242_33">#REF!</definedName>
    <definedName name="_PPRN3..AF242_34">#REF!</definedName>
    <definedName name="_PPRN3..AF242_35">#REF!</definedName>
    <definedName name="_PPRN3..AF242_36">#REF!</definedName>
    <definedName name="_PPRN3..AF242_37">#REF!</definedName>
    <definedName name="_PPRN3..AF242_38">#REF!</definedName>
    <definedName name="_PPRN3..AF242_39">#REF!</definedName>
    <definedName name="_PPRN3..AF242_4">#REF!</definedName>
    <definedName name="_PPRN3..AF242_40">#REF!</definedName>
    <definedName name="_PPRN3..AF242_41">#REF!</definedName>
    <definedName name="_PPRN3..AF242_42">#REF!</definedName>
    <definedName name="_PPRN3..AF242_43">#REF!</definedName>
    <definedName name="_PPRN3..AF242_44">#REF!</definedName>
    <definedName name="_PPRN3..AF242_45">#REF!</definedName>
    <definedName name="_PPRN3..AF242_46">#REF!</definedName>
    <definedName name="_PPRN3..AF242_47">#REF!</definedName>
    <definedName name="_PPRN3..AF242_48">#REF!</definedName>
    <definedName name="_PPRN3..AF242_49">#REF!</definedName>
    <definedName name="_PPRN3..AF242_50">#REF!</definedName>
    <definedName name="_PPRN3..AF242_51">#REF!</definedName>
    <definedName name="_PPRN3..AF242_52">#REF!</definedName>
    <definedName name="_PPRN3..AF242_53">#REF!</definedName>
    <definedName name="_PPRN3..AF242_55">#REF!</definedName>
    <definedName name="_PPRN3..AF242_56">#REF!</definedName>
    <definedName name="_PPRN3..AF242_57">#REF!</definedName>
    <definedName name="_PPRN3..AF242_61">#REF!</definedName>
    <definedName name="_PPRN3..AF242_62">#REF!</definedName>
    <definedName name="_PPRN3..AF242_63">#REF!</definedName>
    <definedName name="_PPRN3..AF242_64">#REF!</definedName>
    <definedName name="_PPRN3..AF242_65">#REF!</definedName>
    <definedName name="_PPRN3..AF242_66">#REF!</definedName>
    <definedName name="_PPRN3..AF242_8">#REF!</definedName>
    <definedName name="_PPRN3..AF242_9">#REF!</definedName>
    <definedName name="_pqr1">#REF!</definedName>
    <definedName name="_pqr1_1">"'file:///f:/documents%20and%20settings/anpcpmc/desktop/cop%20-%2011.xls'#$''.$b$2"</definedName>
    <definedName name="_pqr1_10">"'file:///c:/documents%20and%20settings/uma.r.anprakashpmc/desktop/bills/docume~1/admini~1/locals~1/temp/rar$di01.859/cop%20-%2011.xls'#$''.$b$2"</definedName>
    <definedName name="_pqr1_11">"'file:///c:/documents%20and%20settings/uma.r.anprakashpmc/desktop/bills/docume~1/admini~1/locals~1/temp/rar$di01.859/cop%20-%2011.xls'#$''.$b$2"</definedName>
    <definedName name="_pqr2">#REF!</definedName>
    <definedName name="_pqr2_1">"'file:///f:/documents%20and%20settings/anpcpmc/desktop/cop%20-%2011.xls'#$''.$b$2"</definedName>
    <definedName name="_pqr2_10">"'file:///c:/documents%20and%20settings/uma.r.anprakashpmc/desktop/bills/docume~1/admini~1/locals~1/temp/rar$di01.859/cop%20-%2011.xls'#$''.$b$2"</definedName>
    <definedName name="_pqr2_11">"'file:///c:/documents%20and%20settings/uma.r.anprakashpmc/desktop/bills/docume~1/admini~1/locals~1/temp/rar$di01.859/cop%20-%2011.xls'#$''.$b$2"</definedName>
    <definedName name="_Pr1">#REF!</definedName>
    <definedName name="_pr2">#REF!</definedName>
    <definedName name="_PRN1" hidden="1">{#N/A,#N/A,FALSE,"COVER.XLS";#N/A,#N/A,FALSE,"RACT1.XLS";#N/A,#N/A,FALSE,"RACT2.XLS";#N/A,#N/A,FALSE,"ECCMP";#N/A,#N/A,FALSE,"WELDER.XLS"}</definedName>
    <definedName name="_q1">#N/A</definedName>
    <definedName name="_qqq1" hidden="1">#REF!</definedName>
    <definedName name="_qqq2" hidden="1">#REF!</definedName>
    <definedName name="_QRA86106">#N/A</definedName>
    <definedName name="_r">#REF!</definedName>
    <definedName name="_r_1">#REF!</definedName>
    <definedName name="_r_10">#REF!</definedName>
    <definedName name="_r_11">#REF!</definedName>
    <definedName name="_r_12">#REF!</definedName>
    <definedName name="_r_20">#REF!</definedName>
    <definedName name="_r_21">#REF!</definedName>
    <definedName name="_r_24">#REF!</definedName>
    <definedName name="_r_25">#REF!</definedName>
    <definedName name="_r_26">#REF!</definedName>
    <definedName name="_r_27">#REF!</definedName>
    <definedName name="_r_28">#REF!</definedName>
    <definedName name="_r_29">#REF!</definedName>
    <definedName name="_r_30">#REF!</definedName>
    <definedName name="_r_31">#REF!</definedName>
    <definedName name="_r_32">#REF!</definedName>
    <definedName name="_r_33">#REF!</definedName>
    <definedName name="_r_34">#REF!</definedName>
    <definedName name="_r_35">#REF!</definedName>
    <definedName name="_r_36">#REF!</definedName>
    <definedName name="_r_37">#REF!</definedName>
    <definedName name="_r_38">#REF!</definedName>
    <definedName name="_r_39">#REF!</definedName>
    <definedName name="_r_4">#REF!</definedName>
    <definedName name="_r_40">#REF!</definedName>
    <definedName name="_r_41">#REF!</definedName>
    <definedName name="_r_42">#REF!</definedName>
    <definedName name="_r_43">#REF!</definedName>
    <definedName name="_r_44">#REF!</definedName>
    <definedName name="_r_45">#REF!</definedName>
    <definedName name="_r_46">#REF!</definedName>
    <definedName name="_r_47">#REF!</definedName>
    <definedName name="_r_48">#REF!</definedName>
    <definedName name="_r_49">#REF!</definedName>
    <definedName name="_r_50">#REF!</definedName>
    <definedName name="_r_51">#REF!</definedName>
    <definedName name="_r_52">#REF!</definedName>
    <definedName name="_r_53">#REF!</definedName>
    <definedName name="_r_55">#REF!</definedName>
    <definedName name="_r_56">#REF!</definedName>
    <definedName name="_r_57">#REF!</definedName>
    <definedName name="_r_61">#REF!</definedName>
    <definedName name="_r_62">#REF!</definedName>
    <definedName name="_r_63">#REF!</definedName>
    <definedName name="_r_64">#REF!</definedName>
    <definedName name="_r_65">#REF!</definedName>
    <definedName name="_r_66">#REF!</definedName>
    <definedName name="_r_8">#REF!</definedName>
    <definedName name="_r_9">#REF!</definedName>
    <definedName name="_R1">#REF!</definedName>
    <definedName name="_RA4">#REF!</definedName>
    <definedName name="_RAB002" hidden="1">{#N/A,#N/A,TRUE,"Front";#N/A,#N/A,TRUE,"Simple Letter";#N/A,#N/A,TRUE,"Inside";#N/A,#N/A,TRUE,"Contents";#N/A,#N/A,TRUE,"Basis";#N/A,#N/A,TRUE,"Inclusions";#N/A,#N/A,TRUE,"Exclusions";#N/A,#N/A,TRUE,"Areas";#N/A,#N/A,TRUE,"Summary";#N/A,#N/A,TRUE,"Detail"}</definedName>
    <definedName name="_rab07">#REF!</definedName>
    <definedName name="_ram1" hidden="1">{#N/A,#N/A,FALSE,"gc (2)"}</definedName>
    <definedName name="_RCC">#REF!</definedName>
    <definedName name="_Regression_Int" hidden="1">1</definedName>
    <definedName name="_Regression_Out" hidden="1">#REF!</definedName>
    <definedName name="_Regression_X" hidden="1">#REF!</definedName>
    <definedName name="_Regression_Y" hidden="1">#REF!</definedName>
    <definedName name="_REM1">#REF!</definedName>
    <definedName name="_REM2">#REF!</definedName>
    <definedName name="_rim4">#REF!</definedName>
    <definedName name="_rim4_15">"$#REF!.$#REF!$#REF!"</definedName>
    <definedName name="_rim4_3">"$#REF!.$#REF!$#REF!"</definedName>
    <definedName name="_rim4_4">"$#REF!.$#REF!$#REF!"</definedName>
    <definedName name="_rim4_5">NA()</definedName>
    <definedName name="_rim4_6">"$#REF!.$#REF!$#REF!"</definedName>
    <definedName name="_rm4">#REF!</definedName>
    <definedName name="_rm4_15">"$#REF!.$#REF!$#REF!"</definedName>
    <definedName name="_rm4_3">"$#REF!.$#REF!$#REF!"</definedName>
    <definedName name="_rm4_4">"$#REF!.$#REF!$#REF!"</definedName>
    <definedName name="_rm4_5">NA()</definedName>
    <definedName name="_rm4_6">"$#REF!.$#REF!$#REF!"</definedName>
    <definedName name="_RVAE306___DOWN">#REF!</definedName>
    <definedName name="_RVAE306___DOWN_1">#REF!</definedName>
    <definedName name="_RVAE306___DOWN_10">#REF!</definedName>
    <definedName name="_RVAE306___DOWN_11">#REF!</definedName>
    <definedName name="_RVAE306___DOWN_12">#REF!</definedName>
    <definedName name="_RVAE306___DOWN_20">#REF!</definedName>
    <definedName name="_RVAE306___DOWN_21">#REF!</definedName>
    <definedName name="_RVAE306___DOWN_24">#REF!</definedName>
    <definedName name="_RVAE306___DOWN_25">#REF!</definedName>
    <definedName name="_RVAE306___DOWN_26">#REF!</definedName>
    <definedName name="_RVAE306___DOWN_27">#REF!</definedName>
    <definedName name="_RVAE306___DOWN_28">#REF!</definedName>
    <definedName name="_RVAE306___DOWN_29">#REF!</definedName>
    <definedName name="_RVAE306___DOWN_30">#REF!</definedName>
    <definedName name="_RVAE306___DOWN_31">#REF!</definedName>
    <definedName name="_RVAE306___DOWN_32">#REF!</definedName>
    <definedName name="_RVAE306___DOWN_33">#REF!</definedName>
    <definedName name="_RVAE306___DOWN_34">#REF!</definedName>
    <definedName name="_RVAE306___DOWN_35">#REF!</definedName>
    <definedName name="_RVAE306___DOWN_36">#REF!</definedName>
    <definedName name="_RVAE306___DOWN_37">#REF!</definedName>
    <definedName name="_RVAE306___DOWN_38">#REF!</definedName>
    <definedName name="_RVAE306___DOWN_39">#REF!</definedName>
    <definedName name="_RVAE306___DOWN_4">#REF!</definedName>
    <definedName name="_RVAE306___DOWN_40">#REF!</definedName>
    <definedName name="_RVAE306___DOWN_41">#REF!</definedName>
    <definedName name="_RVAE306___DOWN_42">#REF!</definedName>
    <definedName name="_RVAE306___DOWN_43">#REF!</definedName>
    <definedName name="_RVAE306___DOWN_44">#REF!</definedName>
    <definedName name="_RVAE306___DOWN_45">#REF!</definedName>
    <definedName name="_RVAE306___DOWN_46">#REF!</definedName>
    <definedName name="_RVAE306___DOWN_47">#REF!</definedName>
    <definedName name="_RVAE306___DOWN_48">#REF!</definedName>
    <definedName name="_RVAE306___DOWN_49">#REF!</definedName>
    <definedName name="_RVAE306___DOWN_50">#REF!</definedName>
    <definedName name="_RVAE306___DOWN_51">#REF!</definedName>
    <definedName name="_RVAE306___DOWN_52">#REF!</definedName>
    <definedName name="_RVAE306___DOWN_53">#REF!</definedName>
    <definedName name="_RVAE306___DOWN_55">#REF!</definedName>
    <definedName name="_RVAE306___DOWN_56">#REF!</definedName>
    <definedName name="_RVAE306___DOWN_57">#REF!</definedName>
    <definedName name="_RVAE306___DOWN_61">#REF!</definedName>
    <definedName name="_RVAE306___DOWN_62">#REF!</definedName>
    <definedName name="_RVAE306___DOWN_63">#REF!</definedName>
    <definedName name="_RVAE306___DOWN_64">#REF!</definedName>
    <definedName name="_RVAE306___DOWN_65">#REF!</definedName>
    <definedName name="_RVAE306___DOWN_66">#REF!</definedName>
    <definedName name="_RVAE306___DOWN_8">#REF!</definedName>
    <definedName name="_RVAE306___DOWN_9">#REF!</definedName>
    <definedName name="_RVAE358___DOWN">#REF!</definedName>
    <definedName name="_RVAE358___DOWN_1">#REF!</definedName>
    <definedName name="_RVAE358___DOWN_10">#REF!</definedName>
    <definedName name="_RVAE358___DOWN_11">#REF!</definedName>
    <definedName name="_RVAE358___DOWN_12">#REF!</definedName>
    <definedName name="_RVAE358___DOWN_20">#REF!</definedName>
    <definedName name="_RVAE358___DOWN_21">#REF!</definedName>
    <definedName name="_RVAE358___DOWN_24">#REF!</definedName>
    <definedName name="_RVAE358___DOWN_25">#REF!</definedName>
    <definedName name="_RVAE358___DOWN_26">#REF!</definedName>
    <definedName name="_RVAE358___DOWN_27">#REF!</definedName>
    <definedName name="_RVAE358___DOWN_28">#REF!</definedName>
    <definedName name="_RVAE358___DOWN_29">#REF!</definedName>
    <definedName name="_RVAE358___DOWN_30">#REF!</definedName>
    <definedName name="_RVAE358___DOWN_31">#REF!</definedName>
    <definedName name="_RVAE358___DOWN_32">#REF!</definedName>
    <definedName name="_RVAE358___DOWN_33">#REF!</definedName>
    <definedName name="_RVAE358___DOWN_34">#REF!</definedName>
    <definedName name="_RVAE358___DOWN_35">#REF!</definedName>
    <definedName name="_RVAE358___DOWN_36">#REF!</definedName>
    <definedName name="_RVAE358___DOWN_37">#REF!</definedName>
    <definedName name="_RVAE358___DOWN_38">#REF!</definedName>
    <definedName name="_RVAE358___DOWN_39">#REF!</definedName>
    <definedName name="_RVAE358___DOWN_4">#REF!</definedName>
    <definedName name="_RVAE358___DOWN_40">#REF!</definedName>
    <definedName name="_RVAE358___DOWN_41">#REF!</definedName>
    <definedName name="_RVAE358___DOWN_42">#REF!</definedName>
    <definedName name="_RVAE358___DOWN_43">#REF!</definedName>
    <definedName name="_RVAE358___DOWN_44">#REF!</definedName>
    <definedName name="_RVAE358___DOWN_45">#REF!</definedName>
    <definedName name="_RVAE358___DOWN_46">#REF!</definedName>
    <definedName name="_RVAE358___DOWN_47">#REF!</definedName>
    <definedName name="_RVAE358___DOWN_48">#REF!</definedName>
    <definedName name="_RVAE358___DOWN_49">#REF!</definedName>
    <definedName name="_RVAE358___DOWN_50">#REF!</definedName>
    <definedName name="_RVAE358___DOWN_51">#REF!</definedName>
    <definedName name="_RVAE358___DOWN_52">#REF!</definedName>
    <definedName name="_RVAE358___DOWN_53">#REF!</definedName>
    <definedName name="_RVAE358___DOWN_55">#REF!</definedName>
    <definedName name="_RVAE358___DOWN_56">#REF!</definedName>
    <definedName name="_RVAE358___DOWN_57">#REF!</definedName>
    <definedName name="_RVAE358___DOWN_61">#REF!</definedName>
    <definedName name="_RVAE358___DOWN_62">#REF!</definedName>
    <definedName name="_RVAE358___DOWN_63">#REF!</definedName>
    <definedName name="_RVAE358___DOWN_64">#REF!</definedName>
    <definedName name="_RVAE358___DOWN_65">#REF!</definedName>
    <definedName name="_RVAE358___DOWN_66">#REF!</definedName>
    <definedName name="_RVAE358___DOWN_8">#REF!</definedName>
    <definedName name="_RVAE358___DOWN_9">#REF!</definedName>
    <definedName name="_RVAE395___DOWN">#REF!</definedName>
    <definedName name="_RVAE395___DOWN_1">#REF!</definedName>
    <definedName name="_RVAE395___DOWN_10">#REF!</definedName>
    <definedName name="_RVAE395___DOWN_11">#REF!</definedName>
    <definedName name="_RVAE395___DOWN_12">#REF!</definedName>
    <definedName name="_RVAE395___DOWN_20">#REF!</definedName>
    <definedName name="_RVAE395___DOWN_21">#REF!</definedName>
    <definedName name="_RVAE395___DOWN_24">#REF!</definedName>
    <definedName name="_RVAE395___DOWN_25">#REF!</definedName>
    <definedName name="_RVAE395___DOWN_26">#REF!</definedName>
    <definedName name="_RVAE395___DOWN_27">#REF!</definedName>
    <definedName name="_RVAE395___DOWN_28">#REF!</definedName>
    <definedName name="_RVAE395___DOWN_29">#REF!</definedName>
    <definedName name="_RVAE395___DOWN_30">#REF!</definedName>
    <definedName name="_RVAE395___DOWN_31">#REF!</definedName>
    <definedName name="_RVAE395___DOWN_32">#REF!</definedName>
    <definedName name="_RVAE395___DOWN_33">#REF!</definedName>
    <definedName name="_RVAE395___DOWN_34">#REF!</definedName>
    <definedName name="_RVAE395___DOWN_35">#REF!</definedName>
    <definedName name="_RVAE395___DOWN_36">#REF!</definedName>
    <definedName name="_RVAE395___DOWN_37">#REF!</definedName>
    <definedName name="_RVAE395___DOWN_38">#REF!</definedName>
    <definedName name="_RVAE395___DOWN_39">#REF!</definedName>
    <definedName name="_RVAE395___DOWN_4">#REF!</definedName>
    <definedName name="_RVAE395___DOWN_40">#REF!</definedName>
    <definedName name="_RVAE395___DOWN_41">#REF!</definedName>
    <definedName name="_RVAE395___DOWN_42">#REF!</definedName>
    <definedName name="_RVAE395___DOWN_43">#REF!</definedName>
    <definedName name="_RVAE395___DOWN_44">#REF!</definedName>
    <definedName name="_RVAE395___DOWN_45">#REF!</definedName>
    <definedName name="_RVAE395___DOWN_46">#REF!</definedName>
    <definedName name="_RVAE395___DOWN_47">#REF!</definedName>
    <definedName name="_RVAE395___DOWN_48">#REF!</definedName>
    <definedName name="_RVAE395___DOWN_49">#REF!</definedName>
    <definedName name="_RVAE395___DOWN_50">#REF!</definedName>
    <definedName name="_RVAE395___DOWN_51">#REF!</definedName>
    <definedName name="_RVAE395___DOWN_52">#REF!</definedName>
    <definedName name="_RVAE395___DOWN_53">#REF!</definedName>
    <definedName name="_RVAE395___DOWN_55">#REF!</definedName>
    <definedName name="_RVAE395___DOWN_56">#REF!</definedName>
    <definedName name="_RVAE395___DOWN_57">#REF!</definedName>
    <definedName name="_RVAE395___DOWN_61">#REF!</definedName>
    <definedName name="_RVAE395___DOWN_62">#REF!</definedName>
    <definedName name="_RVAE395___DOWN_63">#REF!</definedName>
    <definedName name="_RVAE395___DOWN_64">#REF!</definedName>
    <definedName name="_RVAE395___DOWN_65">#REF!</definedName>
    <definedName name="_RVAE395___DOWN_66">#REF!</definedName>
    <definedName name="_RVAE395___DOWN_8">#REF!</definedName>
    <definedName name="_RVAE395___DOWN_9">#REF!</definedName>
    <definedName name="_RVY53..AE53__">#REF!</definedName>
    <definedName name="_RVY53..AE53___1">#REF!</definedName>
    <definedName name="_RVY53..AE53___10">#REF!</definedName>
    <definedName name="_RVY53..AE53___11">#REF!</definedName>
    <definedName name="_RVY53..AE53___12">#REF!</definedName>
    <definedName name="_RVY53..AE53___20">#REF!</definedName>
    <definedName name="_RVY53..AE53___21">#REF!</definedName>
    <definedName name="_RVY53..AE53___24">#REF!</definedName>
    <definedName name="_RVY53..AE53___25">#REF!</definedName>
    <definedName name="_RVY53..AE53___26">#REF!</definedName>
    <definedName name="_RVY53..AE53___27">#REF!</definedName>
    <definedName name="_RVY53..AE53___28">#REF!</definedName>
    <definedName name="_RVY53..AE53___29">#REF!</definedName>
    <definedName name="_RVY53..AE53___30">#REF!</definedName>
    <definedName name="_RVY53..AE53___31">#REF!</definedName>
    <definedName name="_RVY53..AE53___32">#REF!</definedName>
    <definedName name="_RVY53..AE53___33">#REF!</definedName>
    <definedName name="_RVY53..AE53___34">#REF!</definedName>
    <definedName name="_RVY53..AE53___35">#REF!</definedName>
    <definedName name="_RVY53..AE53___36">#REF!</definedName>
    <definedName name="_RVY53..AE53___37">#REF!</definedName>
    <definedName name="_RVY53..AE53___38">#REF!</definedName>
    <definedName name="_RVY53..AE53___39">#REF!</definedName>
    <definedName name="_RVY53..AE53___4">#REF!</definedName>
    <definedName name="_RVY53..AE53___40">#REF!</definedName>
    <definedName name="_RVY53..AE53___41">#REF!</definedName>
    <definedName name="_RVY53..AE53___42">#REF!</definedName>
    <definedName name="_RVY53..AE53___43">#REF!</definedName>
    <definedName name="_RVY53..AE53___44">#REF!</definedName>
    <definedName name="_RVY53..AE53___45">#REF!</definedName>
    <definedName name="_RVY53..AE53___46">#REF!</definedName>
    <definedName name="_RVY53..AE53___47">#REF!</definedName>
    <definedName name="_RVY53..AE53___48">#REF!</definedName>
    <definedName name="_RVY53..AE53___49">#REF!</definedName>
    <definedName name="_RVY53..AE53___50">#REF!</definedName>
    <definedName name="_RVY53..AE53___51">#REF!</definedName>
    <definedName name="_RVY53..AE53___52">#REF!</definedName>
    <definedName name="_RVY53..AE53___53">#REF!</definedName>
    <definedName name="_RVY53..AE53___55">#REF!</definedName>
    <definedName name="_RVY53..AE53___56">#REF!</definedName>
    <definedName name="_RVY53..AE53___57">#REF!</definedName>
    <definedName name="_RVY53..AE53___61">#REF!</definedName>
    <definedName name="_RVY53..AE53___62">#REF!</definedName>
    <definedName name="_RVY53..AE53___63">#REF!</definedName>
    <definedName name="_RVY53..AE53___64">#REF!</definedName>
    <definedName name="_RVY53..AE53___65">#REF!</definedName>
    <definedName name="_RVY53..AE53___66">#REF!</definedName>
    <definedName name="_RVY53..AE53___8">#REF!</definedName>
    <definedName name="_RVY53..AE53___9">#REF!</definedName>
    <definedName name="_s">#REF!</definedName>
    <definedName name="_s_1">#REF!</definedName>
    <definedName name="_s_10">#REF!</definedName>
    <definedName name="_s_11">#REF!</definedName>
    <definedName name="_s_12">#REF!</definedName>
    <definedName name="_s_20">#REF!</definedName>
    <definedName name="_s_21">#REF!</definedName>
    <definedName name="_s_24">#REF!</definedName>
    <definedName name="_s_25">#REF!</definedName>
    <definedName name="_s_26">#REF!</definedName>
    <definedName name="_s_27">#REF!</definedName>
    <definedName name="_s_28">#REF!</definedName>
    <definedName name="_s_29">#REF!</definedName>
    <definedName name="_s_30">#REF!</definedName>
    <definedName name="_s_31">#REF!</definedName>
    <definedName name="_s_32">#REF!</definedName>
    <definedName name="_s_33">#REF!</definedName>
    <definedName name="_s_34">#REF!</definedName>
    <definedName name="_s_35">#REF!</definedName>
    <definedName name="_s_36">#REF!</definedName>
    <definedName name="_s_37">#REF!</definedName>
    <definedName name="_s_38">#REF!</definedName>
    <definedName name="_s_39">#REF!</definedName>
    <definedName name="_s_4">#REF!</definedName>
    <definedName name="_s_40">#REF!</definedName>
    <definedName name="_s_41">#REF!</definedName>
    <definedName name="_s_42">#REF!</definedName>
    <definedName name="_s_43">#REF!</definedName>
    <definedName name="_s_44">#REF!</definedName>
    <definedName name="_s_45">#REF!</definedName>
    <definedName name="_s_46">#REF!</definedName>
    <definedName name="_s_47">#REF!</definedName>
    <definedName name="_s_48">#REF!</definedName>
    <definedName name="_s_49">#REF!</definedName>
    <definedName name="_s_50">#REF!</definedName>
    <definedName name="_s_51">#REF!</definedName>
    <definedName name="_s_52">#REF!</definedName>
    <definedName name="_s_53">#REF!</definedName>
    <definedName name="_s_55">#REF!</definedName>
    <definedName name="_s_56">#REF!</definedName>
    <definedName name="_s_57">#REF!</definedName>
    <definedName name="_s_61">#REF!</definedName>
    <definedName name="_s_62">#REF!</definedName>
    <definedName name="_s_63">#REF!</definedName>
    <definedName name="_s_64">#REF!</definedName>
    <definedName name="_s_65">#REF!</definedName>
    <definedName name="_s_66">#REF!</definedName>
    <definedName name="_s_8">#REF!</definedName>
    <definedName name="_s_9">#REF!</definedName>
    <definedName name="_S1" hidden="1">{#N/A,#N/A,TRUE,"Front";#N/A,#N/A,TRUE,"Simple Letter";#N/A,#N/A,TRUE,"Inside";#N/A,#N/A,TRUE,"Contents";#N/A,#N/A,TRUE,"Basis";#N/A,#N/A,TRUE,"Inclusions";#N/A,#N/A,TRUE,"Exclusions";#N/A,#N/A,TRUE,"Areas";#N/A,#N/A,TRUE,"Summary";#N/A,#N/A,TRUE,"Detail"}</definedName>
    <definedName name="_S12">#REF!</definedName>
    <definedName name="_sah3" hidden="1">{#N/A,#N/A,TRUE,"Front";#N/A,#N/A,TRUE,"Simple Letter";#N/A,#N/A,TRUE,"Inside";#N/A,#N/A,TRUE,"Contents";#N/A,#N/A,TRUE,"Basis";#N/A,#N/A,TRUE,"Inclusions";#N/A,#N/A,TRUE,"Exclusions";#N/A,#N/A,TRUE,"Areas";#N/A,#N/A,TRUE,"Summary";#N/A,#N/A,TRUE,"Detail"}</definedName>
    <definedName name="_sdb2">#REF!</definedName>
    <definedName name="_SDB3">#N/A</definedName>
    <definedName name="_SE5">#REF!</definedName>
    <definedName name="_sec1">#REF!</definedName>
    <definedName name="_sec111">#REF!</definedName>
    <definedName name="_SEC15">#REF!</definedName>
    <definedName name="_Sec2">#REF!</definedName>
    <definedName name="_sec22">#REF!</definedName>
    <definedName name="_SEC23">#REF!</definedName>
    <definedName name="_SEC24">#REF!</definedName>
    <definedName name="_sec3">#REF!</definedName>
    <definedName name="_SEC32">#REF!</definedName>
    <definedName name="_sec33">#REF!</definedName>
    <definedName name="_Sec4">#REF!</definedName>
    <definedName name="_sec45">#REF!</definedName>
    <definedName name="_SEC46">#REF!</definedName>
    <definedName name="_sec5">#REF!</definedName>
    <definedName name="_sec55">#REF!</definedName>
    <definedName name="_SEC56">#REF!</definedName>
    <definedName name="_sec6">#REF!</definedName>
    <definedName name="_sec66">#REF!</definedName>
    <definedName name="_SEC67">#REF!</definedName>
    <definedName name="_sec7">#REF!</definedName>
    <definedName name="_sec71">#REF!</definedName>
    <definedName name="_SEC72">#REF!</definedName>
    <definedName name="_SEC74">#REF!</definedName>
    <definedName name="_SEC75">#REF!</definedName>
    <definedName name="_SEC77">#REF!</definedName>
    <definedName name="_sec777">#REF!</definedName>
    <definedName name="_sec78">#REF!</definedName>
    <definedName name="_sec79">#REF!</definedName>
    <definedName name="_sec8">#REF!</definedName>
    <definedName name="_sec81">#REF!</definedName>
    <definedName name="_SEC82">#REF!</definedName>
    <definedName name="_SEC83">#REF!</definedName>
    <definedName name="_SEC87">#REF!</definedName>
    <definedName name="_SEC88">#REF!</definedName>
    <definedName name="_sec888">#REF!</definedName>
    <definedName name="_sec89">#REF!</definedName>
    <definedName name="_sec899">#REF!</definedName>
    <definedName name="_SEC9">#REF!</definedName>
    <definedName name="_SEC91">#REF!</definedName>
    <definedName name="_SH1">#REF!</definedName>
    <definedName name="_SH2">#REF!</definedName>
    <definedName name="_SH3">#REF!</definedName>
    <definedName name="_SH4">#REF!</definedName>
    <definedName name="_SH5">#REF!</definedName>
    <definedName name="_SO16" hidden="1">{#N/A,#N/A,TRUE,"Krycí list"}</definedName>
    <definedName name="_Sort" localSheetId="1" hidden="1">#REF!</definedName>
    <definedName name="_Sort" hidden="1">#REF!</definedName>
    <definedName name="_SS2">#REF!</definedName>
    <definedName name="_ST1">#REF!</definedName>
    <definedName name="_sti02" hidden="1">{#N/A,#N/A,FALSE,"gc (2)"}</definedName>
    <definedName name="_sub20">#REF!</definedName>
    <definedName name="_sum010">#REF!</definedName>
    <definedName name="_sum020">#REF!</definedName>
    <definedName name="_sum120">#REF!</definedName>
    <definedName name="_sum140">#REF!</definedName>
    <definedName name="_SUM200">#REF!</definedName>
    <definedName name="_SUM400">#REF!</definedName>
    <definedName name="_SUM410">#REF!</definedName>
    <definedName name="_SUM420">#REF!</definedName>
    <definedName name="_SUM440">#REF!</definedName>
    <definedName name="_SUM460">#REF!</definedName>
    <definedName name="_SUM480">#REF!</definedName>
    <definedName name="_SUM500">#REF!</definedName>
    <definedName name="_SUM510">#REF!</definedName>
    <definedName name="_SUM530">#REF!</definedName>
    <definedName name="_SUM540">#REF!</definedName>
    <definedName name="_SUM560">#REF!</definedName>
    <definedName name="_SUM570">#REF!</definedName>
    <definedName name="_SUM580">#REF!</definedName>
    <definedName name="_SUM590">#REF!</definedName>
    <definedName name="_SUM700">#REF!</definedName>
    <definedName name="_SUM701">#REF!</definedName>
    <definedName name="_SUM702">#REF!</definedName>
    <definedName name="_SUM703">#REF!</definedName>
    <definedName name="_SUM704">#REF!</definedName>
    <definedName name="_sum770">#REF!</definedName>
    <definedName name="_SUM800">#REF!</definedName>
    <definedName name="_sum900">#REF!</definedName>
    <definedName name="_SUM901">#REF!</definedName>
    <definedName name="_SUM902">#REF!</definedName>
    <definedName name="_SUM903">#REF!</definedName>
    <definedName name="_SUM904">#REF!</definedName>
    <definedName name="_t">#REF!</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le1_In1" hidden="1">#REF!</definedName>
    <definedName name="_Table2_In1" hidden="1">#REF!</definedName>
    <definedName name="_Table2_In2" hidden="1">#REF!</definedName>
    <definedName name="_Table2_Out" hidden="1">#REF!</definedName>
    <definedName name="_tb1" hidden="1">{#N/A,#N/A,FALSE,"One Pager";#N/A,#N/A,FALSE,"Technical"}</definedName>
    <definedName name="_TB2">#REF!</definedName>
    <definedName name="_TB2_1">NA()</definedName>
    <definedName name="_TB2_2">NA()</definedName>
    <definedName name="_TB2_3">NA()</definedName>
    <definedName name="_TB2_5">NA()</definedName>
    <definedName name="_tem1" hidden="1">{#N/A,#N/A,TRUE,"Front";#N/A,#N/A,TRUE,"Simple Letter";#N/A,#N/A,TRUE,"Inside";#N/A,#N/A,TRUE,"Contents";#N/A,#N/A,TRUE,"Basis";#N/A,#N/A,TRUE,"Inclusions";#N/A,#N/A,TRUE,"Exclusions";#N/A,#N/A,TRUE,"Areas";#N/A,#N/A,TRUE,"Summary";#N/A,#N/A,TRUE,"Detail"}</definedName>
    <definedName name="_tk1">#REF!</definedName>
    <definedName name="_tm3" hidden="1">{#N/A,#N/A,TRUE,"Front";#N/A,#N/A,TRUE,"Simple Letter";#N/A,#N/A,TRUE,"Inside";#N/A,#N/A,TRUE,"Contents";#N/A,#N/A,TRUE,"Basis";#N/A,#N/A,TRUE,"Inclusions";#N/A,#N/A,TRUE,"Exclusions";#N/A,#N/A,TRUE,"Areas";#N/A,#N/A,TRUE,"Summary";#N/A,#N/A,TRUE,"Detail"}</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c1">#N/A</definedName>
    <definedName name="_TTL1">#REF!</definedName>
    <definedName name="_TTL1_1">NA()</definedName>
    <definedName name="_TTL1_2">NA()</definedName>
    <definedName name="_TTL1_3">NA()</definedName>
    <definedName name="_TTL1_5">NA()</definedName>
    <definedName name="_TTL2">#REF!</definedName>
    <definedName name="_TTL2_1">NA()</definedName>
    <definedName name="_TTL2_2">NA()</definedName>
    <definedName name="_TTL2_3">NA()</definedName>
    <definedName name="_TTL2_5">NA()</definedName>
    <definedName name="_TTL3">#REF!</definedName>
    <definedName name="_TTL3_1">NA()</definedName>
    <definedName name="_TTL3_2">NA()</definedName>
    <definedName name="_TTL3_3">NA()</definedName>
    <definedName name="_TTL3_5">NA()</definedName>
    <definedName name="_TTL4">#REF!</definedName>
    <definedName name="_TTL4_1">NA()</definedName>
    <definedName name="_TTL4_2">NA()</definedName>
    <definedName name="_TTL4_3">NA()</definedName>
    <definedName name="_TTL4_5">NA()</definedName>
    <definedName name="_TTL5">#REF!</definedName>
    <definedName name="_TTL5_1">NA()</definedName>
    <definedName name="_TTL5_2">NA()</definedName>
    <definedName name="_TTL5_3">NA()</definedName>
    <definedName name="_TTL5_5">NA()</definedName>
    <definedName name="_TTL6">#REF!</definedName>
    <definedName name="_TTL6_1">NA()</definedName>
    <definedName name="_TTL6_2">NA()</definedName>
    <definedName name="_TTL6_3">NA()</definedName>
    <definedName name="_TTL6_5">NA()</definedName>
    <definedName name="_Val101">#REF!</definedName>
    <definedName name="_Val102">#REF!</definedName>
    <definedName name="_Val201">#REF!</definedName>
    <definedName name="_Val202">#REF!</definedName>
    <definedName name="_Val301">#REF!</definedName>
    <definedName name="_Val302">#REF!</definedName>
    <definedName name="_VAR13300">#N/A</definedName>
    <definedName name="_VAR13502">#N/A</definedName>
    <definedName name="_WGZY_">#REF!</definedName>
    <definedName name="_WGZY__1">#REF!</definedName>
    <definedName name="_WGZY__10">#REF!</definedName>
    <definedName name="_WGZY__11">#REF!</definedName>
    <definedName name="_WGZY__12">#REF!</definedName>
    <definedName name="_WGZY__20">#REF!</definedName>
    <definedName name="_WGZY__21">#REF!</definedName>
    <definedName name="_WGZY__24">#REF!</definedName>
    <definedName name="_WGZY__25">#REF!</definedName>
    <definedName name="_WGZY__26">#REF!</definedName>
    <definedName name="_WGZY__27">#REF!</definedName>
    <definedName name="_WGZY__28">#REF!</definedName>
    <definedName name="_WGZY__29">#REF!</definedName>
    <definedName name="_WGZY__30">#REF!</definedName>
    <definedName name="_WGZY__31">#REF!</definedName>
    <definedName name="_WGZY__32">#REF!</definedName>
    <definedName name="_WGZY__33">#REF!</definedName>
    <definedName name="_WGZY__34">#REF!</definedName>
    <definedName name="_WGZY__35">#REF!</definedName>
    <definedName name="_WGZY__36">#REF!</definedName>
    <definedName name="_WGZY__37">#REF!</definedName>
    <definedName name="_WGZY__38">#REF!</definedName>
    <definedName name="_WGZY__39">#REF!</definedName>
    <definedName name="_WGZY__4">#REF!</definedName>
    <definedName name="_WGZY__40">#REF!</definedName>
    <definedName name="_WGZY__41">#REF!</definedName>
    <definedName name="_WGZY__42">#REF!</definedName>
    <definedName name="_WGZY__43">#REF!</definedName>
    <definedName name="_WGZY__44">#REF!</definedName>
    <definedName name="_WGZY__45">#REF!</definedName>
    <definedName name="_WGZY__46">#REF!</definedName>
    <definedName name="_WGZY__47">#REF!</definedName>
    <definedName name="_WGZY__48">#REF!</definedName>
    <definedName name="_WGZY__49">#REF!</definedName>
    <definedName name="_WGZY__50">#REF!</definedName>
    <definedName name="_WGZY__51">#REF!</definedName>
    <definedName name="_WGZY__52">#REF!</definedName>
    <definedName name="_WGZY__53">#REF!</definedName>
    <definedName name="_WGZY__55">#REF!</definedName>
    <definedName name="_WGZY__56">#REF!</definedName>
    <definedName name="_WGZY__57">#REF!</definedName>
    <definedName name="_WGZY__61">#REF!</definedName>
    <definedName name="_WGZY__62">#REF!</definedName>
    <definedName name="_WGZY__63">#REF!</definedName>
    <definedName name="_WGZY__64">#REF!</definedName>
    <definedName name="_WGZY__65">#REF!</definedName>
    <definedName name="_WGZY__66">#REF!</definedName>
    <definedName name="_WGZY__8">#REF!</definedName>
    <definedName name="_WGZY__9">#REF!</definedName>
    <definedName name="_wrn1" hidden="1">{#N/A,#N/A,FALSE,"Kalk"}</definedName>
    <definedName name="_wrn2" hidden="1">{"Kalk_druck",#N/A,FALSE,"Kalk";#N/A,#N/A,FALSE,"Risiken";"AllgKost_Druck",#N/A,FALSE,"AllgKost";"KompKost_Druck",#N/A,FALSE,"KompKost"}</definedName>
    <definedName name="_wrn3" hidden="1">{#N/A,#N/A,FALSE,"Kalk"}</definedName>
    <definedName name="_ww">#REF!</definedName>
    <definedName name="_x">#N/A</definedName>
    <definedName name="_x_1">#REF!</definedName>
    <definedName name="_x_10">#REF!</definedName>
    <definedName name="_x_11">#REF!</definedName>
    <definedName name="_x_12">#REF!</definedName>
    <definedName name="_x_20">#REF!</definedName>
    <definedName name="_x_21">#REF!</definedName>
    <definedName name="_x_24">#REF!</definedName>
    <definedName name="_x_25">#REF!</definedName>
    <definedName name="_x_26">#REF!</definedName>
    <definedName name="_x_27">#REF!</definedName>
    <definedName name="_x_28">#REF!</definedName>
    <definedName name="_x_29">#REF!</definedName>
    <definedName name="_x_30">#REF!</definedName>
    <definedName name="_x_31">#REF!</definedName>
    <definedName name="_x_32">#REF!</definedName>
    <definedName name="_x_33">#REF!</definedName>
    <definedName name="_x_34">#REF!</definedName>
    <definedName name="_x_35">#REF!</definedName>
    <definedName name="_x_36">#REF!</definedName>
    <definedName name="_x_37">#REF!</definedName>
    <definedName name="_x_38">#REF!</definedName>
    <definedName name="_x_39">#REF!</definedName>
    <definedName name="_x_4">#REF!</definedName>
    <definedName name="_x_40">#REF!</definedName>
    <definedName name="_x_41">#REF!</definedName>
    <definedName name="_x_42">#REF!</definedName>
    <definedName name="_x_43">#REF!</definedName>
    <definedName name="_x_44">#REF!</definedName>
    <definedName name="_x_45">#REF!</definedName>
    <definedName name="_x_46">#REF!</definedName>
    <definedName name="_x_47">#REF!</definedName>
    <definedName name="_x_48">#REF!</definedName>
    <definedName name="_x_49">#REF!</definedName>
    <definedName name="_x_50">#REF!</definedName>
    <definedName name="_x_51">#REF!</definedName>
    <definedName name="_x_52">#REF!</definedName>
    <definedName name="_x_53">#REF!</definedName>
    <definedName name="_x_55">#REF!</definedName>
    <definedName name="_x_56">#REF!</definedName>
    <definedName name="_x_57">#REF!</definedName>
    <definedName name="_x_61">#REF!</definedName>
    <definedName name="_x_62">#REF!</definedName>
    <definedName name="_x_63">#REF!</definedName>
    <definedName name="_x_64">#REF!</definedName>
    <definedName name="_x_65">#REF!</definedName>
    <definedName name="_x_66">#REF!</definedName>
    <definedName name="_x_8">#REF!</definedName>
    <definedName name="_x_9">#REF!</definedName>
    <definedName name="_xx1" hidden="1">{"'Typical Costs Estimates'!$C$158:$H$161"}</definedName>
    <definedName name="_ys1" localSheetId="1" hidden="1">{#N/A,#N/A,FALSE,"abs";#N/A,#N/A,FALSE,"Annex-I";#N/A,#N/A,FALSE,"Annex-II";#N/A,#N/A,FALSE,"Annex-III";#N/A,#N/A,FALSE,"Annex-IV";#N/A,#N/A,FALSE,"Annex-V";#N/A,#N/A,FALSE,"Annex-VI"}</definedName>
    <definedName name="_ys1" hidden="1">{#N/A,#N/A,FALSE,"abs";#N/A,#N/A,FALSE,"Annex-I";#N/A,#N/A,FALSE,"Annex-II";#N/A,#N/A,FALSE,"Annex-III";#N/A,#N/A,FALSE,"Annex-IV";#N/A,#N/A,FALSE,"Annex-V";#N/A,#N/A,FALSE,"Annex-VI"}</definedName>
    <definedName name="_ys2" hidden="1">{#N/A,#N/A,FALSE,"abs";#N/A,#N/A,FALSE,"Annex-I";#N/A,#N/A,FALSE,"Annex-II";#N/A,#N/A,FALSE,"Annex-III";#N/A,#N/A,FALSE,"Annex-IV";#N/A,#N/A,FALSE,"Annex-V";#N/A,#N/A,FALSE,"Annex-VI"}</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#REF!</definedName>
    <definedName name="a">#REF!</definedName>
    <definedName name="A.NOS">#REF!</definedName>
    <definedName name="a___0">#REF!</definedName>
    <definedName name="a___0_1">NA()</definedName>
    <definedName name="a___0_2">NA()</definedName>
    <definedName name="a___0_3">NA()</definedName>
    <definedName name="a___0_5">NA()</definedName>
    <definedName name="a___13">#REF!</definedName>
    <definedName name="a___13_1">NA()</definedName>
    <definedName name="a___13_2">NA()</definedName>
    <definedName name="a___13_3">NA()</definedName>
    <definedName name="a___13_5">NA()</definedName>
    <definedName name="A_1">NA()</definedName>
    <definedName name="a_1_1">NA()</definedName>
    <definedName name="a_10">#REF!</definedName>
    <definedName name="a_11">"'smb://rajeev/c/rajeev/data/rajmah/p&amp;g%25252525252525252525252520super/hosmec%25252525252525252525252520hosp..xls'#$boq.$dy$129"</definedName>
    <definedName name="a_12">"'file://Rajeev/c/rajeev/data/RAJMAH/P&amp;G%20Super/Hosmec%20Hosp..xls'#$boq.$DY$129"</definedName>
    <definedName name="a_15">"$#REF!.$#REF!$#REF!"</definedName>
    <definedName name="A_2">NA()</definedName>
    <definedName name="a_2_1">NA()</definedName>
    <definedName name="a_20">#REF!</definedName>
    <definedName name="a_21">#REF!</definedName>
    <definedName name="a_24">#REF!</definedName>
    <definedName name="a_25">#REF!</definedName>
    <definedName name="a_26">#REF!</definedName>
    <definedName name="a_27">#REF!</definedName>
    <definedName name="a_28">#REF!</definedName>
    <definedName name="a_29">#REF!</definedName>
    <definedName name="A_3">NA()</definedName>
    <definedName name="a_3_1">"$#REF!.$#REF!$#REF!"</definedName>
    <definedName name="a_30">#REF!</definedName>
    <definedName name="a_31">#REF!</definedName>
    <definedName name="a_32">#REF!</definedName>
    <definedName name="a_33">#REF!</definedName>
    <definedName name="a_34">#REF!</definedName>
    <definedName name="a_35">#REF!</definedName>
    <definedName name="a_36">#REF!</definedName>
    <definedName name="a_37">#REF!</definedName>
    <definedName name="a_38">#REF!</definedName>
    <definedName name="a_39">#REF!</definedName>
    <definedName name="a_4">"$#REF!.$#REF!$#REF!"</definedName>
    <definedName name="a_40">#REF!</definedName>
    <definedName name="a_41">#REF!</definedName>
    <definedName name="a_42">#REF!</definedName>
    <definedName name="a_43">#REF!</definedName>
    <definedName name="a_44">#REF!</definedName>
    <definedName name="a_45">#REF!</definedName>
    <definedName name="a_46">#REF!</definedName>
    <definedName name="a_47">#REF!</definedName>
    <definedName name="a_48">#REF!</definedName>
    <definedName name="a_49">#REF!</definedName>
    <definedName name="A_5">NA()</definedName>
    <definedName name="a_50">#REF!</definedName>
    <definedName name="a_51">#REF!</definedName>
    <definedName name="a_52">#REF!</definedName>
    <definedName name="a_53">#REF!</definedName>
    <definedName name="a_55">#REF!</definedName>
    <definedName name="a_56">#REF!</definedName>
    <definedName name="a_57">#REF!</definedName>
    <definedName name="a_6">"$#REF!.$#REF!$#REF!"</definedName>
    <definedName name="a_61">#REF!</definedName>
    <definedName name="a_62">#REF!</definedName>
    <definedName name="a_63">#REF!</definedName>
    <definedName name="a_64">#REF!</definedName>
    <definedName name="a_65">#REF!</definedName>
    <definedName name="a_66">#REF!</definedName>
    <definedName name="a_8">#REF!</definedName>
    <definedName name="a_9">#REF!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0_1">NA()</definedName>
    <definedName name="A1____0_2">NA()</definedName>
    <definedName name="A1____0_3">NA()</definedName>
    <definedName name="A1____0_5">NA()</definedName>
    <definedName name="A1____13">#REF!</definedName>
    <definedName name="A1____13_1">NA()</definedName>
    <definedName name="A1____13_2">NA()</definedName>
    <definedName name="A1____13_3">NA()</definedName>
    <definedName name="A1____13_5">NA()</definedName>
    <definedName name="A1__1">NA()</definedName>
    <definedName name="A1__2">NA()</definedName>
    <definedName name="A1__3">NA()</definedName>
    <definedName name="A1__5">NA()</definedName>
    <definedName name="A10_">#REF!</definedName>
    <definedName name="A10____0">#REF!</definedName>
    <definedName name="A10____0_1">NA()</definedName>
    <definedName name="A10____0_2">NA()</definedName>
    <definedName name="A10____0_3">NA()</definedName>
    <definedName name="A10____0_5">NA()</definedName>
    <definedName name="A10____13">#REF!</definedName>
    <definedName name="A10____13_1">NA()</definedName>
    <definedName name="A10____13_2">NA()</definedName>
    <definedName name="A10____13_3">NA()</definedName>
    <definedName name="A10____13_5">NA()</definedName>
    <definedName name="A10__1">NA()</definedName>
    <definedName name="A10__2">NA()</definedName>
    <definedName name="A10__3">NA()</definedName>
    <definedName name="A10__5">NA()</definedName>
    <definedName name="A13_">#REF!</definedName>
    <definedName name="A13____0">#REF!</definedName>
    <definedName name="A13____0_1">NA()</definedName>
    <definedName name="A13____0_2">NA()</definedName>
    <definedName name="A13____0_3">NA()</definedName>
    <definedName name="A13____0_5">NA()</definedName>
    <definedName name="A13____13">#REF!</definedName>
    <definedName name="A13____13_1">NA()</definedName>
    <definedName name="A13____13_2">NA()</definedName>
    <definedName name="A13____13_3">NA()</definedName>
    <definedName name="A13____13_5">NA()</definedName>
    <definedName name="A13__1">NA()</definedName>
    <definedName name="A13__13">#REF!</definedName>
    <definedName name="A13__2">NA()</definedName>
    <definedName name="A13__3">NA()</definedName>
    <definedName name="A13__5">NA()</definedName>
    <definedName name="A1M170">#REF!</definedName>
    <definedName name="A2_">#REF!</definedName>
    <definedName name="A2____0">#REF!</definedName>
    <definedName name="A2____0_1">NA()</definedName>
    <definedName name="A2____0_2">NA()</definedName>
    <definedName name="A2____0_3">NA()</definedName>
    <definedName name="A2____0_5">NA()</definedName>
    <definedName name="A2____13">#REF!</definedName>
    <definedName name="A2____13_1">NA()</definedName>
    <definedName name="A2____13_2">NA()</definedName>
    <definedName name="A2____13_3">NA()</definedName>
    <definedName name="A2____13_5">NA()</definedName>
    <definedName name="A2__1">NA()</definedName>
    <definedName name="A2__2">NA()</definedName>
    <definedName name="A2__3">NA()</definedName>
    <definedName name="A2__5">NA()</definedName>
    <definedName name="A3_">#REF!</definedName>
    <definedName name="A3____0">#REF!</definedName>
    <definedName name="A3____0_1">NA()</definedName>
    <definedName name="A3____0_2">NA()</definedName>
    <definedName name="A3____0_3">NA()</definedName>
    <definedName name="A3____0_5">NA()</definedName>
    <definedName name="A3____13">#REF!</definedName>
    <definedName name="A3____13_1">NA()</definedName>
    <definedName name="A3____13_2">NA()</definedName>
    <definedName name="A3____13_3">NA()</definedName>
    <definedName name="A3____13_5">NA()</definedName>
    <definedName name="A3__1">NA()</definedName>
    <definedName name="A3__2">NA()</definedName>
    <definedName name="A3__3">NA()</definedName>
    <definedName name="A3__5">NA()</definedName>
    <definedName name="A4_">#REF!</definedName>
    <definedName name="A4____0">#REF!</definedName>
    <definedName name="A4____0_1">NA()</definedName>
    <definedName name="A4____0_2">NA()</definedName>
    <definedName name="A4____0_3">NA()</definedName>
    <definedName name="A4____0_5">NA()</definedName>
    <definedName name="A4____13">#REF!</definedName>
    <definedName name="A4____13_1">NA()</definedName>
    <definedName name="A4____13_2">NA()</definedName>
    <definedName name="A4____13_3">NA()</definedName>
    <definedName name="A4____13_5">NA()</definedName>
    <definedName name="A4__1">NA()</definedName>
    <definedName name="A4__2">NA()</definedName>
    <definedName name="A4__3">NA()</definedName>
    <definedName name="A4__5">NA()</definedName>
    <definedName name="A5_">#REF!</definedName>
    <definedName name="A5____0">#REF!</definedName>
    <definedName name="A5____0_1">NA()</definedName>
    <definedName name="A5____0_2">NA()</definedName>
    <definedName name="A5____0_3">NA()</definedName>
    <definedName name="A5____0_5">NA()</definedName>
    <definedName name="A5____13">#REF!</definedName>
    <definedName name="A5____13_1">NA()</definedName>
    <definedName name="A5____13_2">NA()</definedName>
    <definedName name="A5____13_3">NA()</definedName>
    <definedName name="A5____13_5">NA()</definedName>
    <definedName name="A5__1">NA()</definedName>
    <definedName name="A5__2">NA()</definedName>
    <definedName name="A5__3">NA()</definedName>
    <definedName name="A5__5">NA()</definedName>
    <definedName name="A6_">#REF!</definedName>
    <definedName name="A6____0">#REF!</definedName>
    <definedName name="A6____0_1">NA()</definedName>
    <definedName name="A6____0_2">NA()</definedName>
    <definedName name="A6____0_3">NA()</definedName>
    <definedName name="A6____0_5">NA()</definedName>
    <definedName name="A6____13">#REF!</definedName>
    <definedName name="A6____13_1">NA()</definedName>
    <definedName name="A6____13_2">NA()</definedName>
    <definedName name="A6____13_3">NA()</definedName>
    <definedName name="A6____13_5">NA()</definedName>
    <definedName name="A6__1">NA()</definedName>
    <definedName name="A6__2">NA()</definedName>
    <definedName name="A6__3">NA()</definedName>
    <definedName name="A6__5">NA()</definedName>
    <definedName name="A7_">#REF!</definedName>
    <definedName name="A7____0">#REF!</definedName>
    <definedName name="A7____0_1">NA()</definedName>
    <definedName name="A7____0_2">NA()</definedName>
    <definedName name="A7____0_3">NA()</definedName>
    <definedName name="A7____0_5">NA()</definedName>
    <definedName name="A7____13">#REF!</definedName>
    <definedName name="A7____13_1">NA()</definedName>
    <definedName name="A7____13_2">NA()</definedName>
    <definedName name="A7____13_3">NA()</definedName>
    <definedName name="A7____13_5">NA()</definedName>
    <definedName name="A7__1">NA()</definedName>
    <definedName name="A7__2">NA()</definedName>
    <definedName name="A7__3">NA()</definedName>
    <definedName name="A7__5">NA()</definedName>
    <definedName name="A8_">#REF!</definedName>
    <definedName name="A8____0">#REF!</definedName>
    <definedName name="A8____0_1">NA()</definedName>
    <definedName name="A8____0_2">NA()</definedName>
    <definedName name="A8____0_3">NA()</definedName>
    <definedName name="A8____0_5">NA()</definedName>
    <definedName name="A8____13">#REF!</definedName>
    <definedName name="A8____13_1">NA()</definedName>
    <definedName name="A8____13_2">NA()</definedName>
    <definedName name="A8____13_3">NA()</definedName>
    <definedName name="A8____13_5">NA()</definedName>
    <definedName name="A8__1">NA()</definedName>
    <definedName name="A8__2">NA()</definedName>
    <definedName name="A8__3">NA()</definedName>
    <definedName name="A8__5">NA()</definedName>
    <definedName name="A9_">#REF!</definedName>
    <definedName name="A9____0">#REF!</definedName>
    <definedName name="A9____0_1">NA()</definedName>
    <definedName name="A9____0_2">NA()</definedName>
    <definedName name="A9____0_3">NA()</definedName>
    <definedName name="A9____0_5">NA()</definedName>
    <definedName name="A9____13">#REF!</definedName>
    <definedName name="A9____13_1">NA()</definedName>
    <definedName name="A9____13_2">NA()</definedName>
    <definedName name="A9____13_3">NA()</definedName>
    <definedName name="A9____13_5">NA()</definedName>
    <definedName name="A9__1">NA()</definedName>
    <definedName name="A9__2">NA()</definedName>
    <definedName name="A9__3">NA()</definedName>
    <definedName name="A9__5">NA()</definedName>
    <definedName name="aa">#N/A</definedName>
    <definedName name="AA.Report.Files" hidden="1">#REF!</definedName>
    <definedName name="AA.Reports.Available" hidden="1">#REF!</definedName>
    <definedName name="AAA" hidden="1">{#N/A,#N/A,TRUE,"Front";#N/A,#N/A,TRUE,"Simple Letter";#N/A,#N/A,TRUE,"Inside";#N/A,#N/A,TRUE,"Contents";#N/A,#N/A,TRUE,"Basis";#N/A,#N/A,TRUE,"Inclusions";#N/A,#N/A,TRUE,"Exclusions";#N/A,#N/A,TRUE,"Areas";#N/A,#N/A,TRUE,"Summary";#N/A,#N/A,TRUE,"Detail"}</definedName>
    <definedName name="AAA5A">#REF!</definedName>
    <definedName name="aaaa" hidden="1">{#N/A,#N/A,TRUE,"Front";#N/A,#N/A,TRUE,"Simple Letter";#N/A,#N/A,TRUE,"Inside";#N/A,#N/A,TRUE,"Contents";#N/A,#N/A,TRUE,"Basis";#N/A,#N/A,TRUE,"Inclusions";#N/A,#N/A,TRUE,"Exclusions";#N/A,#N/A,TRUE,"Areas";#N/A,#N/A,TRUE,"Summary";#N/A,#N/A,TRUE,"Detail"}</definedName>
    <definedName name="aaaa5">#REF!</definedName>
    <definedName name="aaaa55">#REF!</definedName>
    <definedName name="AAAA56">#REF!</definedName>
    <definedName name="aaaa59">#REF!</definedName>
    <definedName name="AAAA6">#REF!</definedName>
    <definedName name="aaaaa">#REF!</definedName>
    <definedName name="AAAAA5">#REF!</definedName>
    <definedName name="AAAAAA" hidden="1">{#N/A,#N/A,FALSE,"gc (2)"}</definedName>
    <definedName name="AAAAAAA" hidden="1">{#N/A,#N/A,TRUE,"Front";#N/A,#N/A,TRUE,"Simple Letter";#N/A,#N/A,TRUE,"Inside";#N/A,#N/A,TRUE,"Contents";#N/A,#N/A,TRUE,"Basis";#N/A,#N/A,TRUE,"Inclusions";#N/A,#N/A,TRUE,"Exclusions";#N/A,#N/A,TRUE,"Areas";#N/A,#N/A,TRUE,"Summary";#N/A,#N/A,TRUE,"Detail"}</definedName>
    <definedName name="aaaaaaaa" hidden="1">{#N/A,#N/A,TRUE,"Krycí list"}</definedName>
    <definedName name="aaaaaaaaa" hidden="1">{#N/A,#N/A,TRUE,"Front";#N/A,#N/A,TRUE,"Simple Letter";#N/A,#N/A,TRUE,"Inside";#N/A,#N/A,TRUE,"Contents";#N/A,#N/A,TRUE,"Basis";#N/A,#N/A,TRUE,"Inclusions";#N/A,#N/A,TRUE,"Exclusions";#N/A,#N/A,TRUE,"Areas";#N/A,#N/A,TRUE,"Summary";#N/A,#N/A,TRUE,"Detail"}</definedName>
    <definedName name="aaaaaaaaaaaa" hidden="1">{#N/A,#N/A,TRUE,"Krycí list"}</definedName>
    <definedName name="aaaaaaaaaaaaaaaaa" hidden="1">{#N/A,#N/A,TRUE,"Krycí list"}</definedName>
    <definedName name="aaasa">#REF!</definedName>
    <definedName name="aad">#REF!</definedName>
    <definedName name="aadawawdaW">#REF!</definedName>
    <definedName name="aaffa" hidden="1">{#N/A,#N/A,FALSE,"COVER.XLS";#N/A,#N/A,FALSE,"RACT1.XLS";#N/A,#N/A,FALSE,"RACT2.XLS";#N/A,#N/A,FALSE,"ECCMP";#N/A,#N/A,FALSE,"WELDER.XLS"}</definedName>
    <definedName name="aakdf" hidden="1">{#N/A,#N/A,FALSE,"mgtsum.XLS";#N/A,#N/A,FALSE,"CAPONE";#N/A,#N/A,FALSE,"CAPTWO";#N/A,#N/A,FALSE,"CAPTHREE"}</definedName>
    <definedName name="AAS">#N/A</definedName>
    <definedName name="AB" hidden="1">#REF!</definedName>
    <definedName name="AB_1">NA()</definedName>
    <definedName name="AB_2">NA()</definedName>
    <definedName name="AB_3">NA()</definedName>
    <definedName name="AB_5">NA()</definedName>
    <definedName name="aba" hidden="1">{#N/A,#N/A,FALSE,"COVER1.XLS ";#N/A,#N/A,FALSE,"RACT1.XLS";#N/A,#N/A,FALSE,"RACT2.XLS";#N/A,#N/A,FALSE,"ECCMP";#N/A,#N/A,FALSE,"WELDER.XLS"}</definedName>
    <definedName name="abc" localSheetId="1" hidden="1">#REF!</definedName>
    <definedName name="abc" hidden="1">#REF!</definedName>
    <definedName name="abc_15">"$#REF!.$#REF!$#REF!"</definedName>
    <definedName name="abc_3">"$#REF!.$#REF!$#REF!"</definedName>
    <definedName name="abc_4">"$#REF!.$#REF!$#REF!"</definedName>
    <definedName name="abc_5">NA()</definedName>
    <definedName name="abc_6">"$#REF!.$#REF!$#REF!"</definedName>
    <definedName name="abcd" hidden="1">{#N/A,#N/A,TRUE,"Front";#N/A,#N/A,TRUE,"Simple Letter";#N/A,#N/A,TRUE,"Inside";#N/A,#N/A,TRUE,"Contents";#N/A,#N/A,TRUE,"Basis";#N/A,#N/A,TRUE,"Inclusions";#N/A,#N/A,TRUE,"Exclusions";#N/A,#N/A,TRUE,"Areas";#N/A,#N/A,TRUE,"Summary";#N/A,#N/A,TRUE,"Detail"}</definedName>
    <definedName name="abcd_1">NA()</definedName>
    <definedName name="abcd_2">NA()</definedName>
    <definedName name="abcd_3">NA()</definedName>
    <definedName name="abcd_5">NA()</definedName>
    <definedName name="abcdefg" hidden="1">{#N/A,#N/A,FALSE,"mgtsum.XLS";#N/A,#N/A,FALSE,"CAPONE";#N/A,#N/A,FALSE,"CAPTWO";#N/A,#N/A,FALSE,"CAPTHREE"}</definedName>
    <definedName name="abcxyz" hidden="1">{#N/A,#N/A,FALSE,"mgtsum.XLS";#N/A,#N/A,FALSE,"CAPONE";#N/A,#N/A,FALSE,"CAPTWO";#N/A,#N/A,FALSE,"CAPTHREE"}</definedName>
    <definedName name="Abs" localSheetId="1" hidden="1">#REF!</definedName>
    <definedName name="Abs" hidden="1">#REF!</definedName>
    <definedName name="absbill">#REF!</definedName>
    <definedName name="Absrta">#REF!</definedName>
    <definedName name="Absrtract_MH_II">#REF!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 hidden="1">#REF!</definedName>
    <definedName name="abstract" hidden="1">#REF!</definedName>
    <definedName name="abstractEB" localSheetId="1"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stractEB_1">{#N/A,#N/A,TRUE,"Front";#N/A,#N/A,TRUE,"Simple Letter";#N/A,#N/A,TRUE,"Inside";#N/A,#N/A,TRUE,"Contents";#N/A,#N/A,TRUE,"Basis";#N/A,#N/A,TRUE,"Inclusions";#N/A,#N/A,TRUE,"Exclusions";#N/A,#N/A,TRUE,"Areas";#N/A,#N/A,TRUE,"Summary";#N/A,#N/A,TRUE,"Detail"}</definedName>
    <definedName name="abstractEB_1_1">{#N/A,#N/A,TRUE,"Front";#N/A,#N/A,TRUE,"Simple Letter";#N/A,#N/A,TRUE,"Inside";#N/A,#N/A,TRUE,"Contents";#N/A,#N/A,TRUE,"Basis";#N/A,#N/A,TRUE,"Inclusions";#N/A,#N/A,TRUE,"Exclusions";#N/A,#N/A,TRUE,"Areas";#N/A,#N/A,TRUE,"Summary";#N/A,#N/A,TRUE,"Detail"}</definedName>
    <definedName name="abstractEB_2">{#N/A,#N/A,TRUE,"Front";#N/A,#N/A,TRUE,"Simple Letter";#N/A,#N/A,TRUE,"Inside";#N/A,#N/A,TRUE,"Contents";#N/A,#N/A,TRUE,"Basis";#N/A,#N/A,TRUE,"Inclusions";#N/A,#N/A,TRUE,"Exclusions";#N/A,#N/A,TRUE,"Areas";#N/A,#N/A,TRUE,"Summary";#N/A,#N/A,TRUE,"Detail"}</definedName>
    <definedName name="abstractEB_2_1">{#N/A,#N/A,TRUE,"Front";#N/A,#N/A,TRUE,"Simple Letter";#N/A,#N/A,TRUE,"Inside";#N/A,#N/A,TRUE,"Contents";#N/A,#N/A,TRUE,"Basis";#N/A,#N/A,TRUE,"Inclusions";#N/A,#N/A,TRUE,"Exclusions";#N/A,#N/A,TRUE,"Areas";#N/A,#N/A,TRUE,"Summary";#N/A,#N/A,TRUE,"Detail"}</definedName>
    <definedName name="abstractEB_3">{#N/A,#N/A,TRUE,"Front";#N/A,#N/A,TRUE,"Simple Letter";#N/A,#N/A,TRUE,"Inside";#N/A,#N/A,TRUE,"Contents";#N/A,#N/A,TRUE,"Basis";#N/A,#N/A,TRUE,"Inclusions";#N/A,#N/A,TRUE,"Exclusions";#N/A,#N/A,TRUE,"Areas";#N/A,#N/A,TRUE,"Summary";#N/A,#N/A,TRUE,"Detail"}</definedName>
    <definedName name="abstractEB_3_1">{#N/A,#N/A,TRUE,"Front";#N/A,#N/A,TRUE,"Simple Letter";#N/A,#N/A,TRUE,"Inside";#N/A,#N/A,TRUE,"Contents";#N/A,#N/A,TRUE,"Basis";#N/A,#N/A,TRUE,"Inclusions";#N/A,#N/A,TRUE,"Exclusions";#N/A,#N/A,TRUE,"Areas";#N/A,#N/A,TRUE,"Summary";#N/A,#N/A,TRUE,"Detail"}</definedName>
    <definedName name="abstractEB1" hidden="1">{#N/A,#N/A,TRUE,"Front";#N/A,#N/A,TRUE,"Simple Letter";#N/A,#N/A,TRUE,"Inside";#N/A,#N/A,TRUE,"Contents";#N/A,#N/A,TRUE,"Basis";#N/A,#N/A,TRUE,"Inclusions";#N/A,#N/A,TRUE,"Exclusions";#N/A,#N/A,TRUE,"Areas";#N/A,#N/A,TRUE,"Summary";#N/A,#N/A,TRUE,"Detail"}</definedName>
    <definedName name="abstractfinal">#REF!</definedName>
    <definedName name="Abstractvillas" hidden="1">{#N/A,#N/A,FALSE,"abs";#N/A,#N/A,FALSE,"Annex-I";#N/A,#N/A,FALSE,"Annex-II";#N/A,#N/A,FALSE,"Annex-III";#N/A,#N/A,FALSE,"Annex-IV";#N/A,#N/A,FALSE,"Annex-V";#N/A,#N/A,FALSE,"Annex-VI"}</definedName>
    <definedName name="Ac">#REF!</definedName>
    <definedName name="Ac_1">NA()</definedName>
    <definedName name="Ac_2">NA()</definedName>
    <definedName name="Ac_3">NA()</definedName>
    <definedName name="Ac_5">NA()</definedName>
    <definedName name="acab">#REF!</definedName>
    <definedName name="acabl">#REF!</definedName>
    <definedName name="acBridge">#REF!</definedName>
    <definedName name="acc">#REF!</definedName>
    <definedName name="Acc.Recon">#REF!</definedName>
    <definedName name="accab">#REF!</definedName>
    <definedName name="AccessDatabase" hidden="1">"D:\MIS\TALLY  31.09.04 sep\AS PER TALLY 31.09.04.mdb"</definedName>
    <definedName name="Accessories" hidden="1">#REF!</definedName>
    <definedName name="accomation" localSheetId="1" hidden="1">#REF!</definedName>
    <definedName name="accomation" hidden="1">#REF!</definedName>
    <definedName name="accounts">#REF!</definedName>
    <definedName name="ACCT_CODE">#N/A</definedName>
    <definedName name="AcctName">#REF!</definedName>
    <definedName name="AcctName_4">#REF!</definedName>
    <definedName name="AcctName_6">#REF!</definedName>
    <definedName name="AcctPrio">#REF!</definedName>
    <definedName name="AcctPrio_4">#REF!</definedName>
    <definedName name="AcctPrio_6">#REF!</definedName>
    <definedName name="AcctPrio_Text">#REF!</definedName>
    <definedName name="AcctPrio_Text_4">#REF!</definedName>
    <definedName name="AcctPrio_Text_6">#REF!</definedName>
    <definedName name="ACl">#REF!*2.51</definedName>
    <definedName name="ACM">#REF!*3.44</definedName>
    <definedName name="acon">#REF!</definedName>
    <definedName name="ACP">#REF!*3.18</definedName>
    <definedName name="ACsf">#REF!*3.19</definedName>
    <definedName name="ActCode">#REF!</definedName>
    <definedName name="ACTEA">#REF!</definedName>
    <definedName name="ACTEOH">#N/A</definedName>
    <definedName name="ActPilot">#REF!</definedName>
    <definedName name="actprdNvsInstanceHook">#N/A</definedName>
    <definedName name="ActSignal">#REF!</definedName>
    <definedName name="ActType">#REF!</definedName>
    <definedName name="ActualCv">#REF!</definedName>
    <definedName name="ActualPress">#REF!</definedName>
    <definedName name="acv">#REF!</definedName>
    <definedName name="acv_5">NA()</definedName>
    <definedName name="Ad" hidden="1">{#N/A,#N/A,TRUE,"Front";#N/A,#N/A,TRUE,"Simple Letter";#N/A,#N/A,TRUE,"Inside";#N/A,#N/A,TRUE,"Contents";#N/A,#N/A,TRUE,"Basis";#N/A,#N/A,TRUE,"Inclusions";#N/A,#N/A,TRUE,"Exclusions";#N/A,#N/A,TRUE,"Areas";#N/A,#N/A,TRUE,"Summary";#N/A,#N/A,TRUE,"Detail"}</definedName>
    <definedName name="ad_11">"'smb://Tender2/d/Vinod/Excel/Tender/Garuda%252520Resorts.xls'#$Boq.CX1"</definedName>
    <definedName name="ada" hidden="1">{#N/A,#N/A,FALSE,"str_title";#N/A,#N/A,FALSE,"SUM";#N/A,#N/A,FALSE,"Scope";#N/A,#N/A,FALSE,"PIE-Jn";#N/A,#N/A,FALSE,"PIE-Jn_Hz";#N/A,#N/A,FALSE,"Liq_Plan";#N/A,#N/A,FALSE,"S_Curve";#N/A,#N/A,FALSE,"Liq_Prof";#N/A,#N/A,FALSE,"Man_Pwr";#N/A,#N/A,FALSE,"Man_Prof"}</definedName>
    <definedName name="ADADAD">#REF!</definedName>
    <definedName name="ADADASASDASD">#REF!</definedName>
    <definedName name="adadd" hidden="1">{#N/A,#N/A,FALSE,"COVER1.XLS ";#N/A,#N/A,FALSE,"RACT1.XLS";#N/A,#N/A,FALSE,"RACT2.XLS";#N/A,#N/A,FALSE,"ECCMP";#N/A,#N/A,FALSE,"WELDER.XLS"}</definedName>
    <definedName name="ADADDA">#REF!</definedName>
    <definedName name="ADAM" hidden="1">{#N/A,#N/A,TRUE,"Front";#N/A,#N/A,TRUE,"Simple Letter";#N/A,#N/A,TRUE,"Inside";#N/A,#N/A,TRUE,"Contents";#N/A,#N/A,TRUE,"Basis";#N/A,#N/A,TRUE,"Inclusions";#N/A,#N/A,TRUE,"Exclusions";#N/A,#N/A,TRUE,"Areas";#N/A,#N/A,TRUE,"Summary";#N/A,#N/A,TRUE,"Detail"}</definedName>
    <definedName name="ADASASDASASDASDAS">#REF!</definedName>
    <definedName name="ADASASDASDASDAD">#REF!</definedName>
    <definedName name="ADASDASASDAS">#REF!</definedName>
    <definedName name="ADASDASDASDAS">#REF!</definedName>
    <definedName name="add_BOQ" hidden="1">{#N/A,#N/A,TRUE,"Front";#N/A,#N/A,TRUE,"Simple Letter";#N/A,#N/A,TRUE,"Inside";#N/A,#N/A,TRUE,"Contents";#N/A,#N/A,TRUE,"Basis";#N/A,#N/A,TRUE,"Inclusions";#N/A,#N/A,TRUE,"Exclusions";#N/A,#N/A,TRUE,"Areas";#N/A,#N/A,TRUE,"Summary";#N/A,#N/A,TRUE,"Detail"}</definedName>
    <definedName name="additional">#REF!</definedName>
    <definedName name="additional1">#REF!</definedName>
    <definedName name="ADDITIONAL2">#REF!</definedName>
    <definedName name="Address">#REF!</definedName>
    <definedName name="ade" hidden="1">{#N/A,#N/A,TRUE,"Krycí list"}</definedName>
    <definedName name="adf" hidden="1">{#N/A,#N/A,FALSE,"COVER1.XLS ";#N/A,#N/A,FALSE,"RACT1.XLS";#N/A,#N/A,FALSE,"RACT2.XLS";#N/A,#N/A,FALSE,"ECCMP";#N/A,#N/A,FALSE,"WELDER.XLS"}</definedName>
    <definedName name="ADFADD">#REF!</definedName>
    <definedName name="adfadsff">#REF!</definedName>
    <definedName name="ADFASDAD">#REF!</definedName>
    <definedName name="aditya" hidden="1">{#N/A,#N/A,TRUE,"Front";#N/A,#N/A,TRUE,"Simple Letter";#N/A,#N/A,TRUE,"Inside";#N/A,#N/A,TRUE,"Contents";#N/A,#N/A,TRUE,"Basis";#N/A,#N/A,TRUE,"Inclusions";#N/A,#N/A,TRUE,"Exclusions";#N/A,#N/A,TRUE,"Areas";#N/A,#N/A,TRUE,"Summary";#N/A,#N/A,TRUE,"Detail"}</definedName>
    <definedName name="adj">#REF!</definedName>
    <definedName name="adj_1">NA()</definedName>
    <definedName name="adj_2">NA()</definedName>
    <definedName name="adj_3">NA()</definedName>
    <definedName name="adj_5">NA()</definedName>
    <definedName name="Adminexp" hidden="1">{#N/A,#N/A,TRUE,"Front";#N/A,#N/A,TRUE,"Simple Letter";#N/A,#N/A,TRUE,"Inside";#N/A,#N/A,TRUE,"Contents";#N/A,#N/A,TRUE,"Basis";#N/A,#N/A,TRUE,"Inclusions";#N/A,#N/A,TRUE,"Exclusions";#N/A,#N/A,TRUE,"Areas";#N/A,#N/A,TRUE,"Summary";#N/A,#N/A,TRUE,"Detail"}</definedName>
    <definedName name="admn_off">#REF!</definedName>
    <definedName name="admn_site">#REF!</definedName>
    <definedName name="ads" hidden="1">{#N/A,#N/A,FALSE,"COVER1.XLS ";#N/A,#N/A,FALSE,"RACT1.XLS";#N/A,#N/A,FALSE,"RACT2.XLS";#N/A,#N/A,FALSE,"ECCMP";#N/A,#N/A,FALSE,"WELDER.XLS"}</definedName>
    <definedName name="ADSAD">#REF!</definedName>
    <definedName name="Advance">#REF!</definedName>
    <definedName name="aea">#REF!</definedName>
    <definedName name="aerrt" hidden="1">#REF!</definedName>
    <definedName name="afafrehytkyu" hidden="1">#REF!</definedName>
    <definedName name="afd" hidden="1">#REF!</definedName>
    <definedName name="AFEEEEE" hidden="1">{#N/A,#N/A,TRUE,"Front";#N/A,#N/A,TRUE,"Simple Letter";#N/A,#N/A,TRUE,"Inside";#N/A,#N/A,TRUE,"Contents";#N/A,#N/A,TRUE,"Basis";#N/A,#N/A,TRUE,"Inclusions";#N/A,#N/A,TRUE,"Exclusions";#N/A,#N/A,TRUE,"Areas";#N/A,#N/A,TRUE,"Summary";#N/A,#N/A,TRUE,"Detail"}</definedName>
    <definedName name="Ag">#REF!</definedName>
    <definedName name="Ag___0">#REF!</definedName>
    <definedName name="Ag___0_1">NA()</definedName>
    <definedName name="Ag___0_2">NA()</definedName>
    <definedName name="Ag___0_3">NA()</definedName>
    <definedName name="Ag___0_5">NA()</definedName>
    <definedName name="Ag___13">#REF!</definedName>
    <definedName name="Ag___13_1">NA()</definedName>
    <definedName name="Ag___13_2">NA()</definedName>
    <definedName name="Ag___13_3">NA()</definedName>
    <definedName name="Ag___13_5">NA()</definedName>
    <definedName name="Ag_1">NA()</definedName>
    <definedName name="Ag_2">NA()</definedName>
    <definedName name="Ag_3">NA()</definedName>
    <definedName name="Ag_5">NA()</definedName>
    <definedName name="ahdfla">#REF!</definedName>
    <definedName name="ahha" hidden="1">{#N/A,#N/A,TRUE,"Front";#N/A,#N/A,TRUE,"Simple Letter";#N/A,#N/A,TRUE,"Inside";#N/A,#N/A,TRUE,"Contents";#N/A,#N/A,TRUE,"Basis";#N/A,#N/A,TRUE,"Inclusions";#N/A,#N/A,TRUE,"Exclusions";#N/A,#N/A,TRUE,"Areas";#N/A,#N/A,TRUE,"Summary";#N/A,#N/A,TRUE,"Detail"}</definedName>
    <definedName name="ahu">#REF!</definedName>
    <definedName name="ahu_1">NA()</definedName>
    <definedName name="ahu_2">NA()</definedName>
    <definedName name="ahu_3">NA()</definedName>
    <definedName name="ahu_5">NA()</definedName>
    <definedName name="aiv_1">NA()</definedName>
    <definedName name="aiv_2_1">#N/A</definedName>
    <definedName name="aiv_2_1_1">NA()</definedName>
    <definedName name="aiv_2_2">NA()</definedName>
    <definedName name="aiv_2_3">NA()</definedName>
    <definedName name="aiv_2_5">NA()</definedName>
    <definedName name="aiv_2_6">NA()</definedName>
    <definedName name="aiv_3">NA()</definedName>
    <definedName name="aiv_5">NA()</definedName>
    <definedName name="aiv_6">NA()</definedName>
    <definedName name="aji">#REF!</definedName>
    <definedName name="ajitha">#REF!</definedName>
    <definedName name="AK">#REF!</definedName>
    <definedName name="Alarm_current_Amp_In_Minutes">#REF!</definedName>
    <definedName name="ald">#REF!</definedName>
    <definedName name="All_Item">#REF!</definedName>
    <definedName name="ALLLLLLLLL" hidden="1">{#N/A,#N/A,TRUE,"Front";#N/A,#N/A,TRUE,"Simple Letter";#N/A,#N/A,TRUE,"Inside";#N/A,#N/A,TRUE,"Contents";#N/A,#N/A,TRUE,"Basis";#N/A,#N/A,TRUE,"Inclusions";#N/A,#N/A,TRUE,"Exclusions";#N/A,#N/A,TRUE,"Areas";#N/A,#N/A,TRUE,"Summary";#N/A,#N/A,TRUE,"Detail"}</definedName>
    <definedName name="alp" hidden="1">#REF!</definedName>
    <definedName name="alpha">#REF!</definedName>
    <definedName name="alpha_1">NA()</definedName>
    <definedName name="alpha_2">NA()</definedName>
    <definedName name="alpha_3">NA()</definedName>
    <definedName name="alpha_5">NA()</definedName>
    <definedName name="alphabet">#REF!</definedName>
    <definedName name="ALPIN">#N/A</definedName>
    <definedName name="ALPJYOU">#N/A</definedName>
    <definedName name="ALPTOI">#N/A</definedName>
    <definedName name="ALUMINIU">"$#REF!.$#REF!$#REF!:$#REF!$#REF!"</definedName>
    <definedName name="ALUMINIU_8">"$#REF!.$#REF!$#REF!:$#REF!$#REF!"</definedName>
    <definedName name="Alw">#REF!</definedName>
    <definedName name="Alw_1">NA()</definedName>
    <definedName name="Alw_2">NA()</definedName>
    <definedName name="Alw_3">NA()</definedName>
    <definedName name="Alw_5">NA()</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C_Yrs">#REF!</definedName>
    <definedName name="Amen">13/100</definedName>
    <definedName name="amit">#REF!</definedName>
    <definedName name="Amr"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ms">#REF!</definedName>
    <definedName name="amt" hidden="1">{"Balance Sheet",#N/A,FALSE,"Balsheet";"Assets Schedule",#N/A,FALSE,"Balsheet";"Abstract",#N/A,FALSE,"Balsheet"}</definedName>
    <definedName name="Anchoring">#REF!</definedName>
    <definedName name="ann">#REF!</definedName>
    <definedName name="ANNA">#N/A</definedName>
    <definedName name="anne">#REF!</definedName>
    <definedName name="annealing">#REF!</definedName>
    <definedName name="annealing_1">#REF!</definedName>
    <definedName name="annealing_10">#REF!</definedName>
    <definedName name="annealing_11">#REF!</definedName>
    <definedName name="annealing_12">#REF!</definedName>
    <definedName name="annealing_20">#REF!</definedName>
    <definedName name="annealing_21">#REF!</definedName>
    <definedName name="annealing_24">#REF!</definedName>
    <definedName name="annealing_25">#REF!</definedName>
    <definedName name="annealing_26">#REF!</definedName>
    <definedName name="annealing_27">#REF!</definedName>
    <definedName name="annealing_28">#REF!</definedName>
    <definedName name="annealing_29">#REF!</definedName>
    <definedName name="annealing_30">#REF!</definedName>
    <definedName name="annealing_31">#REF!</definedName>
    <definedName name="annealing_32">#REF!</definedName>
    <definedName name="annealing_33">#REF!</definedName>
    <definedName name="annealing_34">#REF!</definedName>
    <definedName name="annealing_35">#REF!</definedName>
    <definedName name="annealing_36">#REF!</definedName>
    <definedName name="annealing_37">#REF!</definedName>
    <definedName name="annealing_38">#REF!</definedName>
    <definedName name="annealing_39">#REF!</definedName>
    <definedName name="annealing_40">#REF!</definedName>
    <definedName name="annealing_41">#REF!</definedName>
    <definedName name="annealing_42">#REF!</definedName>
    <definedName name="annealing_43">#REF!</definedName>
    <definedName name="annealing_44">#REF!</definedName>
    <definedName name="annealing_45">#REF!</definedName>
    <definedName name="annealing_46">#REF!</definedName>
    <definedName name="annealing_47">#REF!</definedName>
    <definedName name="annealing_48">#REF!</definedName>
    <definedName name="annealing_49">#REF!</definedName>
    <definedName name="annealing_50">#REF!</definedName>
    <definedName name="annealing_51">#REF!</definedName>
    <definedName name="annealing_52">#REF!</definedName>
    <definedName name="annealing_53">#REF!</definedName>
    <definedName name="annealing_55">#REF!</definedName>
    <definedName name="annealing_56">#REF!</definedName>
    <definedName name="annealing_57">#REF!</definedName>
    <definedName name="annealing_61">#REF!</definedName>
    <definedName name="annealing_62">#REF!</definedName>
    <definedName name="annealing_63">#REF!</definedName>
    <definedName name="annealing_64">#REF!</definedName>
    <definedName name="annealing_65">#REF!</definedName>
    <definedName name="annealing_66">#REF!</definedName>
    <definedName name="annealing_8">#REF!</definedName>
    <definedName name="annealing_9">#REF!</definedName>
    <definedName name="annealing1">#REF!</definedName>
    <definedName name="annealing1_1">#REF!</definedName>
    <definedName name="annealing1_10">#REF!</definedName>
    <definedName name="annealing1_11">#REF!</definedName>
    <definedName name="annealing1_12">#REF!</definedName>
    <definedName name="annealing1_20">#REF!</definedName>
    <definedName name="annealing1_21">#REF!</definedName>
    <definedName name="annealing1_24">#REF!</definedName>
    <definedName name="annealing1_25">#REF!</definedName>
    <definedName name="annealing1_26">#REF!</definedName>
    <definedName name="annealing1_27">#REF!</definedName>
    <definedName name="annealing1_28">#REF!</definedName>
    <definedName name="annealing1_29">#REF!</definedName>
    <definedName name="annealing1_30">#REF!</definedName>
    <definedName name="annealing1_31">#REF!</definedName>
    <definedName name="annealing1_32">#REF!</definedName>
    <definedName name="annealing1_33">#REF!</definedName>
    <definedName name="annealing1_34">#REF!</definedName>
    <definedName name="annealing1_35">#REF!</definedName>
    <definedName name="annealing1_36">#REF!</definedName>
    <definedName name="annealing1_37">#REF!</definedName>
    <definedName name="annealing1_38">#REF!</definedName>
    <definedName name="annealing1_39">#REF!</definedName>
    <definedName name="annealing1_40">#REF!</definedName>
    <definedName name="annealing1_41">#REF!</definedName>
    <definedName name="annealing1_42">#REF!</definedName>
    <definedName name="annealing1_43">#REF!</definedName>
    <definedName name="annealing1_44">#REF!</definedName>
    <definedName name="annealing1_45">#REF!</definedName>
    <definedName name="annealing1_46">#REF!</definedName>
    <definedName name="annealing1_47">#REF!</definedName>
    <definedName name="annealing1_48">#REF!</definedName>
    <definedName name="annealing1_49">#REF!</definedName>
    <definedName name="annealing1_50">#REF!</definedName>
    <definedName name="annealing1_51">#REF!</definedName>
    <definedName name="annealing1_52">#REF!</definedName>
    <definedName name="annealing1_53">#REF!</definedName>
    <definedName name="annealing1_55">#REF!</definedName>
    <definedName name="annealing1_56">#REF!</definedName>
    <definedName name="annealing1_57">#REF!</definedName>
    <definedName name="annealing1_61">#REF!</definedName>
    <definedName name="annealing1_62">#REF!</definedName>
    <definedName name="annealing1_63">#REF!</definedName>
    <definedName name="annealing1_64">#REF!</definedName>
    <definedName name="annealing1_65">#REF!</definedName>
    <definedName name="annealing1_66">#REF!</definedName>
    <definedName name="annealing1_8">#REF!</definedName>
    <definedName name="annealing1_9">#REF!</definedName>
    <definedName name="anscount" hidden="1">1</definedName>
    <definedName name="anuj10">#N/A</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2">#N/A</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et">#REF!</definedName>
    <definedName name="apipe">#REF!</definedName>
    <definedName name="APPR1">#REF!</definedName>
    <definedName name="Approachslab">#REF!</definedName>
    <definedName name="april_qty">#REF!</definedName>
    <definedName name="april_qty_15">"$#REF!.$#REF!$#REF!"</definedName>
    <definedName name="april_qty_3">"$#REF!.$#REF!$#REF!"</definedName>
    <definedName name="april_qty_4">"$#REF!.$#REF!$#REF!"</definedName>
    <definedName name="april_qty_5">NA()</definedName>
    <definedName name="april_qty_6">"$#REF!.$#REF!$#REF!"</definedName>
    <definedName name="APS">#N/A</definedName>
    <definedName name="AQWDE\" hidden="1">#REF!</definedName>
    <definedName name="AQWE" hidden="1">{#N/A,#N/A,FALSE,"mpph1";#N/A,#N/A,FALSE,"mpmseb";#N/A,#N/A,FALSE,"mpph2"}</definedName>
    <definedName name="ar">#REF!</definedName>
    <definedName name="ARCHITECTURAL">#REF!</definedName>
    <definedName name="are">#REF!</definedName>
    <definedName name="area" hidden="1">#REF!</definedName>
    <definedName name="AREA_1">NA()</definedName>
    <definedName name="AREA_10">"'file:///c:/documents%20and%20settings/uma.r.anprakashpmc/desktop/bills/docume~1/admini~1/locals~1/temp/rar$di01.859/ra%20bill%20%252525252525252525252525252525252525252525252525252525252525252525252525252525252525252525252523%2010%20print/ibis%20hotel%20"</definedName>
    <definedName name="AREA_11">"'file:///c:/documents%20and%20settings/uma.r.anprakashpmc/desktop/bills/docume~1/admini~1/locals~1/temp/rar$di01.859/documents%20and%20settings/user/desktop/purushothama-ibis%20project/ibis%20hotel%20project-ra%20bills/ibis-ra-08(blk%20submit).xls'#$''.$c"</definedName>
    <definedName name="AREA_2">NA()</definedName>
    <definedName name="AREA_3">NA()</definedName>
    <definedName name="AREA_4">"'file:///c:/documents%20and%20settings/uma.r.anprakashpmc/desktop/bills/docume~1/admini~1/locals~1/temp/rar$di01.859/documents%20and%20settings/user/desktop/purushothama-ibis%20project/ibis%20hotel%20project-ra%20bills/ibis-ra-08(blk%20submit).xls'#$''.$c"</definedName>
    <definedName name="AREA_5">NA()</definedName>
    <definedName name="AREA_7">"'file:///g:/ra%20bill%20corrected%20at%20home/ra%20bill%20%252525252525252525252525252525252525252525252525252525252525252525252525252525252525252525252523%2010%20corrected%20(%20r%20p%20)/ibis%20hotel%20project-ra%20bills/ibis-ra-08(blk%20submit).xls'#$'"</definedName>
    <definedName name="AREA_9">"'file:///g:/ra%20bill%20corrected%20at%20home/ra%20bill%20%252525252525252525252525252525252525252525252525252525252525252525252525252525252525252525252523%2010%20corrected%20(%20r%20p%20)/ibis%20hotel%20project-ra%20bills/ibis-ra-08(blk%20submit).xls'#$'"</definedName>
    <definedName name="Area_Ext.">#REF!</definedName>
    <definedName name="Area_Int.">#REF!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M">#REF!</definedName>
    <definedName name="ARUN" localSheetId="1" hidden="1">#REF!</definedName>
    <definedName name="ARUN" hidden="1">#REF!</definedName>
    <definedName name="as" hidden="1">{#N/A,#N/A,FALSE,"abs";#N/A,#N/A,FALSE,"Annex-I";#N/A,#N/A,FALSE,"Annex-II";#N/A,#N/A,FALSE,"Annex-III";#N/A,#N/A,FALSE,"Annex-IV";#N/A,#N/A,FALSE,"Annex-V";#N/A,#N/A,FALSE,"Annex-VI"}</definedName>
    <definedName name="AS_PER_TALLY_31_09_04_ONYX_List1">#REF!</definedName>
    <definedName name="AS2DocOpenMode" hidden="1">"AS2DocumentEdit"</definedName>
    <definedName name="AS2NamedRange" hidden="1">11</definedName>
    <definedName name="AS2ReportLS" hidden="1">1</definedName>
    <definedName name="AS2SyncStepLS" hidden="1">0</definedName>
    <definedName name="AS2VersionLS" hidden="1">300</definedName>
    <definedName name="asa" hidden="1">{#N/A,#N/A,TRUE,"Krycí list"}</definedName>
    <definedName name="asad" hidden="1">{#N/A,#N/A,FALSE,"str_title";#N/A,#N/A,FALSE,"SUM";#N/A,#N/A,FALSE,"Scope";#N/A,#N/A,FALSE,"PIE-Jn";#N/A,#N/A,FALSE,"PIE-Jn_Hz";#N/A,#N/A,FALSE,"Liq_Plan";#N/A,#N/A,FALSE,"S_Curve";#N/A,#N/A,FALSE,"Liq_Prof";#N/A,#N/A,FALSE,"Man_Pwr";#N/A,#N/A,FALSE,"Man_Prof"}</definedName>
    <definedName name="asas">#REF!</definedName>
    <definedName name="asd" localSheetId="1" hidden="1">{#N/A,#N/A,FALSE,"abs";#N/A,#N/A,FALSE,"Annex-I";#N/A,#N/A,FALSE,"Annex-II";#N/A,#N/A,FALSE,"Annex-III";#N/A,#N/A,FALSE,"Annex-IV";#N/A,#N/A,FALSE,"Annex-V";#N/A,#N/A,FALSE,"Annex-VI"}</definedName>
    <definedName name="asd" hidden="1">{#N/A,#N/A,FALSE,"abs";#N/A,#N/A,FALSE,"Annex-I";#N/A,#N/A,FALSE,"Annex-II";#N/A,#N/A,FALSE,"Annex-III";#N/A,#N/A,FALSE,"Annex-IV";#N/A,#N/A,FALSE,"Annex-V";#N/A,#N/A,FALSE,"Annex-VI"}</definedName>
    <definedName name="asda" hidden="1">{#N/A,#N/A,TRUE,"Krycí list"}</definedName>
    <definedName name="asdads">#REF!</definedName>
    <definedName name="asdas">#REF!</definedName>
    <definedName name="asdasd">#REF!</definedName>
    <definedName name="ASDASDASD">#REF!</definedName>
    <definedName name="asdd">#REF!</definedName>
    <definedName name="asde">#REF!</definedName>
    <definedName name="asde_15">"$#REF!.$#REF!$#REF!"</definedName>
    <definedName name="asde_3">"$#REF!.$#REF!$#REF!"</definedName>
    <definedName name="asde_4">"$#REF!.$#REF!$#REF!"</definedName>
    <definedName name="asde_5">NA()</definedName>
    <definedName name="asde_6">"$#REF!.$#REF!$#REF!"</definedName>
    <definedName name="asdf">#REF!</definedName>
    <definedName name="asdf1">#N/A</definedName>
    <definedName name="asdf2">#N/A</definedName>
    <definedName name="asdfasdf">#REF!</definedName>
    <definedName name="ASDFGDRATQAFDASF" hidden="1">{#N/A,#N/A,TRUE,"Front";#N/A,#N/A,TRUE,"Simple Letter";#N/A,#N/A,TRUE,"Inside";#N/A,#N/A,TRUE,"Contents";#N/A,#N/A,TRUE,"Basis";#N/A,#N/A,TRUE,"Inclusions";#N/A,#N/A,TRUE,"Exclusions";#N/A,#N/A,TRUE,"Areas";#N/A,#N/A,TRUE,"Summary";#N/A,#N/A,TRUE,"Detail"}</definedName>
    <definedName name="asdfsa" localSheetId="1" hidden="1">#REF!</definedName>
    <definedName name="asdfsa" hidden="1">#REF!</definedName>
    <definedName name="asdfsadf" localSheetId="1" hidden="1">#REF!</definedName>
    <definedName name="asdfsadf" hidden="1">#REF!</definedName>
    <definedName name="ASDFSDFF" hidden="1">{#N/A,#N/A,FALSE,"mgtsum.XLS";#N/A,#N/A,FALSE,"CAPONE";#N/A,#N/A,FALSE,"CAPTWO";#N/A,#N/A,FALSE,"CAPTHREE"}</definedName>
    <definedName name="asdftg" hidden="1">#REF!</definedName>
    <definedName name="asdsdfsda">#REF!</definedName>
    <definedName name="ase" hidden="1">{#N/A,#N/A,TRUE,"Front";#N/A,#N/A,TRUE,"Simple Letter";#N/A,#N/A,TRUE,"Inside";#N/A,#N/A,TRUE,"Contents";#N/A,#N/A,TRUE,"Basis";#N/A,#N/A,TRUE,"Inclusions";#N/A,#N/A,TRUE,"Exclusions";#N/A,#N/A,TRUE,"Areas";#N/A,#N/A,TRUE,"Summary";#N/A,#N/A,TRUE,"Detail"}</definedName>
    <definedName name="asew" hidden="1">{#N/A,#N/A,TRUE,"Krycí list"}</definedName>
    <definedName name="asf">#REF!</definedName>
    <definedName name="ASFS" hidden="1">{#N/A,#N/A,FALSE,"mgtsum.XLS";#N/A,#N/A,FALSE,"CAPONE";#N/A,#N/A,FALSE,"CAPTWO";#N/A,#N/A,FALSE,"CAPTHREE"}</definedName>
    <definedName name="asg">#REF!</definedName>
    <definedName name="ASH"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sha">#N/A</definedName>
    <definedName name="ashjk" hidden="1">{#N/A,#N/A,TRUE,"Front";#N/A,#N/A,TRUE,"Simple Letter";#N/A,#N/A,TRUE,"Inside";#N/A,#N/A,TRUE,"Contents";#N/A,#N/A,TRUE,"Basis";#N/A,#N/A,TRUE,"Inclusions";#N/A,#N/A,TRUE,"Exclusions";#N/A,#N/A,TRUE,"Areas";#N/A,#N/A,TRUE,"Summary";#N/A,#N/A,TRUE,"Detail"}</definedName>
    <definedName name="ashok">"'file:///C:/Documents%20and%20Settings/anpcpmc/Desktop/RA-44%20final/DLA%20Standard%20Cost%20Report1'#$'Fill this out first...'.$X$24"</definedName>
    <definedName name="ASHOKA">#REF!</definedName>
    <definedName name="ASHOKA_1">NA()</definedName>
    <definedName name="ASHOKA_2">NA()</definedName>
    <definedName name="ASHOKA_3">NA()</definedName>
    <definedName name="ASHOKA_5">NA()</definedName>
    <definedName name="ass">#REF!</definedName>
    <definedName name="ASSA" hidden="1">{"'Typical Costs Estimates'!$C$158:$H$161"}</definedName>
    <definedName name="assadg" hidden="1">#REF!</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d">#REF!</definedName>
    <definedName name="asse" hidden="1">{#N/A,#N/A,TRUE,"Front";#N/A,#N/A,TRUE,"Simple Letter";#N/A,#N/A,TRUE,"Inside";#N/A,#N/A,TRUE,"Contents";#N/A,#N/A,TRUE,"Basis";#N/A,#N/A,TRUE,"Inclusions";#N/A,#N/A,TRUE,"Exclusions";#N/A,#N/A,TRUE,"Areas";#N/A,#N/A,TRUE,"Summary";#N/A,#N/A,TRUE,"Detail"}</definedName>
    <definedName name="AT" hidden="1">{#N/A,#N/A,FALSE,"abs";#N/A,#N/A,FALSE,"Annex-I";#N/A,#N/A,FALSE,"Annex-II";#N/A,#N/A,FALSE,"Annex-III";#N/A,#N/A,FALSE,"Annex-IV";#N/A,#N/A,FALSE,"Annex-V";#N/A,#N/A,FALSE,"Annex-VI"}</definedName>
    <definedName name="ATC">#REF!</definedName>
    <definedName name="atm">#REF!</definedName>
    <definedName name="Auftragswert">#REF!</definedName>
    <definedName name="aug">#N/A</definedName>
    <definedName name="auxlp">#REF!</definedName>
    <definedName name="AvgSellPr" hidden="1">#REF!,#REF!,#REF!,#REF!,#REF!,#REF!,#REF!,#REF!</definedName>
    <definedName name="avi">#REF!</definedName>
    <definedName name="AWAWWWWAA">#REF!</definedName>
    <definedName name="awery" hidden="1">#REF!</definedName>
    <definedName name="awrnfulla" hidden="1">{#N/A,#N/A,TRUE,"Front";#N/A,#N/A,TRUE,"Simple Letter";#N/A,#N/A,TRUE,"Inside";#N/A,#N/A,TRUE,"Contents";#N/A,#N/A,TRUE,"Basis";#N/A,#N/A,TRUE,"Inclusions";#N/A,#N/A,TRUE,"Exclusions";#N/A,#N/A,TRUE,"Areas";#N/A,#N/A,TRUE,"Summary";#N/A,#N/A,TRUE,"Detail"}</definedName>
    <definedName name="aww">#REF!</definedName>
    <definedName name="Axs_10">"'file:///media/MIT%20HOSTEL/Report%20for%20june10/RA%20BILL%2003%20As%2001/RA%20BILL%20NO%2004/RA%20BILL%2003%20As%2001/RA%20BILL%20NO%201%20Certified/FILES/2%20KC258%20PASADINA/My%20Documents/zero.xls'#$'p&amp;m'.$C$264:'file:///media/MIT%20HOSTEL/Report%20f"</definedName>
    <definedName name="Axs_11">"'file:///C:/FILES/2%20KC258%20PASADINA/My%20Documents/zero.xls'#$'p&amp;m'.$H$264:'file:///C:/FILES/2%20KC258%20PASADINA/My%20Documents/zero.xls'#$'p&amp;m'.$H$264"</definedName>
    <definedName name="Axs_12">"'file:///media/MIT%20HOSTEL/Report%20for%20june10/RA%20BILL%2003%20As%2001/RA%20BILL%20NO%2004/FILES/2%20KC258%20PASADINA/My%20Documents/zero.xls'#$'p&amp;m'.$C$264:'file:///media/MIT%20HOSTEL/Report%20for%20june10/RA%20BILL%2003%20As%2001/RA%20BILL%20NO%2004"</definedName>
    <definedName name="Axs_2">"'file:///media/MIT%20HOSTEL/Report%20for%20june10/RA%20BILL%2003%20As%2001/RA%20BILL%20NO%2004/RA%20BILL%2003%20As%2001/RA%20BILL%20NO%201%20Certified/FILES/2%20KC258%20PASADINA/My%20Documents/zero.xls'#$'p&amp;m'.$C$264:'file:///media/MIT%20HOSTEL/Report%20f"</definedName>
    <definedName name="Axs_3">"'file:///C:/FILES/2%20KC258%20PASADINA/My%20Documents/zero.xls'#$'p&amp;m'.$C$264:'file:///C:/FILES/2%20KC258%20PASADINA/My%20Documents/zero.xls'#$'p&amp;m'.$E$264"</definedName>
    <definedName name="Axs_4">"'file:///media/MIT%20HOSTEL/Report%20for%20june10/RA%20BILL%2003%20As%2001/RA%20BILL%20NO%2004/FILES/2%20KC258%20PASADINA/My%20Documents/zero.xls'#$'p&amp;m'.$C$264:'file:///media/MIT%20HOSTEL/Report%20for%20june10/RA%20BILL%2003%20As%2001/RA%20BILL%20NO%2004"</definedName>
    <definedName name="Axs_8">"'file:///C:/FILES/2%20KC258%20PASADINA/My%20Documents/zero.xls'#$'p&amp;m'.$C$264:'file:///C:/FILES/2%20KC258%20PASADINA/My%20Documents/zero.xls'#$'p&amp;m'.$E$264"</definedName>
    <definedName name="az" hidden="1">{#N/A,#N/A,TRUE,"Front";#N/A,#N/A,TRUE,"Simple Letter";#N/A,#N/A,TRUE,"Inside";#N/A,#N/A,TRUE,"Contents";#N/A,#N/A,TRUE,"Basis";#N/A,#N/A,TRUE,"Inclusions";#N/A,#N/A,TRUE,"Exclusions";#N/A,#N/A,TRUE,"Areas";#N/A,#N/A,TRUE,"Summary";#N/A,#N/A,TRUE,"Detail"}</definedName>
    <definedName name="B">#REF!</definedName>
    <definedName name="b.ANAND" hidden="1">{#N/A,#N/A,TRUE,"Front";#N/A,#N/A,TRUE,"Simple Letter";#N/A,#N/A,TRUE,"Inside";#N/A,#N/A,TRUE,"Contents";#N/A,#N/A,TRUE,"Basis";#N/A,#N/A,TRUE,"Inclusions";#N/A,#N/A,TRUE,"Exclusions";#N/A,#N/A,TRUE,"Areas";#N/A,#N/A,TRUE,"Summary";#N/A,#N/A,TRUE,"Detail"}</definedName>
    <definedName name="b.nos">#REF!</definedName>
    <definedName name="B___0">#REF!</definedName>
    <definedName name="B___0_1">NA()</definedName>
    <definedName name="B___0_2">NA()</definedName>
    <definedName name="B___0_3">NA()</definedName>
    <definedName name="B___0_5">NA()</definedName>
    <definedName name="B___13">#REF!</definedName>
    <definedName name="B___13_1">NA()</definedName>
    <definedName name="B___13_2">NA()</definedName>
    <definedName name="B___13_3">NA()</definedName>
    <definedName name="B___13_5">NA()</definedName>
    <definedName name="B_1">NA()</definedName>
    <definedName name="B_1_1">NA()</definedName>
    <definedName name="B_10">"'file:///c:/documents%20and%20settings/uma.r.anprakashpmc/desktop/bills/docume~1/admini~1/locals~1/temp/rar$di01.859/ra%20bill%20%252525252525252525252525252525252525252525252525252525252525252525252525252525252525252525252523%2010%20print/ibis%20hotel%20"</definedName>
    <definedName name="B_11">"'file:///C:/DOCUME~1/gshankar/LOCALS~1/Temp/Rar$DI95.726/Food%20Court/Rate,Variation%20&amp;%20stocks/Rough-31.12.05.xls'#$''.$A$20:$AMJ$20"</definedName>
    <definedName name="B_12">"'file:///media/MIT%20HOSTEL/Report%20for%20june10/RA%20BILL%2003%20As%2001/RA%20BILL%20NO%2004/DOCUME~1/gshankar/LOCALS~1/Temp/Rar$DI95.726/Food%20Court/Rate,Variation%20&amp;%20stocks/Rough-31.12.05.xls'#$''.$A$20:$AMJ$20"</definedName>
    <definedName name="B_15">"$#REF!.$#REF!$#REF!"</definedName>
    <definedName name="B_2">NA()</definedName>
    <definedName name="B_2_1">NA()</definedName>
    <definedName name="B_2A_B_5A_B12_A_B_13A_B14_A">#REF!</definedName>
    <definedName name="B_3">NA()</definedName>
    <definedName name="B_3_1">"$#REF!.$#REF!$#REF!"</definedName>
    <definedName name="B_4">"$#REF!.$#REF!$#REF!"</definedName>
    <definedName name="B_5">NA()</definedName>
    <definedName name="B_6">"$#REF!.$#REF!$#REF!"</definedName>
    <definedName name="B_7">"'file:///g:/ra%20bill%20corrected%20at%20home/ra%20bill%20%252525252525252525252525252525252525252525252525252525252525252525252525252525252525252525252523%2010%20corrected%20(%20r%20p%20)/ibis%20hotel%20project-ra%20bills/documents%20and%20settings/user1"</definedName>
    <definedName name="B_8">"'file:///g:/ra%20bill%20corrected%20at%20home/ra%20bill%20%252525252525252525252525252525252525252525252525252525252525252525252525252525252525252525252523%2010%20corrected%20(%20r%20p%20)/ibis%20hotel%20project-ra%20bills/documents%20and%20settings/user1"</definedName>
    <definedName name="B_9">"'file:///g:/ra%20bill%20corrected%20at%20home/ra%20bill%20%252525252525252525252525252525252525252525252525252525252525252525252525252525252525252525252523%2010%20corrected%20(%20r%20p%20)/ibis%20hotel%20project-ra%20bills/documents%20and%20settings/user1"</definedName>
    <definedName name="B_W">#REF!</definedName>
    <definedName name="B0">#REF!</definedName>
    <definedName name="B1Length">#REF!</definedName>
    <definedName name="B2346a1748">#REF!</definedName>
    <definedName name="B2346a1748_15">"$#REF!.$#REF!$#REF!"</definedName>
    <definedName name="B2346a1748_3">"$#REF!.$#REF!$#REF!"</definedName>
    <definedName name="B2346a1748_4">"$#REF!.$#REF!$#REF!"</definedName>
    <definedName name="B2346a1748_5">NA()</definedName>
    <definedName name="B2346a1748_6">"$#REF!.$#REF!$#REF!"</definedName>
    <definedName name="b2b">#N/A</definedName>
    <definedName name="B2Length">#REF!</definedName>
    <definedName name="B3Length">#REF!</definedName>
    <definedName name="B4.EXTERNAL" hidden="1">{#N/A,#N/A,TRUE,"Krycí list"}</definedName>
    <definedName name="B4a">#N/A</definedName>
    <definedName name="b5a">#REF!</definedName>
    <definedName name="B5Length">#REF!</definedName>
    <definedName name="b6fv6fd">#REF!</definedName>
    <definedName name="b6fv6fd_15">"$#REF!.$#REF!$#REF!"</definedName>
    <definedName name="b6fv6fd_3">"$#REF!.$#REF!$#REF!"</definedName>
    <definedName name="b6fv6fd_4">"$#REF!.$#REF!$#REF!"</definedName>
    <definedName name="b6fv6fd_5">NA()</definedName>
    <definedName name="b6fv6fd_6">"$#REF!.$#REF!$#REF!"</definedName>
    <definedName name="B8Length">#REF!</definedName>
    <definedName name="ba" hidden="1">#REF!</definedName>
    <definedName name="BADWE" hidden="1">{#N/A,#N/A,FALSE,"mpph1";#N/A,#N/A,FALSE,"mpmseb";#N/A,#N/A,FALSE,"mpph2"}</definedName>
    <definedName name="bal">#REF!</definedName>
    <definedName name="Banquet">#REF!</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argroup8" hidden="1">#REF!=77</definedName>
    <definedName name="Basement" hidden="1">#REF!</definedName>
    <definedName name="Basic">#REF!</definedName>
    <definedName name="BB" hidden="1">#REF!</definedName>
    <definedName name="bbb">#REF!</definedName>
    <definedName name="BBBB" hidden="1">{#N/A,#N/A,TRUE,"Front";#N/A,#N/A,TRUE,"Simple Letter";#N/A,#N/A,TRUE,"Inside";#N/A,#N/A,TRUE,"Contents";#N/A,#N/A,TRUE,"Basis";#N/A,#N/A,TRUE,"Inclusions";#N/A,#N/A,TRUE,"Exclusions";#N/A,#N/A,TRUE,"Areas";#N/A,#N/A,TRUE,"Summary";#N/A,#N/A,TRUE,"Detail"}</definedName>
    <definedName name="bbbbbbbbbb" localSheetId="1" hidden="1">#REF!</definedName>
    <definedName name="bbbbbbbbbb" hidden="1">#REF!</definedName>
    <definedName name="bbn">#N/A</definedName>
    <definedName name="BBS">#N/A</definedName>
    <definedName name="BC" hidden="1">#REF!</definedName>
    <definedName name="bcbnn" hidden="1">{#N/A,#N/A,TRUE,"Front";#N/A,#N/A,TRUE,"Simple Letter";#N/A,#N/A,TRUE,"Inside";#N/A,#N/A,TRUE,"Contents";#N/A,#N/A,TRUE,"Basis";#N/A,#N/A,TRUE,"Inclusions";#N/A,#N/A,TRUE,"Exclusions";#N/A,#N/A,TRUE,"Areas";#N/A,#N/A,TRUE,"Summary";#N/A,#N/A,TRUE,"Detail"}</definedName>
    <definedName name="bcvv">#REF!</definedName>
    <definedName name="BD" hidden="1">#REF!</definedName>
    <definedName name="bdfgnhfd" hidden="1">{#N/A,#N/A,TRUE,"Krycí list"}</definedName>
    <definedName name="BE" hidden="1">#REF!</definedName>
    <definedName name="beam">#REF!</definedName>
    <definedName name="beam_2">#REF!</definedName>
    <definedName name="beam1">#REF!</definedName>
    <definedName name="beam11">#REF!</definedName>
    <definedName name="beam2">#REF!</definedName>
    <definedName name="BEAM3">#REF!</definedName>
    <definedName name="BEAM5">#REF!</definedName>
    <definedName name="BeamLength">#REF!</definedName>
    <definedName name="BEAMS">#REF!</definedName>
    <definedName name="BEAMS2">#N/A</definedName>
    <definedName name="Beg_Bal">#REF!</definedName>
    <definedName name="BeginBorder">#REF!</definedName>
    <definedName name="BELL__Polarised">#REF!</definedName>
    <definedName name="BEND">#REF!</definedName>
    <definedName name="bends">#REF!</definedName>
    <definedName name="berry" hidden="1">{#N/A,#N/A,FALSE,"Taxblinc";#N/A,#N/A,FALSE,"Rsvsacls"}</definedName>
    <definedName name="besssssssss" hidden="1">#REF!</definedName>
    <definedName name="beta">#REF!</definedName>
    <definedName name="beta_1">NA()</definedName>
    <definedName name="beta_2">NA()</definedName>
    <definedName name="beta_3">NA()</definedName>
    <definedName name="beta_5">NA()</definedName>
    <definedName name="BF" hidden="1">#REF!</definedName>
    <definedName name="BFR">#REF!</definedName>
    <definedName name="bfres">#REF!</definedName>
    <definedName name="BG" hidden="1">#REF!</definedName>
    <definedName name="BG_Del" hidden="1">15</definedName>
    <definedName name="BG_Ins" hidden="1">4</definedName>
    <definedName name="BG_Mod" hidden="1">6</definedName>
    <definedName name="bggmg" hidden="1">{#N/A,#N/A,TRUE,"Front";#N/A,#N/A,TRUE,"Simple Letter";#N/A,#N/A,TRUE,"Inside";#N/A,#N/A,TRUE,"Contents";#N/A,#N/A,TRUE,"Basis";#N/A,#N/A,TRUE,"Inclusions";#N/A,#N/A,TRUE,"Exclusions";#N/A,#N/A,TRUE,"Areas";#N/A,#N/A,TRUE,"Summary";#N/A,#N/A,TRUE,"Detail"}</definedName>
    <definedName name="BH" hidden="1">#REF!</definedName>
    <definedName name="bha" hidden="1">{"'Bill No. 7'!$A$1:$G$32"}</definedName>
    <definedName name="bhbd" hidden="1">#REF!</definedName>
    <definedName name="bhg">#REF!</definedName>
    <definedName name="bhh">#REF!</definedName>
    <definedName name="bhjbh">#REF!</definedName>
    <definedName name="BidClass">#REF!</definedName>
    <definedName name="BidClass_6">#REF!</definedName>
    <definedName name="BidClass_Text">#REF!</definedName>
    <definedName name="BidClass_Text_4">#REF!</definedName>
    <definedName name="BidClass_Text_6">#REF!</definedName>
    <definedName name="biiiiiiiiii" hidden="1">{#N/A,#N/A,TRUE,"Front";#N/A,#N/A,TRUE,"Simple Letter";#N/A,#N/A,TRUE,"Inside";#N/A,#N/A,TRUE,"Contents";#N/A,#N/A,TRUE,"Basis";#N/A,#N/A,TRUE,"Inclusions";#N/A,#N/A,TRUE,"Exclusions";#N/A,#N/A,TRUE,"Areas";#N/A,#N/A,TRUE,"Summary";#N/A,#N/A,TRUE,"Detail"}</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#REF!</definedName>
    <definedName name="BillingFreq">#REF!</definedName>
    <definedName name="BillingFreq_4">#REF!</definedName>
    <definedName name="BillingFreq_6">#REF!</definedName>
    <definedName name="BillingTiming">#REF!</definedName>
    <definedName name="BillingTiming_4">#REF!</definedName>
    <definedName name="BillingTiming_6">#REF!</definedName>
    <definedName name="bit">#REF!</definedName>
    <definedName name="BITSPILANI">#REF!</definedName>
    <definedName name="BJ" hidden="1">#REF!</definedName>
    <definedName name="bjlc">#REF!</definedName>
    <definedName name="bjlc_1">NA()</definedName>
    <definedName name="bjlc_2">NA()</definedName>
    <definedName name="bjlc_3">NA()</definedName>
    <definedName name="bjlc_5">NA()</definedName>
    <definedName name="bl">#REF!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ster">#REF!</definedName>
    <definedName name="BldgQty">#REF!</definedName>
    <definedName name="Blinding">#REF!</definedName>
    <definedName name="BLKGRAN">#REF!</definedName>
    <definedName name="Block02">#REF!</definedName>
    <definedName name="Block03">#REF!</definedName>
    <definedName name="Block04">#REF!</definedName>
    <definedName name="Block05">#REF!</definedName>
    <definedName name="Block06">#REF!</definedName>
    <definedName name="Block07">#REF!</definedName>
    <definedName name="Block2">#REF!</definedName>
    <definedName name="blv_100">#REF!</definedName>
    <definedName name="blv_150">#REF!</definedName>
    <definedName name="blv_200">#REF!</definedName>
    <definedName name="blv_25">#REF!</definedName>
    <definedName name="blv_250">#REF!</definedName>
    <definedName name="blv_300">#REF!</definedName>
    <definedName name="blv_32">#REF!</definedName>
    <definedName name="blv_40">#REF!</definedName>
    <definedName name="blv_400">#REF!</definedName>
    <definedName name="blv_50">#REF!</definedName>
    <definedName name="blv_500">#REF!</definedName>
    <definedName name="blv_65">#REF!</definedName>
    <definedName name="blv_80">#REF!</definedName>
    <definedName name="BMP">#REF!</definedName>
    <definedName name="BMS">#REF!</definedName>
    <definedName name="bmsnew">#REF!</definedName>
    <definedName name="bn">#REF!</definedName>
    <definedName name="BNCVN" hidden="1">{#N/A,#N/A,TRUE,"Krycí list"}</definedName>
    <definedName name="bodhe" hidden="1">{#N/A,#N/A,TRUE,"Front";#N/A,#N/A,TRUE,"Simple Letter";#N/A,#N/A,TRUE,"Inside";#N/A,#N/A,TRUE,"Contents";#N/A,#N/A,TRUE,"Basis";#N/A,#N/A,TRUE,"Inclusions";#N/A,#N/A,TRUE,"Exclusions";#N/A,#N/A,TRUE,"Areas";#N/A,#N/A,TRUE,"Summary";#N/A,#N/A,TRUE,"Detail"}</definedName>
    <definedName name="bodhi" hidden="1">{#N/A,#N/A,TRUE,"Front";#N/A,#N/A,TRUE,"Simple Letter";#N/A,#N/A,TRUE,"Inside";#N/A,#N/A,TRUE,"Contents";#N/A,#N/A,TRUE,"Basis";#N/A,#N/A,TRUE,"Inclusions";#N/A,#N/A,TRUE,"Exclusions";#N/A,#N/A,TRUE,"Areas";#N/A,#N/A,TRUE,"Summary";#N/A,#N/A,TRUE,"Detail"}</definedName>
    <definedName name="BOH_TOTAL">#N/A</definedName>
    <definedName name="BOH_UC">#N/A</definedName>
    <definedName name="BOHAMT">#N/A</definedName>
    <definedName name="BOHQTY">#N/A</definedName>
    <definedName name="bol">#REF!</definedName>
    <definedName name="bol_1">NA()</definedName>
    <definedName name="bol_10">#REF!</definedName>
    <definedName name="bol_11">#REF!</definedName>
    <definedName name="bol_12">#REF!</definedName>
    <definedName name="bol_2">NA()</definedName>
    <definedName name="bol_20">#REF!</definedName>
    <definedName name="bol_21">#REF!</definedName>
    <definedName name="bol_24">#REF!</definedName>
    <definedName name="bol_25">#REF!</definedName>
    <definedName name="bol_26">#REF!</definedName>
    <definedName name="bol_27">#REF!</definedName>
    <definedName name="bol_28">#REF!</definedName>
    <definedName name="bol_29">#REF!</definedName>
    <definedName name="bol_3">NA()</definedName>
    <definedName name="bol_30">#REF!</definedName>
    <definedName name="bol_31">#REF!</definedName>
    <definedName name="bol_32">#REF!</definedName>
    <definedName name="bol_33">#REF!</definedName>
    <definedName name="bol_34">#REF!</definedName>
    <definedName name="bol_35">#REF!</definedName>
    <definedName name="bol_36">#REF!</definedName>
    <definedName name="bol_37">#REF!</definedName>
    <definedName name="bol_38">#REF!</definedName>
    <definedName name="bol_39">#REF!</definedName>
    <definedName name="bol_40">#REF!</definedName>
    <definedName name="bol_41">#REF!</definedName>
    <definedName name="bol_42">#REF!</definedName>
    <definedName name="bol_43">#REF!</definedName>
    <definedName name="bol_44">#REF!</definedName>
    <definedName name="bol_45">#REF!</definedName>
    <definedName name="bol_46">#REF!</definedName>
    <definedName name="bol_47">#REF!</definedName>
    <definedName name="bol_48">#REF!</definedName>
    <definedName name="bol_49">#REF!</definedName>
    <definedName name="bol_5">NA()</definedName>
    <definedName name="bol_50">#REF!</definedName>
    <definedName name="bol_51">#REF!</definedName>
    <definedName name="bol_52">#REF!</definedName>
    <definedName name="bol_53">#REF!</definedName>
    <definedName name="bol_55">#REF!</definedName>
    <definedName name="bol_56">#REF!</definedName>
    <definedName name="bol_57">#REF!</definedName>
    <definedName name="bol_61">#REF!</definedName>
    <definedName name="bol_62">#REF!</definedName>
    <definedName name="bol_63">#REF!</definedName>
    <definedName name="bol_64">#REF!</definedName>
    <definedName name="bol_65">#REF!</definedName>
    <definedName name="bol_66">#REF!</definedName>
    <definedName name="bol_8">#REF!</definedName>
    <definedName name="bol_9">#REF!</definedName>
    <definedName name="boml">#REF!</definedName>
    <definedName name="boml_1">NA()</definedName>
    <definedName name="boml_10">#REF!</definedName>
    <definedName name="boml_11">#REF!</definedName>
    <definedName name="boml_12">#REF!</definedName>
    <definedName name="boml_2">NA()</definedName>
    <definedName name="boml_20">#REF!</definedName>
    <definedName name="boml_21">#REF!</definedName>
    <definedName name="boml_24">#REF!</definedName>
    <definedName name="boml_25">#REF!</definedName>
    <definedName name="boml_26">#REF!</definedName>
    <definedName name="boml_27">#REF!</definedName>
    <definedName name="boml_28">#REF!</definedName>
    <definedName name="boml_29">#REF!</definedName>
    <definedName name="boml_3">NA()</definedName>
    <definedName name="boml_30">#REF!</definedName>
    <definedName name="boml_31">#REF!</definedName>
    <definedName name="boml_32">#REF!</definedName>
    <definedName name="boml_33">#REF!</definedName>
    <definedName name="boml_34">#REF!</definedName>
    <definedName name="boml_35">#REF!</definedName>
    <definedName name="boml_36">#REF!</definedName>
    <definedName name="boml_37">#REF!</definedName>
    <definedName name="boml_38">#REF!</definedName>
    <definedName name="boml_39">#REF!</definedName>
    <definedName name="boml_40">#REF!</definedName>
    <definedName name="boml_41">#REF!</definedName>
    <definedName name="boml_42">#REF!</definedName>
    <definedName name="boml_43">#REF!</definedName>
    <definedName name="boml_44">#REF!</definedName>
    <definedName name="boml_45">#REF!</definedName>
    <definedName name="boml_46">#REF!</definedName>
    <definedName name="boml_47">#REF!</definedName>
    <definedName name="boml_48">#REF!</definedName>
    <definedName name="boml_49">#REF!</definedName>
    <definedName name="boml_5">NA()</definedName>
    <definedName name="boml_50">#REF!</definedName>
    <definedName name="boml_51">#REF!</definedName>
    <definedName name="boml_52">#REF!</definedName>
    <definedName name="boml_53">#REF!</definedName>
    <definedName name="boml_55">#REF!</definedName>
    <definedName name="boml_56">#REF!</definedName>
    <definedName name="boml_57">#REF!</definedName>
    <definedName name="boml_61">#REF!</definedName>
    <definedName name="boml_62">#REF!</definedName>
    <definedName name="boml_63">#REF!</definedName>
    <definedName name="boml_64">#REF!</definedName>
    <definedName name="boml_65">#REF!</definedName>
    <definedName name="boml_66">#REF!</definedName>
    <definedName name="boml_8">#REF!</definedName>
    <definedName name="boml_9">#REF!</definedName>
    <definedName name="boml1">#REF!</definedName>
    <definedName name="boolean">#REF!</definedName>
    <definedName name="boq">#REF!</definedName>
    <definedName name="BOQ_New" hidden="1">{#N/A,#N/A,TRUE,"Front";#N/A,#N/A,TRUE,"Simple Letter";#N/A,#N/A,TRUE,"Inside";#N/A,#N/A,TRUE,"Contents";#N/A,#N/A,TRUE,"Basis";#N/A,#N/A,TRUE,"Inclusions";#N/A,#N/A,TRUE,"Exclusions";#N/A,#N/A,TRUE,"Areas";#N/A,#N/A,TRUE,"Summary";#N/A,#N/A,TRUE,"Detail"}</definedName>
    <definedName name="BOQQ">#REF!</definedName>
    <definedName name="boring">#REF!</definedName>
    <definedName name="bose">#REF!</definedName>
    <definedName name="botl">#REF!</definedName>
    <definedName name="botl_1">NA()</definedName>
    <definedName name="botl_10">#REF!</definedName>
    <definedName name="botl_11">#REF!</definedName>
    <definedName name="botl_12">#REF!</definedName>
    <definedName name="botl_2">NA()</definedName>
    <definedName name="botl_20">#REF!</definedName>
    <definedName name="botl_21">#REF!</definedName>
    <definedName name="botl_24">#REF!</definedName>
    <definedName name="botl_25">#REF!</definedName>
    <definedName name="botl_26">#REF!</definedName>
    <definedName name="botl_27">#REF!</definedName>
    <definedName name="botl_28">#REF!</definedName>
    <definedName name="botl_29">#REF!</definedName>
    <definedName name="botl_3">NA()</definedName>
    <definedName name="botl_30">#REF!</definedName>
    <definedName name="botl_31">#REF!</definedName>
    <definedName name="botl_32">#REF!</definedName>
    <definedName name="botl_33">#REF!</definedName>
    <definedName name="botl_34">#REF!</definedName>
    <definedName name="botl_35">#REF!</definedName>
    <definedName name="botl_36">#REF!</definedName>
    <definedName name="botl_37">#REF!</definedName>
    <definedName name="botl_38">#REF!</definedName>
    <definedName name="botl_39">#REF!</definedName>
    <definedName name="botl_40">#REF!</definedName>
    <definedName name="botl_41">#REF!</definedName>
    <definedName name="botl_42">#REF!</definedName>
    <definedName name="botl_43">#REF!</definedName>
    <definedName name="botl_44">#REF!</definedName>
    <definedName name="botl_45">#REF!</definedName>
    <definedName name="botl_46">#REF!</definedName>
    <definedName name="botl_47">#REF!</definedName>
    <definedName name="botl_48">#REF!</definedName>
    <definedName name="botl_49">#REF!</definedName>
    <definedName name="botl_5">NA()</definedName>
    <definedName name="botl_50">#REF!</definedName>
    <definedName name="botl_51">#REF!</definedName>
    <definedName name="botl_52">#REF!</definedName>
    <definedName name="botl_53">#REF!</definedName>
    <definedName name="botl_55">#REF!</definedName>
    <definedName name="botl_56">#REF!</definedName>
    <definedName name="botl_57">#REF!</definedName>
    <definedName name="botl_61">#REF!</definedName>
    <definedName name="botl_62">#REF!</definedName>
    <definedName name="botl_63">#REF!</definedName>
    <definedName name="botl_64">#REF!</definedName>
    <definedName name="botl_65">#REF!</definedName>
    <definedName name="botl_66">#REF!</definedName>
    <definedName name="botl_8">#REF!</definedName>
    <definedName name="botl_9">#REF!</definedName>
    <definedName name="botl1">#REF!</definedName>
    <definedName name="botn">#REF!</definedName>
    <definedName name="botn_1">NA()</definedName>
    <definedName name="botn_10">#REF!</definedName>
    <definedName name="botn_11">#REF!</definedName>
    <definedName name="botn_12">#REF!</definedName>
    <definedName name="botn_2">NA()</definedName>
    <definedName name="botn_20">#REF!</definedName>
    <definedName name="botn_21">#REF!</definedName>
    <definedName name="botn_24">#REF!</definedName>
    <definedName name="botn_25">#REF!</definedName>
    <definedName name="botn_26">#REF!</definedName>
    <definedName name="botn_27">#REF!</definedName>
    <definedName name="botn_28">#REF!</definedName>
    <definedName name="botn_29">#REF!</definedName>
    <definedName name="botn_3">NA()</definedName>
    <definedName name="botn_30">#REF!</definedName>
    <definedName name="botn_31">#REF!</definedName>
    <definedName name="botn_32">#REF!</definedName>
    <definedName name="botn_33">#REF!</definedName>
    <definedName name="botn_34">#REF!</definedName>
    <definedName name="botn_35">#REF!</definedName>
    <definedName name="botn_36">#REF!</definedName>
    <definedName name="botn_37">#REF!</definedName>
    <definedName name="botn_38">#REF!</definedName>
    <definedName name="botn_39">#REF!</definedName>
    <definedName name="botn_40">#REF!</definedName>
    <definedName name="botn_41">#REF!</definedName>
    <definedName name="botn_42">#REF!</definedName>
    <definedName name="botn_43">#REF!</definedName>
    <definedName name="botn_44">#REF!</definedName>
    <definedName name="botn_45">#REF!</definedName>
    <definedName name="botn_46">#REF!</definedName>
    <definedName name="botn_47">#REF!</definedName>
    <definedName name="botn_48">#REF!</definedName>
    <definedName name="botn_49">#REF!</definedName>
    <definedName name="botn_5">NA()</definedName>
    <definedName name="botn_50">#REF!</definedName>
    <definedName name="botn_51">#REF!</definedName>
    <definedName name="botn_52">#REF!</definedName>
    <definedName name="botn_53">#REF!</definedName>
    <definedName name="botn_55">#REF!</definedName>
    <definedName name="botn_56">#REF!</definedName>
    <definedName name="botn_57">#REF!</definedName>
    <definedName name="botn_61">#REF!</definedName>
    <definedName name="botn_62">#REF!</definedName>
    <definedName name="botn_63">#REF!</definedName>
    <definedName name="botn_64">#REF!</definedName>
    <definedName name="botn_65">#REF!</definedName>
    <definedName name="botn_66">#REF!</definedName>
    <definedName name="botn_8">#REF!</definedName>
    <definedName name="botn_9">#REF!</definedName>
    <definedName name="boulder">#REF!</definedName>
    <definedName name="box_speaker">#REF!</definedName>
    <definedName name="BP">#REF!</definedName>
    <definedName name="break" localSheetId="1" hidden="1">{"form-D1",#N/A,FALSE,"FORM-D1";"form-D1_amt",#N/A,FALSE,"FORM-D1"}</definedName>
    <definedName name="break" hidden="1">{"form-D1",#N/A,FALSE,"FORM-D1";"form-D1_amt",#N/A,FALSE,"FORM-D1"}</definedName>
    <definedName name="Breaks">#REF!</definedName>
    <definedName name="Breaks_1">NA()</definedName>
    <definedName name="Breaks_10">#REF!</definedName>
    <definedName name="Breaks_11">#REF!</definedName>
    <definedName name="Breaks_12">#REF!</definedName>
    <definedName name="Breaks_2">NA()</definedName>
    <definedName name="Breaks_20">#REF!</definedName>
    <definedName name="Breaks_21">#REF!</definedName>
    <definedName name="Breaks_24">#REF!</definedName>
    <definedName name="Breaks_25">#REF!</definedName>
    <definedName name="Breaks_26">#REF!</definedName>
    <definedName name="Breaks_27">#REF!</definedName>
    <definedName name="Breaks_28">#REF!</definedName>
    <definedName name="Breaks_29">#REF!</definedName>
    <definedName name="Breaks_3">NA()</definedName>
    <definedName name="Breaks_30">#REF!</definedName>
    <definedName name="Breaks_31">#REF!</definedName>
    <definedName name="Breaks_32">#REF!</definedName>
    <definedName name="Breaks_33">#REF!</definedName>
    <definedName name="Breaks_34">#REF!</definedName>
    <definedName name="Breaks_35">#REF!</definedName>
    <definedName name="Breaks_36">#REF!</definedName>
    <definedName name="Breaks_37">#REF!</definedName>
    <definedName name="Breaks_38">#REF!</definedName>
    <definedName name="Breaks_39">#REF!</definedName>
    <definedName name="Breaks_40">#REF!</definedName>
    <definedName name="Breaks_41">#REF!</definedName>
    <definedName name="Breaks_42">#REF!</definedName>
    <definedName name="Breaks_43">#REF!</definedName>
    <definedName name="Breaks_44">#REF!</definedName>
    <definedName name="Breaks_45">#REF!</definedName>
    <definedName name="Breaks_46">#REF!</definedName>
    <definedName name="Breaks_47">#REF!</definedName>
    <definedName name="Breaks_48">#REF!</definedName>
    <definedName name="Breaks_49">#REF!</definedName>
    <definedName name="Breaks_5">NA()</definedName>
    <definedName name="Breaks_50">#REF!</definedName>
    <definedName name="Breaks_51">#REF!</definedName>
    <definedName name="Breaks_52">#REF!</definedName>
    <definedName name="Breaks_53">#REF!</definedName>
    <definedName name="Breaks_55">#REF!</definedName>
    <definedName name="Breaks_56">#REF!</definedName>
    <definedName name="Breaks_57">#REF!</definedName>
    <definedName name="Breaks_61">#REF!</definedName>
    <definedName name="Breaks_62">#REF!</definedName>
    <definedName name="Breaks_63">#REF!</definedName>
    <definedName name="Breaks_64">#REF!</definedName>
    <definedName name="Breaks_65">#REF!</definedName>
    <definedName name="Breaks_66">#REF!</definedName>
    <definedName name="Breaks_8">#REF!</definedName>
    <definedName name="Breaks_9">#REF!</definedName>
    <definedName name="Breakup">#REF!</definedName>
    <definedName name="Brick_Size">#REF!</definedName>
    <definedName name="Brick_Size_1">NA()</definedName>
    <definedName name="Brick_Size_2">NA()</definedName>
    <definedName name="Brick_Size_3">NA()</definedName>
    <definedName name="Brick_Size_5">NA()</definedName>
    <definedName name="BRICKS">#REF!</definedName>
    <definedName name="BRK">#REF!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s" localSheetId="1" hidden="1">{#N/A,#N/A,FALSE,"abs";#N/A,#N/A,FALSE,"Annex-I";#N/A,#N/A,FALSE,"Annex-II";#N/A,#N/A,FALSE,"Annex-III";#N/A,#N/A,FALSE,"Annex-IV";#N/A,#N/A,FALSE,"Annex-V";#N/A,#N/A,FALSE,"Annex-VI"}</definedName>
    <definedName name="brs" hidden="1">{#N/A,#N/A,FALSE,"abs";#N/A,#N/A,FALSE,"Annex-I";#N/A,#N/A,FALSE,"Annex-II";#N/A,#N/A,FALSE,"Annex-III";#N/A,#N/A,FALSE,"Annex-IV";#N/A,#N/A,FALSE,"Annex-V";#N/A,#N/A,FALSE,"Annex-VI"}</definedName>
    <definedName name="BSARKAR" hidden="1">{#N/A,#N/A,TRUE,"Front";#N/A,#N/A,TRUE,"Simple Letter";#N/A,#N/A,TRUE,"Inside";#N/A,#N/A,TRUE,"Contents";#N/A,#N/A,TRUE,"Basis";#N/A,#N/A,TRUE,"Inclusions";#N/A,#N/A,TRUE,"Exclusions";#N/A,#N/A,TRUE,"Areas";#N/A,#N/A,TRUE,"Summary";#N/A,#N/A,TRUE,"Detail"}</definedName>
    <definedName name="bsec1">#REF!</definedName>
    <definedName name="BSEC11">#REF!</definedName>
    <definedName name="BSEC12">#REF!</definedName>
    <definedName name="bsec2">#REF!</definedName>
    <definedName name="bsec22">#REF!</definedName>
    <definedName name="bsec3">#REF!</definedName>
    <definedName name="BSEC31">#REF!</definedName>
    <definedName name="bsec33">#REF!</definedName>
    <definedName name="bsec35">#REF!</definedName>
    <definedName name="bsec4">#REF!</definedName>
    <definedName name="bsec44">#REF!</definedName>
    <definedName name="bsec45">#REF!</definedName>
    <definedName name="bsec5">#REF!</definedName>
    <definedName name="BSEC56">#REF!</definedName>
    <definedName name="bsec6">#REF!</definedName>
    <definedName name="bsec66">#REF!</definedName>
    <definedName name="BSEC67">#REF!</definedName>
    <definedName name="BSEC7">#REF!</definedName>
    <definedName name="bsnagar_meas">#REF!</definedName>
    <definedName name="BSNmeasure">#REF!</definedName>
    <definedName name="bua">#REF!</definedName>
    <definedName name="bua_1">NA()</definedName>
    <definedName name="bua_10">#REF!</definedName>
    <definedName name="bua_11">#REF!</definedName>
    <definedName name="bua_12">#REF!</definedName>
    <definedName name="bua_2">NA()</definedName>
    <definedName name="bua_20">#REF!</definedName>
    <definedName name="bua_21">#REF!</definedName>
    <definedName name="bua_24">#REF!</definedName>
    <definedName name="bua_25">#REF!</definedName>
    <definedName name="bua_26">#REF!</definedName>
    <definedName name="bua_27">#REF!</definedName>
    <definedName name="bua_28">#REF!</definedName>
    <definedName name="bua_29">#REF!</definedName>
    <definedName name="bua_3">NA()</definedName>
    <definedName name="bua_30">#REF!</definedName>
    <definedName name="bua_31">#REF!</definedName>
    <definedName name="bua_32">#REF!</definedName>
    <definedName name="bua_33">#REF!</definedName>
    <definedName name="bua_34">#REF!</definedName>
    <definedName name="bua_35">#REF!</definedName>
    <definedName name="bua_36">#REF!</definedName>
    <definedName name="bua_37">#REF!</definedName>
    <definedName name="bua_38">#REF!</definedName>
    <definedName name="bua_39">#REF!</definedName>
    <definedName name="bua_40">#REF!</definedName>
    <definedName name="bua_41">#REF!</definedName>
    <definedName name="bua_42">#REF!</definedName>
    <definedName name="bua_43">#REF!</definedName>
    <definedName name="bua_44">#REF!</definedName>
    <definedName name="bua_45">#REF!</definedName>
    <definedName name="bua_46">#REF!</definedName>
    <definedName name="bua_47">#REF!</definedName>
    <definedName name="bua_48">#REF!</definedName>
    <definedName name="bua_49">#REF!</definedName>
    <definedName name="bua_5">NA()</definedName>
    <definedName name="bua_50">#REF!</definedName>
    <definedName name="bua_51">#REF!</definedName>
    <definedName name="bua_52">#REF!</definedName>
    <definedName name="bua_53">#REF!</definedName>
    <definedName name="bua_55">#REF!</definedName>
    <definedName name="bua_56">#REF!</definedName>
    <definedName name="bua_57">#REF!</definedName>
    <definedName name="bua_61">#REF!</definedName>
    <definedName name="bua_62">#REF!</definedName>
    <definedName name="bua_63">#REF!</definedName>
    <definedName name="bua_64">#REF!</definedName>
    <definedName name="bua_65">#REF!</definedName>
    <definedName name="bua_66">#REF!</definedName>
    <definedName name="bua_8">#REF!</definedName>
    <definedName name="bua_9">#REF!</definedName>
    <definedName name="BUDDHA">#REF!</definedName>
    <definedName name="BUDDHA_1">NA()</definedName>
    <definedName name="BUDDHA_2">NA()</definedName>
    <definedName name="BUDDHA_3">NA()</definedName>
    <definedName name="BUDDHA_5">NA()</definedName>
    <definedName name="BUDGET" hidden="1">{#N/A,#N/A,FALSE,"MESURMENT BOOK OF 6 BILL";#N/A,#N/A,FALSE,"MESURMENT BOOK OF 6 BILL"}</definedName>
    <definedName name="building">#REF!</definedName>
    <definedName name="building___0">#REF!</definedName>
    <definedName name="building___0_1">NA()</definedName>
    <definedName name="building___0_2">NA()</definedName>
    <definedName name="building___0_3">NA()</definedName>
    <definedName name="building___0_5">NA()</definedName>
    <definedName name="building___11">#REF!</definedName>
    <definedName name="building___11_1">NA()</definedName>
    <definedName name="building___11_2">NA()</definedName>
    <definedName name="building___11_3">NA()</definedName>
    <definedName name="building___11_5">NA()</definedName>
    <definedName name="building___12">#REF!</definedName>
    <definedName name="building___12_1">NA()</definedName>
    <definedName name="building___12_2">NA()</definedName>
    <definedName name="building___12_3">NA()</definedName>
    <definedName name="building___12_5">NA()</definedName>
    <definedName name="building_1">NA()</definedName>
    <definedName name="building_2">NA()</definedName>
    <definedName name="building_3">NA()</definedName>
    <definedName name="building_5">NA()</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tIn_AutoFilter___1">#REF!</definedName>
    <definedName name="BuiltIn_AutoFilter___17">#REF!</definedName>
    <definedName name="BuiltIn_AutoFilter___19">#REF!</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1">NA()</definedName>
    <definedName name="BuiltIn_Print_Area___0_12">"'file://Agni/SKYTOP%20BUILDERS/Documents%20and%20Settings/anpcpmc.ANPRAKASHPMC/Desktop/rab%25252525252525252525252525252525252525252525252525252525252525252525252525252525252525252525252525252525252525252525233%20final.xls'#$''.$A$2:$D$52"</definedName>
    <definedName name="BuiltIn_Print_Area___0_2">NA()</definedName>
    <definedName name="BuiltIn_Print_Area___0_3">NA()</definedName>
    <definedName name="BuiltIn_Print_Area___0_5">NA()</definedName>
    <definedName name="BuiltIn_Print_Titles">#REF!</definedName>
    <definedName name="BuiltIn_Print_Titles___0">#N/A</definedName>
    <definedName name="BuiltIn_Print_Titles___0___0">#REF!</definedName>
    <definedName name="BuiltIn_Print_Titles___0___0___0">#REF!</definedName>
    <definedName name="BuiltIn_Print_Titles___0_1">NA()</definedName>
    <definedName name="BuiltIn_Print_Titles___0_2">NA()</definedName>
    <definedName name="BuiltIn_Print_Titles___0_3">NA()</definedName>
    <definedName name="bulkbitumen">#REF!</definedName>
    <definedName name="BusType">#REF!</definedName>
    <definedName name="BusType_4">#REF!</definedName>
    <definedName name="BusType_6">#REF!</definedName>
    <definedName name="BusType_Text">#REF!</definedName>
    <definedName name="BusType_Text_4">#REF!</definedName>
    <definedName name="BusType_Text_6">#REF!</definedName>
    <definedName name="Button_5">"AS_PER_TALLY_31_09_04_ONYX_List"</definedName>
    <definedName name="Button_7">"AS_PER_TALLY_31_09_04_ONYX_List1"</definedName>
    <definedName name="Button_8">"AS_PER_TALLY_31_09_04_ONYX_List1"</definedName>
    <definedName name="bvcvhcv">#REF!</definedName>
    <definedName name="bvcxnbvjdhoisryghdbv">#N/A</definedName>
    <definedName name="bvj">#N/A</definedName>
    <definedName name="BWF1B">#REF!</definedName>
    <definedName name="bwld">#REF!</definedName>
    <definedName name="Bx">#REF!</definedName>
    <definedName name="Bx___0">#REF!</definedName>
    <definedName name="Bx___0_1">NA()</definedName>
    <definedName name="Bx___0_2">NA()</definedName>
    <definedName name="Bx___0_3">NA()</definedName>
    <definedName name="Bx___0_5">NA()</definedName>
    <definedName name="Bx___13">#REF!</definedName>
    <definedName name="Bx___13_1">NA()</definedName>
    <definedName name="Bx___13_2">NA()</definedName>
    <definedName name="Bx___13_3">NA()</definedName>
    <definedName name="Bx___13_5">NA()</definedName>
    <definedName name="Bx_1">NA()</definedName>
    <definedName name="Bx_2">NA()</definedName>
    <definedName name="Bx_3">NA()</definedName>
    <definedName name="Bx_5">NA()</definedName>
    <definedName name="bxevxed">#REF!</definedName>
    <definedName name="bxevxed_15">"$#REF!.$#REF!$#REF!"</definedName>
    <definedName name="bxevxed_3">"$#REF!.$#REF!$#REF!"</definedName>
    <definedName name="bxevxed_4">"$#REF!.$#REF!$#REF!"</definedName>
    <definedName name="bxevxed_5">NA()</definedName>
    <definedName name="bxevxed_6">"$#REF!.$#REF!$#REF!"</definedName>
    <definedName name="bxn">#REF!</definedName>
    <definedName name="bxnvxnd">#REF!</definedName>
    <definedName name="bxnvxnd_15">"$#REF!.$#REF!$#REF!"</definedName>
    <definedName name="bxnvxnd_3">"$#REF!.$#REF!$#REF!"</definedName>
    <definedName name="bxnvxnd_4">"$#REF!.$#REF!$#REF!"</definedName>
    <definedName name="bxnvxnd_5">NA()</definedName>
    <definedName name="bxnvxnd_6">"$#REF!.$#REF!$#REF!"</definedName>
    <definedName name="c.b" hidden="1">{#N/A,#N/A,TRUE,"Front";#N/A,#N/A,TRUE,"Simple Letter";#N/A,#N/A,TRUE,"Inside";#N/A,#N/A,TRUE,"Contents";#N/A,#N/A,TRUE,"Basis";#N/A,#N/A,TRUE,"Inclusions";#N/A,#N/A,TRUE,"Exclusions";#N/A,#N/A,TRUE,"Areas";#N/A,#N/A,TRUE,"Summary";#N/A,#N/A,TRUE,"Detail"}</definedName>
    <definedName name="C.L.WALL">#REF!</definedName>
    <definedName name="C.L.WALL1">#REF!</definedName>
    <definedName name="c.nos">#REF!</definedName>
    <definedName name="C.S.WALL">#REF!</definedName>
    <definedName name="c_">#REF!</definedName>
    <definedName name="C__15">"$#REF!.$#REF!$#REF!"</definedName>
    <definedName name="C__3">"$#REF!.$#REF!$#REF!"</definedName>
    <definedName name="C__4">"$#REF!.$#REF!$#REF!"</definedName>
    <definedName name="C__5">NA()</definedName>
    <definedName name="C__6">"$#REF!.$#REF!$#REF!"</definedName>
    <definedName name="C_2">#REF!</definedName>
    <definedName name="CA">#REF!</definedName>
    <definedName name="ca1boq">#REF!</definedName>
    <definedName name="cab">#REF!</definedName>
    <definedName name="cab21.5tp">#REF!</definedName>
    <definedName name="cab21.5tp_15">"$#REF!.$#REF!$#REF!"</definedName>
    <definedName name="cab21.5tp_3">"$#REF!.$#REF!$#REF!"</definedName>
    <definedName name="cab21.5tp_4">#REF!</definedName>
    <definedName name="cab21.5tp_5">NA()</definedName>
    <definedName name="cab21.5tp_6">#REF!</definedName>
    <definedName name="cab21s">#REF!</definedName>
    <definedName name="cab21s_15">"$#REF!.$#REF!$#REF!"</definedName>
    <definedName name="cab21s_3">"$#REF!.$#REF!$#REF!"</definedName>
    <definedName name="cab21s_4">#REF!</definedName>
    <definedName name="cab21s_5">NA()</definedName>
    <definedName name="cab21s_6">#REF!</definedName>
    <definedName name="cab21us">#REF!</definedName>
    <definedName name="cab21us_15">"$#REF!.$#REF!$#REF!"</definedName>
    <definedName name="cab21us_3">"$#REF!.$#REF!$#REF!"</definedName>
    <definedName name="cab21us_4">#REF!</definedName>
    <definedName name="cab21us_5">NA()</definedName>
    <definedName name="cab21us_6">#REF!</definedName>
    <definedName name="cab31s">#REF!</definedName>
    <definedName name="cab31s_15">"$#REF!.$#REF!$#REF!"</definedName>
    <definedName name="cab31s_3">"$#REF!.$#REF!$#REF!"</definedName>
    <definedName name="cab31s_4">#REF!</definedName>
    <definedName name="cab31s_5">NA()</definedName>
    <definedName name="cab31s_6">#REF!</definedName>
    <definedName name="cab31us">#REF!</definedName>
    <definedName name="cab31us_15">"$#REF!.$#REF!$#REF!"</definedName>
    <definedName name="cab31us_3">"$#REF!.$#REF!$#REF!"</definedName>
    <definedName name="cab31us_4">#REF!</definedName>
    <definedName name="cab31us_5">NA()</definedName>
    <definedName name="cab31us_6">#REF!</definedName>
    <definedName name="cab41s">#REF!</definedName>
    <definedName name="cab41s_15">"$#REF!.$#REF!$#REF!"</definedName>
    <definedName name="cab41s_3">"$#REF!.$#REF!$#REF!"</definedName>
    <definedName name="cab41s_4">#REF!</definedName>
    <definedName name="cab41s_5">NA()</definedName>
    <definedName name="cab41s_6">#REF!</definedName>
    <definedName name="cab41us">#REF!</definedName>
    <definedName name="cab41us_15">"$#REF!.$#REF!$#REF!"</definedName>
    <definedName name="cab41us_3">"$#REF!.$#REF!$#REF!"</definedName>
    <definedName name="cab41us_4">#REF!</definedName>
    <definedName name="cab41us_5">NA()</definedName>
    <definedName name="cab41us_6">#REF!</definedName>
    <definedName name="cabd">#REF!</definedName>
    <definedName name="cabf">#REF!</definedName>
    <definedName name="cabf_15">"$#REF!.$#REF!$#REF!"</definedName>
    <definedName name="cabf_3">"$#REF!.$#REF!$#REF!"</definedName>
    <definedName name="cabf_4">#REF!</definedName>
    <definedName name="cabf_5">NA()</definedName>
    <definedName name="cabf_6">#REF!</definedName>
    <definedName name="cabinet">#REF!</definedName>
    <definedName name="cabl">#REF!</definedName>
    <definedName name="CABLE">#REF!</definedName>
    <definedName name="CABLE_1">NA()</definedName>
    <definedName name="CABLE_2">NA()</definedName>
    <definedName name="CABLE_3">NA()</definedName>
    <definedName name="CABLE_4">#REF!</definedName>
    <definedName name="CABLE_5">NA()</definedName>
    <definedName name="CABLE_6">#REF!</definedName>
    <definedName name="cablenew">#REF!</definedName>
    <definedName name="cadcd" hidden="1">{#N/A,#N/A,TRUE,"Front";#N/A,#N/A,TRUE,"Simple Letter";#N/A,#N/A,TRUE,"Inside";#N/A,#N/A,TRUE,"Contents";#N/A,#N/A,TRUE,"Basis";#N/A,#N/A,TRUE,"Inclusions";#N/A,#N/A,TRUE,"Exclusions";#N/A,#N/A,TRUE,"Areas";#N/A,#N/A,TRUE,"Summary";#N/A,#N/A,TRUE,"Detail"}</definedName>
    <definedName name="cald">#REF!</definedName>
    <definedName name="CALf">#REF!</definedName>
    <definedName name="CALf_15">"$#REF!.$#REF!$#REF!"</definedName>
    <definedName name="CALf_3">"$#REF!.$#REF!$#REF!"</definedName>
    <definedName name="CALf_4">#REF!</definedName>
    <definedName name="CALf_5">NA()</definedName>
    <definedName name="CALf_6">#REF!</definedName>
    <definedName name="caln" hidden="1">{#N/A,#N/A,TRUE,"Front";#N/A,#N/A,TRUE,"Simple Letter";#N/A,#N/A,TRUE,"Inside";#N/A,#N/A,TRUE,"Contents";#N/A,#N/A,TRUE,"Basis";#N/A,#N/A,TRUE,"Inclusions";#N/A,#N/A,TRUE,"Exclusions";#N/A,#N/A,TRUE,"Areas";#N/A,#N/A,TRUE,"Summary";#N/A,#N/A,TRUE,"Detail"}</definedName>
    <definedName name="cant">#REF!</definedName>
    <definedName name="cant_1">NA()</definedName>
    <definedName name="cant_2">NA()</definedName>
    <definedName name="cant_3">NA()</definedName>
    <definedName name="cant_5">NA()</definedName>
    <definedName name="cant_6">NA()</definedName>
    <definedName name="capacity">#REF!</definedName>
    <definedName name="capacity1">#REF!</definedName>
    <definedName name="capacity2">#REF!</definedName>
    <definedName name="capacity3">#REF!</definedName>
    <definedName name="CAPBOH">#N/A</definedName>
    <definedName name="CAPEOH">#N/A</definedName>
    <definedName name="capital">#REF!</definedName>
    <definedName name="carp" hidden="1">{#N/A,#N/A,TRUE,"Front";#N/A,#N/A,TRUE,"Simple Letter";#N/A,#N/A,TRUE,"Inside";#N/A,#N/A,TRUE,"Contents";#N/A,#N/A,TRUE,"Basis";#N/A,#N/A,TRUE,"Inclusions";#N/A,#N/A,TRUE,"Exclusions";#N/A,#N/A,TRUE,"Areas";#N/A,#N/A,TRUE,"Summary";#N/A,#N/A,TRUE,"Detail"}</definedName>
    <definedName name="carpet">#REF!</definedName>
    <definedName name="carpet___0">#REF!</definedName>
    <definedName name="carpet___0_1">NA()</definedName>
    <definedName name="carpet___0_2">NA()</definedName>
    <definedName name="carpet___0_3">NA()</definedName>
    <definedName name="carpet___0_5">NA()</definedName>
    <definedName name="carpet___11">#REF!</definedName>
    <definedName name="carpet___11_1">NA()</definedName>
    <definedName name="carpet___11_2">NA()</definedName>
    <definedName name="carpet___11_3">NA()</definedName>
    <definedName name="carpet___11_5">NA()</definedName>
    <definedName name="carpet___12">#REF!</definedName>
    <definedName name="carpet___12_1">NA()</definedName>
    <definedName name="carpet___12_2">NA()</definedName>
    <definedName name="carpet___12_3">NA()</definedName>
    <definedName name="carpet___12_5">NA()</definedName>
    <definedName name="carpet_1">NA()</definedName>
    <definedName name="carpet_2">NA()</definedName>
    <definedName name="carpet_3">NA()</definedName>
    <definedName name="carpet_5">NA()</definedName>
    <definedName name="carpg" hidden="1">{#N/A,#N/A,TRUE,"Front";#N/A,#N/A,TRUE,"Simple Letter";#N/A,#N/A,TRUE,"Inside";#N/A,#N/A,TRUE,"Contents";#N/A,#N/A,TRUE,"Basis";#N/A,#N/A,TRUE,"Inclusions";#N/A,#N/A,TRUE,"Exclusions";#N/A,#N/A,TRUE,"Areas";#N/A,#N/A,TRUE,"Summary";#N/A,#N/A,TRUE,"Detail"}</definedName>
    <definedName name="CARPI_1">NA()</definedName>
    <definedName name="CARPI_2">NA()</definedName>
    <definedName name="CARPI_3">NA()</definedName>
    <definedName name="CARPI_5">NA()</definedName>
    <definedName name="CARPI_6">NA()</definedName>
    <definedName name="carpnm" hidden="1">{#N/A,#N/A,TRUE,"Front";#N/A,#N/A,TRUE,"Simple Letter";#N/A,#N/A,TRUE,"Inside";#N/A,#N/A,TRUE,"Contents";#N/A,#N/A,TRUE,"Basis";#N/A,#N/A,TRUE,"Inclusions";#N/A,#N/A,TRUE,"Exclusions";#N/A,#N/A,TRUE,"Areas";#N/A,#N/A,TRUE,"Summary";#N/A,#N/A,TRUE,"Detail"}</definedName>
    <definedName name="Cash" hidden="1">{#N/A,#N/A,TRUE,"Front";#N/A,#N/A,TRUE,"Simple Letter";#N/A,#N/A,TRUE,"Inside";#N/A,#N/A,TRUE,"Contents";#N/A,#N/A,TRUE,"Basis";#N/A,#N/A,TRUE,"Inclusions";#N/A,#N/A,TRUE,"Exclusions";#N/A,#N/A,TRUE,"Areas";#N/A,#N/A,TRUE,"Summary";#N/A,#N/A,TRUE,"Detail"}</definedName>
    <definedName name="cash_bank">#REF!</definedName>
    <definedName name="CASH_OUT">#REF!</definedName>
    <definedName name="cass">#REF!</definedName>
    <definedName name="Casual" localSheetId="1" hidden="1">#REF!</definedName>
    <definedName name="Casual" hidden="1">#REF!</definedName>
    <definedName name="cat" hidden="1">{#N/A,#N/A,FALSE,"Taxblinc";#N/A,#N/A,FALSE,"Rsvsacls"}</definedName>
    <definedName name="category">#REF!</definedName>
    <definedName name="CATIN">#N/A</definedName>
    <definedName name="CATJYOU">#N/A</definedName>
    <definedName name="CATREC">#N/A</definedName>
    <definedName name="CATSYU">#N/A</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fj" hidden="1">{#N/A,#N/A,TRUE,"Front";#N/A,#N/A,TRUE,"Simple Letter";#N/A,#N/A,TRUE,"Inside";#N/A,#N/A,TRUE,"Contents";#N/A,#N/A,TRUE,"Basis";#N/A,#N/A,TRUE,"Inclusions";#N/A,#N/A,TRUE,"Exclusions";#N/A,#N/A,TRUE,"Areas";#N/A,#N/A,TRUE,"Summary";#N/A,#N/A,TRUE,"Detail"}</definedName>
    <definedName name="cbgl1">#REF!</definedName>
    <definedName name="cbgl1_1">NA()</definedName>
    <definedName name="cbgl1_2">NA()</definedName>
    <definedName name="cbgl1_3">NA()</definedName>
    <definedName name="cbgl1_5">NA()</definedName>
    <definedName name="cbgl2">#REF!</definedName>
    <definedName name="cbgl2_1">NA()</definedName>
    <definedName name="cbgl2_2">NA()</definedName>
    <definedName name="cbgl2_3">NA()</definedName>
    <definedName name="cbgl2_5">NA()</definedName>
    <definedName name="cbgl3">#REF!</definedName>
    <definedName name="cbgl3_1">NA()</definedName>
    <definedName name="cbgl3_2">NA()</definedName>
    <definedName name="cbgl3_3">NA()</definedName>
    <definedName name="cbgl3_5">NA()</definedName>
    <definedName name="cbgl4">#REF!</definedName>
    <definedName name="cbgl4_1">NA()</definedName>
    <definedName name="cbgl4_2">NA()</definedName>
    <definedName name="cbgl4_3">NA()</definedName>
    <definedName name="cbgl4_5">NA()</definedName>
    <definedName name="cc" hidden="1">{#N/A,#N/A,TRUE,"Front";#N/A,#N/A,TRUE,"Simple Letter";#N/A,#N/A,TRUE,"Inside";#N/A,#N/A,TRUE,"Contents";#N/A,#N/A,TRUE,"Basis";#N/A,#N/A,TRUE,"Inclusions";#N/A,#N/A,TRUE,"Exclusions";#N/A,#N/A,TRUE,"Areas";#N/A,#N/A,TRUE,"Summary";#N/A,#N/A,TRUE,"Detail"}</definedName>
    <definedName name="CC5a">#REF!</definedName>
    <definedName name="CC5a1">#REF!</definedName>
    <definedName name="cca">#REF!</definedName>
    <definedName name="ccccc">#REF!</definedName>
    <definedName name="CCI" hidden="1">{#N/A,#N/A,TRUE,"Front";#N/A,#N/A,TRUE,"Simple Letter";#N/A,#N/A,TRUE,"Inside";#N/A,#N/A,TRUE,"Contents";#N/A,#N/A,TRUE,"Basis";#N/A,#N/A,TRUE,"Inclusions";#N/A,#N/A,TRUE,"Exclusions";#N/A,#N/A,TRUE,"Areas";#N/A,#N/A,TRUE,"Summary";#N/A,#N/A,TRUE,"Detail"}</definedName>
    <definedName name="ccolagl">#REF!</definedName>
    <definedName name="ccolagl_1">NA()</definedName>
    <definedName name="ccolagl_2">NA()</definedName>
    <definedName name="ccolagl_3">NA()</definedName>
    <definedName name="ccolagl_5">NA()</definedName>
    <definedName name="ccv" hidden="1">{#N/A,#N/A,TRUE,"Front";#N/A,#N/A,TRUE,"Simple Letter";#N/A,#N/A,TRUE,"Inside";#N/A,#N/A,TRUE,"Contents";#N/A,#N/A,TRUE,"Basis";#N/A,#N/A,TRUE,"Inclusions";#N/A,#N/A,TRUE,"Exclusions";#N/A,#N/A,TRUE,"Areas";#N/A,#N/A,TRUE,"Summary";#N/A,#N/A,TRUE,"Detail"}</definedName>
    <definedName name="ccv_5">NA()</definedName>
    <definedName name="cd">#REF!</definedName>
    <definedName name="cdf">#REF!</definedName>
    <definedName name="cdu" hidden="1">{#N/A,#N/A,FALSE,"COVER.XLS";#N/A,#N/A,FALSE,"RACT1.XLS";#N/A,#N/A,FALSE,"RACT2.XLS";#N/A,#N/A,FALSE,"ECCMP";#N/A,#N/A,FALSE,"WELDER.XLS"}</definedName>
    <definedName name="ce">#REF!</definedName>
    <definedName name="Ceiling">#REF!</definedName>
    <definedName name="Ceiling_speaker">#REF!</definedName>
    <definedName name="Ceiling_Speaker_Unsupervised">#REF!</definedName>
    <definedName name="CEMENT">#REF!</definedName>
    <definedName name="CENTER" hidden="1">#REF!</definedName>
    <definedName name="Cert2" hidden="1">{#N/A,#N/A,TRUE,"Front";#N/A,#N/A,TRUE,"Simple Letter";#N/A,#N/A,TRUE,"Inside";#N/A,#N/A,TRUE,"Contents";#N/A,#N/A,TRUE,"Basis";#N/A,#N/A,TRUE,"Inclusions";#N/A,#N/A,TRUE,"Exclusions";#N/A,#N/A,TRUE,"Areas";#N/A,#N/A,TRUE,"Summary";#N/A,#N/A,TRUE,"Detail"}</definedName>
    <definedName name="certified">Scheduled_Payment+Extra_Payment</definedName>
    <definedName name="certify">Scheduled_Payment+Extra_Payment</definedName>
    <definedName name="cf" hidden="1">{#N/A,#N/A,TRUE,"Front";#N/A,#N/A,TRUE,"Simple Letter";#N/A,#N/A,TRUE,"Inside";#N/A,#N/A,TRUE,"Contents";#N/A,#N/A,TRUE,"Basis";#N/A,#N/A,TRUE,"Inclusions";#N/A,#N/A,TRUE,"Exclusions";#N/A,#N/A,TRUE,"Areas";#N/A,#N/A,TRUE,"Summary";#N/A,#N/A,TRUE,"Detail"}</definedName>
    <definedName name="cfb">#REF!</definedName>
    <definedName name="cfb_1">NA()</definedName>
    <definedName name="cfb_2">NA()</definedName>
    <definedName name="cfb_3">NA()</definedName>
    <definedName name="cfb_5">NA()</definedName>
    <definedName name="cfbeams">#REF!</definedName>
    <definedName name="cfbeams_1">NA()</definedName>
    <definedName name="cfbeams_2">NA()</definedName>
    <definedName name="cfbeams_3">NA()</definedName>
    <definedName name="cfbeams_5">NA()</definedName>
    <definedName name="cff">#REF!</definedName>
    <definedName name="cfsalb">#REF!</definedName>
    <definedName name="cfsalb_1">NA()</definedName>
    <definedName name="cfsalb_2">NA()</definedName>
    <definedName name="cfsalb_3">NA()</definedName>
    <definedName name="cfsalb_5">NA()</definedName>
    <definedName name="cfslab">#REF!</definedName>
    <definedName name="cfslab_1">NA()</definedName>
    <definedName name="cfslab_2">NA()</definedName>
    <definedName name="cfslab_3">NA()</definedName>
    <definedName name="cfslab_5">NA()</definedName>
    <definedName name="ch">#REF!</definedName>
    <definedName name="Cha" hidden="1">{#N/A,#N/A,FALSE,"gc (2)"}</definedName>
    <definedName name="CHAD" hidden="1">{"'Sheet1'!$A$4386:$N$4591"}</definedName>
    <definedName name="Chajja">#N/A</definedName>
    <definedName name="chandra">{#N/A,#N/A,FALSE,"일반적사항";#N/A,#N/A,FALSE,"주요재무자료";#N/A,#N/A,FALSE,"표지";#N/A,#N/A,FALSE,"총괄표";#N/A,#N/A,FALSE,"1호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chandrel_ploes">#REF!</definedName>
    <definedName name="ChangeBy">#REF!</definedName>
    <definedName name="ChangeBy_4">#REF!</definedName>
    <definedName name="ChangeBy_6">#REF!</definedName>
    <definedName name="ChangeDate">#REF!</definedName>
    <definedName name="ChangeDate_4">#REF!</definedName>
    <definedName name="ChangeDate_6">#REF!</definedName>
    <definedName name="check">#REF!</definedName>
    <definedName name="CHECK12">#REF!</definedName>
    <definedName name="checked">#REF!</definedName>
    <definedName name="checked_1">NA()</definedName>
    <definedName name="checked_10">#REF!</definedName>
    <definedName name="checked_11">#REF!</definedName>
    <definedName name="checked_12">#REF!</definedName>
    <definedName name="checked_2">NA()</definedName>
    <definedName name="checked_20">#REF!</definedName>
    <definedName name="checked_21">#REF!</definedName>
    <definedName name="checked_24">#REF!</definedName>
    <definedName name="checked_25">#REF!</definedName>
    <definedName name="checked_26">#REF!</definedName>
    <definedName name="checked_27">#REF!</definedName>
    <definedName name="checked_28">#REF!</definedName>
    <definedName name="checked_29">#REF!</definedName>
    <definedName name="checked_3">NA()</definedName>
    <definedName name="checked_30">#REF!</definedName>
    <definedName name="checked_31">#REF!</definedName>
    <definedName name="checked_32">#REF!</definedName>
    <definedName name="checked_33">#REF!</definedName>
    <definedName name="checked_34">#REF!</definedName>
    <definedName name="checked_35">#REF!</definedName>
    <definedName name="checked_36">#REF!</definedName>
    <definedName name="checked_37">#REF!</definedName>
    <definedName name="checked_38">#REF!</definedName>
    <definedName name="checked_39">#REF!</definedName>
    <definedName name="checked_4">#REF!</definedName>
    <definedName name="checked_40">#REF!</definedName>
    <definedName name="checked_41">#REF!</definedName>
    <definedName name="checked_42">#REF!</definedName>
    <definedName name="checked_43">#REF!</definedName>
    <definedName name="checked_44">#REF!</definedName>
    <definedName name="checked_45">#REF!</definedName>
    <definedName name="checked_46">#REF!</definedName>
    <definedName name="checked_47">#REF!</definedName>
    <definedName name="checked_48">#REF!</definedName>
    <definedName name="checked_49">#REF!</definedName>
    <definedName name="checked_5">NA()</definedName>
    <definedName name="checked_50">#REF!</definedName>
    <definedName name="checked_51">#REF!</definedName>
    <definedName name="checked_52">#REF!</definedName>
    <definedName name="checked_53">#REF!</definedName>
    <definedName name="checked_55">#REF!</definedName>
    <definedName name="checked_56">#REF!</definedName>
    <definedName name="checked_57">#REF!</definedName>
    <definedName name="checked_61">#REF!</definedName>
    <definedName name="checked_62">#REF!</definedName>
    <definedName name="checked_63">#REF!</definedName>
    <definedName name="checked_64">#REF!</definedName>
    <definedName name="checked_65">#REF!</definedName>
    <definedName name="checked_66">#REF!</definedName>
    <definedName name="checked_8">#REF!</definedName>
    <definedName name="checked_9">#REF!</definedName>
    <definedName name="chemicalcalculationperungudi">#REF!</definedName>
    <definedName name="chemsludgecal">#REF!</definedName>
    <definedName name="chfinr">#REF!</definedName>
    <definedName name="chik" hidden="1">{#N/A,#N/A,FALSE,"Summary";#N/A,#N/A,FALSE,"1991";#N/A,#N/A,FALSE,"91 AMT";#N/A,#N/A,FALSE,"1992";#N/A,#N/A,FALSE,"92 AMT";#N/A,#N/A,FALSE,"1993";#N/A,#N/A,FALSE,"93 AMT"}</definedName>
    <definedName name="chiller">#REF!</definedName>
    <definedName name="chiller_1">NA()</definedName>
    <definedName name="chiller_2">NA()</definedName>
    <definedName name="chiller_3">NA()</definedName>
    <definedName name="chiller_5">NA()</definedName>
    <definedName name="ciff">#REF!</definedName>
    <definedName name="circle">#REF!</definedName>
    <definedName name="City">#NAME?</definedName>
    <definedName name="civ"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1">{#N/A,#N/A,TRUE,"Front";#N/A,#N/A,TRUE,"Simple Letter";#N/A,#N/A,TRUE,"Inside";#N/A,#N/A,TRUE,"Contents";#N/A,#N/A,TRUE,"Basis";#N/A,#N/A,TRUE,"Inclusions";#N/A,#N/A,TRUE,"Exclusions";#N/A,#N/A,TRUE,"Areas";#N/A,#N/A,TRUE,"Summary";#N/A,#N/A,TRUE,"Detail"}</definedName>
    <definedName name="civil_1_1">{#N/A,#N/A,TRUE,"Front";#N/A,#N/A,TRUE,"Simple Letter";#N/A,#N/A,TRUE,"Inside";#N/A,#N/A,TRUE,"Contents";#N/A,#N/A,TRUE,"Basis";#N/A,#N/A,TRUE,"Inclusions";#N/A,#N/A,TRUE,"Exclusions";#N/A,#N/A,TRUE,"Areas";#N/A,#N/A,TRUE,"Summary";#N/A,#N/A,TRUE,"Detail"}</definedName>
    <definedName name="civil_2">{#N/A,#N/A,TRUE,"Front";#N/A,#N/A,TRUE,"Simple Letter";#N/A,#N/A,TRUE,"Inside";#N/A,#N/A,TRUE,"Contents";#N/A,#N/A,TRUE,"Basis";#N/A,#N/A,TRUE,"Inclusions";#N/A,#N/A,TRUE,"Exclusions";#N/A,#N/A,TRUE,"Areas";#N/A,#N/A,TRUE,"Summary";#N/A,#N/A,TRUE,"Detail"}</definedName>
    <definedName name="civil_2_1">{#N/A,#N/A,TRUE,"Front";#N/A,#N/A,TRUE,"Simple Letter";#N/A,#N/A,TRUE,"Inside";#N/A,#N/A,TRUE,"Contents";#N/A,#N/A,TRUE,"Basis";#N/A,#N/A,TRUE,"Inclusions";#N/A,#N/A,TRUE,"Exclusions";#N/A,#N/A,TRUE,"Areas";#N/A,#N/A,TRUE,"Summary";#N/A,#N/A,TRUE,"Detail"}</definedName>
    <definedName name="civil_3">{#N/A,#N/A,TRUE,"Front";#N/A,#N/A,TRUE,"Simple Letter";#N/A,#N/A,TRUE,"Inside";#N/A,#N/A,TRUE,"Contents";#N/A,#N/A,TRUE,"Basis";#N/A,#N/A,TRUE,"Inclusions";#N/A,#N/A,TRUE,"Exclusions";#N/A,#N/A,TRUE,"Areas";#N/A,#N/A,TRUE,"Summary";#N/A,#N/A,TRUE,"Detail"}</definedName>
    <definedName name="civil_3_1">{#N/A,#N/A,TRUE,"Front";#N/A,#N/A,TRUE,"Simple Letter";#N/A,#N/A,TRUE,"Inside";#N/A,#N/A,TRUE,"Contents";#N/A,#N/A,TRUE,"Basis";#N/A,#N/A,TRUE,"Inclusions";#N/A,#N/A,TRUE,"Exclusions";#N/A,#N/A,TRUE,"Areas";#N/A,#N/A,TRUE,"Summary";#N/A,#N/A,TRUE,"Detail"}</definedName>
    <definedName name="civil1" hidden="1">{#N/A,#N/A,TRUE,"Front";#N/A,#N/A,TRUE,"Simple Letter";#N/A,#N/A,TRUE,"Inside";#N/A,#N/A,TRUE,"Contents";#N/A,#N/A,TRUE,"Basis";#N/A,#N/A,TRUE,"Inclusions";#N/A,#N/A,TRUE,"Exclusions";#N/A,#N/A,TRUE,"Areas";#N/A,#N/A,TRUE,"Summary";#N/A,#N/A,TRUE,"Detail"}</definedName>
    <definedName name="civilworks">#REF!</definedName>
    <definedName name="ckeck1">#REF!</definedName>
    <definedName name="CKECK112">#REF!</definedName>
    <definedName name="cl">#REF!</definedName>
    <definedName name="Cleaning">#REF!</definedName>
    <definedName name="Client" hidden="1">#REF!</definedName>
    <definedName name="ClientAddress1">#REF!</definedName>
    <definedName name="ClientAddress1_1">NA()</definedName>
    <definedName name="ClientAddress1_2">NA()</definedName>
    <definedName name="ClientAddress1_3">NA()</definedName>
    <definedName name="ClientAddress1_5">NA()</definedName>
    <definedName name="ClientAddress2">#REF!</definedName>
    <definedName name="ClientAddress2_1">NA()</definedName>
    <definedName name="ClientAddress2_2">NA()</definedName>
    <definedName name="ClientAddress2_3">NA()</definedName>
    <definedName name="ClientAddress2_5">NA()</definedName>
    <definedName name="ClientCity">#REF!</definedName>
    <definedName name="ClientCity_1">NA()</definedName>
    <definedName name="ClientCity_2">NA()</definedName>
    <definedName name="ClientCity_3">NA()</definedName>
    <definedName name="ClientCity_5">NA()</definedName>
    <definedName name="ClientCountry">#REF!</definedName>
    <definedName name="ClientCountry_1">NA()</definedName>
    <definedName name="ClientCountry_2">NA()</definedName>
    <definedName name="ClientCountry_3">NA()</definedName>
    <definedName name="ClientCountry_5">NA()</definedName>
    <definedName name="ClientEmail">#REF!</definedName>
    <definedName name="ClientEmail_1">NA()</definedName>
    <definedName name="ClientEmail_2">NA()</definedName>
    <definedName name="ClientEmail_3">NA()</definedName>
    <definedName name="ClientEmail_5">NA()</definedName>
    <definedName name="ClientFax">#REF!</definedName>
    <definedName name="ClientFax_1">NA()</definedName>
    <definedName name="ClientFax_2">NA()</definedName>
    <definedName name="ClientFax_3">NA()</definedName>
    <definedName name="ClientFax_5">NA()</definedName>
    <definedName name="ClientPhone">#REF!</definedName>
    <definedName name="ClientPhone_1">NA()</definedName>
    <definedName name="ClientPhone_2">NA()</definedName>
    <definedName name="ClientPhone_3">NA()</definedName>
    <definedName name="ClientPhone_5">NA()</definedName>
    <definedName name="ClientState">#REF!</definedName>
    <definedName name="ClientState_1">NA()</definedName>
    <definedName name="ClientState_2">NA()</definedName>
    <definedName name="ClientState_3">NA()</definedName>
    <definedName name="ClientState_5">NA()</definedName>
    <definedName name="ClientZip">#REF!</definedName>
    <definedName name="ClientZip_1">NA()</definedName>
    <definedName name="ClientZip_2">NA()</definedName>
    <definedName name="ClientZip_3">NA()</definedName>
    <definedName name="ClientZip_5">NA()</definedName>
    <definedName name="clintels">#REF!</definedName>
    <definedName name="clintels_1">NA()</definedName>
    <definedName name="clintels_2">NA()</definedName>
    <definedName name="clintels_3">NA()</definedName>
    <definedName name="clintels_5">NA()</definedName>
    <definedName name="clrf">#REF!</definedName>
    <definedName name="clubhouse">#REF!</definedName>
    <definedName name="CM_Ratio_1">NA()</definedName>
    <definedName name="CM_Ratio_2">NA()</definedName>
    <definedName name="CM_Ratio_3">NA()</definedName>
    <definedName name="CM_Ratio_5">NA()</definedName>
    <definedName name="Cmin" localSheetId="1" hidden="1">#REF!</definedName>
    <definedName name="Cmin" hidden="1">#REF!</definedName>
    <definedName name="CO">#REF!</definedName>
    <definedName name="CO_I">#REF!</definedName>
    <definedName name="Co_zone3">#REF!</definedName>
    <definedName name="Code" hidden="1">#REF!</definedName>
    <definedName name="CODE_1">NA()</definedName>
    <definedName name="CODE_2">NA()</definedName>
    <definedName name="CODE_3">NA()</definedName>
    <definedName name="CODE_5">NA()</definedName>
    <definedName name="coimbatore">#REF!</definedName>
    <definedName name="col">#REF!</definedName>
    <definedName name="col___0">#REF!</definedName>
    <definedName name="col___0_1">NA()</definedName>
    <definedName name="col___0_2">NA()</definedName>
    <definedName name="col___0_3">NA()</definedName>
    <definedName name="col___0_5">NA()</definedName>
    <definedName name="col___11">#REF!</definedName>
    <definedName name="col___11_1">NA()</definedName>
    <definedName name="col___11_2">NA()</definedName>
    <definedName name="col___11_3">NA()</definedName>
    <definedName name="col___11_5">NA()</definedName>
    <definedName name="col___12">#REF!</definedName>
    <definedName name="col___12_1">NA()</definedName>
    <definedName name="col___12_2">NA()</definedName>
    <definedName name="col___12_3">NA()</definedName>
    <definedName name="col___12_5">NA()</definedName>
    <definedName name="col_1">NA()</definedName>
    <definedName name="col_2">NA()</definedName>
    <definedName name="col_3">NA()</definedName>
    <definedName name="col_5">NA()</definedName>
    <definedName name="Colbgl">#REF!</definedName>
    <definedName name="Colbgl_1">NA()</definedName>
    <definedName name="Colbgl_2">NA()</definedName>
    <definedName name="Colbgl_3">NA()</definedName>
    <definedName name="Colbgl_5">NA()</definedName>
    <definedName name="colbgl2">#REF!</definedName>
    <definedName name="colbgl2_1">NA()</definedName>
    <definedName name="colbgl2_2">NA()</definedName>
    <definedName name="colbgl2_3">NA()</definedName>
    <definedName name="colbgl2_5">NA()</definedName>
    <definedName name="COLSK10">#REF!</definedName>
    <definedName name="COLSK11">#REF!</definedName>
    <definedName name="COLSK16">#REF!</definedName>
    <definedName name="colu">#REF!</definedName>
    <definedName name="columnLength">#REF!</definedName>
    <definedName name="ColumnReft">#REF!</definedName>
    <definedName name="Columns">#REF!</definedName>
    <definedName name="Columns_1">NA()</definedName>
    <definedName name="Columns_10">#REF!</definedName>
    <definedName name="Columns_11">#REF!</definedName>
    <definedName name="Columns_12">#REF!</definedName>
    <definedName name="Columns_2">NA()</definedName>
    <definedName name="Columns_20">#REF!</definedName>
    <definedName name="Columns_21">#REF!</definedName>
    <definedName name="Columns_24">#REF!</definedName>
    <definedName name="Columns_25">#REF!</definedName>
    <definedName name="Columns_26">#REF!</definedName>
    <definedName name="Columns_27">#REF!</definedName>
    <definedName name="Columns_28">#REF!</definedName>
    <definedName name="Columns_29">#REF!</definedName>
    <definedName name="Columns_3">NA()</definedName>
    <definedName name="Columns_30">#REF!</definedName>
    <definedName name="Columns_31">#REF!</definedName>
    <definedName name="Columns_32">#REF!</definedName>
    <definedName name="Columns_33">#REF!</definedName>
    <definedName name="Columns_34">#REF!</definedName>
    <definedName name="Columns_35">#REF!</definedName>
    <definedName name="Columns_36">#REF!</definedName>
    <definedName name="Columns_37">#REF!</definedName>
    <definedName name="Columns_38">#REF!</definedName>
    <definedName name="Columns_39">#REF!</definedName>
    <definedName name="Columns_40">#REF!</definedName>
    <definedName name="Columns_41">#REF!</definedName>
    <definedName name="Columns_42">#REF!</definedName>
    <definedName name="Columns_43">#REF!</definedName>
    <definedName name="Columns_44">#REF!</definedName>
    <definedName name="Columns_45">#REF!</definedName>
    <definedName name="Columns_46">#REF!</definedName>
    <definedName name="Columns_47">#REF!</definedName>
    <definedName name="Columns_48">#REF!</definedName>
    <definedName name="Columns_49">#REF!</definedName>
    <definedName name="Columns_5">NA()</definedName>
    <definedName name="Columns_50">#REF!</definedName>
    <definedName name="Columns_51">#REF!</definedName>
    <definedName name="Columns_52">#REF!</definedName>
    <definedName name="Columns_53">#REF!</definedName>
    <definedName name="Columns_55">#REF!</definedName>
    <definedName name="Columns_56">#REF!</definedName>
    <definedName name="Columns_57">#REF!</definedName>
    <definedName name="Columns_61">#REF!</definedName>
    <definedName name="Columns_62">#REF!</definedName>
    <definedName name="Columns_63">#REF!</definedName>
    <definedName name="Columns_64">#REF!</definedName>
    <definedName name="Columns_65">#REF!</definedName>
    <definedName name="Columns_66">#REF!</definedName>
    <definedName name="Columns_8">#REF!</definedName>
    <definedName name="Columns_9">#REF!</definedName>
    <definedName name="com" hidden="1">{#N/A,#N/A,TRUE,"Front";#N/A,#N/A,TRUE,"Simple Letter";#N/A,#N/A,TRUE,"Inside";#N/A,#N/A,TRUE,"Contents";#N/A,#N/A,TRUE,"Basis";#N/A,#N/A,TRUE,"Inclusions";#N/A,#N/A,TRUE,"Exclusions";#N/A,#N/A,TRUE,"Areas";#N/A,#N/A,TRUE,"Summary";#N/A,#N/A,TRUE,"Detail"}</definedName>
    <definedName name="Comments">#REF!</definedName>
    <definedName name="Company">#REF!</definedName>
    <definedName name="Company_1">NA()</definedName>
    <definedName name="Company_2">NA()</definedName>
    <definedName name="Company_3">NA()</definedName>
    <definedName name="Company_5">NA()</definedName>
    <definedName name="CompanyInfo1">"JCI"</definedName>
    <definedName name="CompanyInfo2">"JCI"</definedName>
    <definedName name="CompanyName2" hidden="1">#REF!</definedName>
    <definedName name="COMPARISON" hidden="1">{#N/A,#N/A,FALSE,"mpph1";#N/A,#N/A,FALSE,"mpmseb";#N/A,#N/A,FALSE,"mpph2"}</definedName>
    <definedName name="CompDate">#REF!</definedName>
    <definedName name="CompDate_4">#REF!</definedName>
    <definedName name="CompDate_6">#REF!</definedName>
    <definedName name="CompRange" hidden="1">#N/A</definedName>
    <definedName name="CompRange1" hidden="1">#N/A</definedName>
    <definedName name="CompRange2" hidden="1">#N/A</definedName>
    <definedName name="Con">0.03</definedName>
    <definedName name="conanalysis" hidden="1">{#N/A,#N/A,TRUE,"Front";#N/A,#N/A,TRUE,"Simple Letter";#N/A,#N/A,TRUE,"Inside";#N/A,#N/A,TRUE,"Contents";#N/A,#N/A,TRUE,"Basis";#N/A,#N/A,TRUE,"Inclusions";#N/A,#N/A,TRUE,"Exclusions";#N/A,#N/A,TRUE,"Areas";#N/A,#N/A,TRUE,"Summary";#N/A,#N/A,TRUE,"Detail"}</definedName>
    <definedName name="conc\">#N/A</definedName>
    <definedName name="CONCANA">#N/A</definedName>
    <definedName name="CONCIL">#N/A</definedName>
    <definedName name="concondition">#N/A</definedName>
    <definedName name="CONCRETE">#REF!</definedName>
    <definedName name="CONCRETE_5">"'file:///g:/ra%20bill%20corrected%20at%20home/ra%20bill%20%252525252525252525252525252525252525252525252525252525252525252525252525252525252525252525252523%2010%20corrected%20(%20r%20p%20)/ibis%20hotel%20project-ra%20bills/ibis-ra-08(blk%20submit).xls'#$'"</definedName>
    <definedName name="CONCRETE_6">"'file:///g:/ra%20bill%20corrected%20at%20home/ra%20bill%20%252525252525252525252525252525252525252525252525252525252525252525252525252525252525252525252523%2010%20corrected%20(%20r%20p%20)/ibis%20hotel%20project-ra%20bills/ibis-ra-08(blk%20submit).xls'#$'"</definedName>
    <definedName name="concrete_dept_lbr_productivity">#REF!</definedName>
    <definedName name="concretor">#REF!</definedName>
    <definedName name="condf">#REF!</definedName>
    <definedName name="condf_15">"$#REF!.$#REF!$#REF!"</definedName>
    <definedName name="condf_3">"$#REF!.$#REF!$#REF!"</definedName>
    <definedName name="condf_4">"$#REF!.$#REF!$#REF!"</definedName>
    <definedName name="condf_5">NA()</definedName>
    <definedName name="condf_6">"$#REF!.$#REF!$#REF!"</definedName>
    <definedName name="conf">#REF!</definedName>
    <definedName name="conf_15">"$#REF!.$#REF!$#REF!"</definedName>
    <definedName name="conf_3">"$#REF!.$#REF!$#REF!"</definedName>
    <definedName name="conf_4">#REF!</definedName>
    <definedName name="conf_5">NA()</definedName>
    <definedName name="conf_6">#REF!</definedName>
    <definedName name="config_5">NA()</definedName>
    <definedName name="confli">#REF!</definedName>
    <definedName name="_xlnm.Consolidate_Area">#N/A</definedName>
    <definedName name="constrn">#REF!</definedName>
    <definedName name="Construction_Period">#REF!</definedName>
    <definedName name="Construction_Period_1">NA()</definedName>
    <definedName name="Construction_Period_2">NA()</definedName>
    <definedName name="Construction_Period_3">NA()</definedName>
    <definedName name="Construction_Period_5">NA()</definedName>
    <definedName name="CONT">#REF!</definedName>
    <definedName name="Contact">#REF!</definedName>
    <definedName name="Contact_1">NA()</definedName>
    <definedName name="Contact_2">NA()</definedName>
    <definedName name="Contact_3">NA()</definedName>
    <definedName name="Contact_5">NA()</definedName>
    <definedName name="ContAmt">#REF!</definedName>
    <definedName name="ContAmt_4">#REF!</definedName>
    <definedName name="ContAmt_6">#REF!</definedName>
    <definedName name="Contra" hidden="1">{#N/A,#N/A,TRUE,"Front";#N/A,#N/A,TRUE,"Simple Letter";#N/A,#N/A,TRUE,"Inside";#N/A,#N/A,TRUE,"Contents";#N/A,#N/A,TRUE,"Basis";#N/A,#N/A,TRUE,"Inclusions";#N/A,#N/A,TRUE,"Exclusions";#N/A,#N/A,TRUE,"Areas";#N/A,#N/A,TRUE,"Summary";#N/A,#N/A,TRUE,"Detail"}</definedName>
    <definedName name="Contract_VSA">#REF!</definedName>
    <definedName name="Contractdetors" hidden="1">{#N/A,#N/A,TRUE,"Front";#N/A,#N/A,TRUE,"Simple Letter";#N/A,#N/A,TRUE,"Inside";#N/A,#N/A,TRUE,"Contents";#N/A,#N/A,TRUE,"Basis";#N/A,#N/A,TRUE,"Inclusions";#N/A,#N/A,TRUE,"Exclusions";#N/A,#N/A,TRUE,"Areas";#N/A,#N/A,TRUE,"Summary";#N/A,#N/A,TRUE,"Detail"}</definedName>
    <definedName name="ContractName">"Contract"</definedName>
    <definedName name="ContractNumber">"88888888"</definedName>
    <definedName name="ContractorProfit">12/100</definedName>
    <definedName name="ContWithAcct">#REF!</definedName>
    <definedName name="ContWithAcct_4">#REF!</definedName>
    <definedName name="ContWithAcct_6">#REF!</definedName>
    <definedName name="ContWithName">#REF!</definedName>
    <definedName name="ContWithName_4">#REF!</definedName>
    <definedName name="ContWithName_6">#REF!</definedName>
    <definedName name="ContWithPrio">#REF!</definedName>
    <definedName name="ContWithPrio_4">#REF!</definedName>
    <definedName name="ContWithPrio_6">#REF!</definedName>
    <definedName name="ContWithPrio_Text">#REF!</definedName>
    <definedName name="ContWithPrio_Text_4">#REF!</definedName>
    <definedName name="ContWithPrio_Text_6">#REF!</definedName>
    <definedName name="CONum">#REF!</definedName>
    <definedName name="CONum_4">#REF!</definedName>
    <definedName name="CONum_6">#REF!</definedName>
    <definedName name="Conversion1">#REF!</definedName>
    <definedName name="Conversion2">#REF!</definedName>
    <definedName name="copy" hidden="1">#REF!</definedName>
    <definedName name="copy2" hidden="1">#REF!</definedName>
    <definedName name="cord">#REF!</definedName>
    <definedName name="cord_15">"$#REF!.$#REF!$#REF!"</definedName>
    <definedName name="cord_3">"$#REF!.$#REF!$#REF!"</definedName>
    <definedName name="cord_4">"$#REF!.$#REF!$#REF!"</definedName>
    <definedName name="cord_5">NA()</definedName>
    <definedName name="cord_6">"$#REF!.$#REF!$#REF!"</definedName>
    <definedName name="Core">#REF!</definedName>
    <definedName name="CorpClient">#REF!</definedName>
    <definedName name="CorpClient_6">#REF!</definedName>
    <definedName name="CorpClient_Text">#REF!</definedName>
    <definedName name="CorpClient_Text_4">#REF!</definedName>
    <definedName name="CorpClient_Text_6">#REF!</definedName>
    <definedName name="CorridorArea">#REF!</definedName>
    <definedName name="CorridorPerimeter">#REF!</definedName>
    <definedName name="COS">#N/A</definedName>
    <definedName name="COS_UC">#N/A</definedName>
    <definedName name="cost" hidden="1">{#N/A,#N/A,TRUE,"Front";#N/A,#N/A,TRUE,"Simple Letter";#N/A,#N/A,TRUE,"Inside";#N/A,#N/A,TRUE,"Contents";#N/A,#N/A,TRUE,"Basis";#N/A,#N/A,TRUE,"Inclusions";#N/A,#N/A,TRUE,"Exclusions";#N/A,#N/A,TRUE,"Areas";#N/A,#N/A,TRUE,"Summary";#N/A,#N/A,TRUE,"Detail"}</definedName>
    <definedName name="cost_15">"$#REF!.$#REF!$#REF!"</definedName>
    <definedName name="cost_3">"$#REF!.$#REF!$#REF!"</definedName>
    <definedName name="cost_4">"$#REF!.$#REF!$#REF!"</definedName>
    <definedName name="cost_5">NA()</definedName>
    <definedName name="cost_6">"$#REF!.$#REF!$#REF!"</definedName>
    <definedName name="Cost_code">#REF!</definedName>
    <definedName name="cost_decline">(1-15%/4)</definedName>
    <definedName name="cost_estimate_B">#REF!</definedName>
    <definedName name="Cost10">#REF!</definedName>
    <definedName name="costcomparision" hidden="1">{#N/A,#N/A,TRUE,"Front";#N/A,#N/A,TRUE,"Simple Letter";#N/A,#N/A,TRUE,"Inside";#N/A,#N/A,TRUE,"Contents";#N/A,#N/A,TRUE,"Basis";#N/A,#N/A,TRUE,"Inclusions";#N/A,#N/A,TRUE,"Exclusions";#N/A,#N/A,TRUE,"Areas";#N/A,#N/A,TRUE,"Summary";#N/A,#N/A,TRUE,"Detail"}</definedName>
    <definedName name="costing">#REF!</definedName>
    <definedName name="COU">#REF!</definedName>
    <definedName name="COU___0">#REF!</definedName>
    <definedName name="COU___0_1">NA()</definedName>
    <definedName name="COU___0_2">NA()</definedName>
    <definedName name="COU___0_3">NA()</definedName>
    <definedName name="COU___0_5">NA()</definedName>
    <definedName name="COU___13">#REF!</definedName>
    <definedName name="COU___13_1">NA()</definedName>
    <definedName name="COU___13_2">NA()</definedName>
    <definedName name="COU___13_3">NA()</definedName>
    <definedName name="COU___13_5">NA()</definedName>
    <definedName name="COU_1">NA()</definedName>
    <definedName name="COU_2">NA()</definedName>
    <definedName name="COU_3">NA()</definedName>
    <definedName name="COU_5">NA()</definedName>
    <definedName name="Country">#REF!</definedName>
    <definedName name="cp">0.2</definedName>
    <definedName name="CP_13">#REF!</definedName>
    <definedName name="cpcl">#REF!</definedName>
    <definedName name="cpcl26.4">#REF!</definedName>
    <definedName name="cpcl26.4mldnew">#REF!</definedName>
    <definedName name="cr_tender_qty_1_new_main">#REF!</definedName>
    <definedName name="cre">#REF!</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#REF!</definedName>
    <definedName name="Cs___0">#REF!</definedName>
    <definedName name="Cs___0_1">NA()</definedName>
    <definedName name="Cs___0_2">NA()</definedName>
    <definedName name="Cs___0_3">NA()</definedName>
    <definedName name="Cs___0_5">NA()</definedName>
    <definedName name="Cs___13">#REF!</definedName>
    <definedName name="Cs___13_1">NA()</definedName>
    <definedName name="Cs___13_2">NA()</definedName>
    <definedName name="Cs___13_3">NA()</definedName>
    <definedName name="Cs___13_5">NA()</definedName>
    <definedName name="Cs_1">NA()</definedName>
    <definedName name="Cs_2">NA()</definedName>
    <definedName name="Cs_3">NA()</definedName>
    <definedName name="Cs_5">NA()</definedName>
    <definedName name="CSDCSDSAS" hidden="1">#REF!</definedName>
    <definedName name="csshade">#REF!</definedName>
    <definedName name="csshade_1">NA()</definedName>
    <definedName name="csshade_2">NA()</definedName>
    <definedName name="csshade_3">NA()</definedName>
    <definedName name="csshade_5">NA()</definedName>
    <definedName name="cst">#REF!</definedName>
    <definedName name="cst_1">NA()</definedName>
    <definedName name="cst_2">NA()</definedName>
    <definedName name="cst_3">NA()</definedName>
    <definedName name="cst_5">NA()</definedName>
    <definedName name="cstf">#REF!</definedName>
    <definedName name="CT">#N/A</definedName>
    <definedName name="ctl">#REF!</definedName>
    <definedName name="cu">"Cum"</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m_Int">#REF!</definedName>
    <definedName name="cumi">#REF!</definedName>
    <definedName name="cummeas_may1006">#REF!</definedName>
    <definedName name="cummeas_may1006_15">"$#REF!.$#REF!$#REF!"</definedName>
    <definedName name="cummeas_may1006_3">"$#REF!.$#REF!$#REF!"</definedName>
    <definedName name="cummeas_may1006_4">"$#REF!.$#REF!$#REF!"</definedName>
    <definedName name="cummeas_may1006_5">NA()</definedName>
    <definedName name="cummeas_may1006_6">"$#REF!.$#REF!$#REF!"</definedName>
    <definedName name="cummeas_up_to_mar">#REF!</definedName>
    <definedName name="cummeas_up_to_mar_15">"$#REF!.$#REF!$#REF!"</definedName>
    <definedName name="cummeas_up_to_mar_3">"$#REF!.$#REF!$#REF!"</definedName>
    <definedName name="cummeas_up_to_mar_4">"$#REF!.$#REF!$#REF!"</definedName>
    <definedName name="cummeas_up_to_mar_5">NA()</definedName>
    <definedName name="cummeas_up_to_mar_6">"$#REF!.$#REF!$#REF!"</definedName>
    <definedName name="CURR">#REF!</definedName>
    <definedName name="CURR_4">#REF!</definedName>
    <definedName name="CURR_6">#REF!</definedName>
    <definedName name="curr_liab_prov">#REF!</definedName>
    <definedName name="Currencyfield">#REF!</definedName>
    <definedName name="CurrencyRate">#REF!</definedName>
    <definedName name="CurrencyRate_4">#REF!</definedName>
    <definedName name="CurrencyRate_6">#REF!</definedName>
    <definedName name="currencytype">#REF!</definedName>
    <definedName name="current1">#REF!</definedName>
    <definedName name="current1_1">NA()</definedName>
    <definedName name="current1_2">NA()</definedName>
    <definedName name="current1_3">NA()</definedName>
    <definedName name="current1_5">NA()</definedName>
    <definedName name="current2">#REF!</definedName>
    <definedName name="current2_1">NA()</definedName>
    <definedName name="current2_2">NA()</definedName>
    <definedName name="current2_3">NA()</definedName>
    <definedName name="current2_5">NA()</definedName>
    <definedName name="current3">#REF!</definedName>
    <definedName name="current3_1">NA()</definedName>
    <definedName name="current3_2">NA()</definedName>
    <definedName name="current3_3">NA()</definedName>
    <definedName name="current3_5">NA()</definedName>
    <definedName name="current4">#REF!</definedName>
    <definedName name="current4_1">NA()</definedName>
    <definedName name="current4_2">NA()</definedName>
    <definedName name="current4_3">NA()</definedName>
    <definedName name="current4_5">NA()</definedName>
    <definedName name="current5">#REF!</definedName>
    <definedName name="current5_1">NA()</definedName>
    <definedName name="current5_2">NA()</definedName>
    <definedName name="current5_3">NA()</definedName>
    <definedName name="current5_5">NA()</definedName>
    <definedName name="curve">#N/A</definedName>
    <definedName name="custom1">#REF!</definedName>
    <definedName name="CustomDuty">#REF!</definedName>
    <definedName name="Customer">" "</definedName>
    <definedName name="cutoffwall">#REF!</definedName>
    <definedName name="cutoutArea">#REF!</definedName>
    <definedName name="cutoutPerimeter">#REF!</definedName>
    <definedName name="CV" hidden="1">#NAME?</definedName>
    <definedName name="cv_100">#REF!</definedName>
    <definedName name="cv_150">#REF!</definedName>
    <definedName name="cv_200">#REF!</definedName>
    <definedName name="cv_25">#REF!</definedName>
    <definedName name="cv_250">#REF!</definedName>
    <definedName name="cv_300">#REF!</definedName>
    <definedName name="cv_32">#REF!</definedName>
    <definedName name="cv_40">#REF!</definedName>
    <definedName name="cv_400">#REF!</definedName>
    <definedName name="cv_50">#REF!</definedName>
    <definedName name="cv_500">#REF!</definedName>
    <definedName name="cv_65">#REF!</definedName>
    <definedName name="cv_80">#REF!</definedName>
    <definedName name="cvdf">#REF!</definedName>
    <definedName name="cvv">#N/A</definedName>
    <definedName name="CVXCVSA">#REF!</definedName>
    <definedName name="cx" hidden="1">{#N/A,#N/A,TRUE,"Front";#N/A,#N/A,TRUE,"Simple Letter";#N/A,#N/A,TRUE,"Inside";#N/A,#N/A,TRUE,"Contents";#N/A,#N/A,TRUE,"Basis";#N/A,#N/A,TRUE,"Inclusions";#N/A,#N/A,TRUE,"Exclusions";#N/A,#N/A,TRUE,"Areas";#N/A,#N/A,TRUE,"Summary";#N/A,#N/A,TRUE,"Detail"}</definedName>
    <definedName name="CZ" hidden="1">{#N/A,#N/A,TRUE,"Front";#N/A,#N/A,TRUE,"Simple Letter";#N/A,#N/A,TRUE,"Inside";#N/A,#N/A,TRUE,"Contents";#N/A,#N/A,TRUE,"Basis";#N/A,#N/A,TRUE,"Inclusions";#N/A,#N/A,TRUE,"Exclusions";#N/A,#N/A,TRUE,"Areas";#N/A,#N/A,TRUE,"Summary";#N/A,#N/A,TRUE,"Detail"}</definedName>
    <definedName name="czxz">#N/A</definedName>
    <definedName name="D">#N/A</definedName>
    <definedName name="d.nos">#REF!</definedName>
    <definedName name="D_">#REF!</definedName>
    <definedName name="d___0">#REF!</definedName>
    <definedName name="d___0_1">NA()</definedName>
    <definedName name="d___0_2">NA()</definedName>
    <definedName name="d___0_3">NA()</definedName>
    <definedName name="d___0_5">NA()</definedName>
    <definedName name="d___13">#REF!</definedName>
    <definedName name="d___13_1">NA()</definedName>
    <definedName name="d___13_2">NA()</definedName>
    <definedName name="d___13_3">NA()</definedName>
    <definedName name="d___13_5">NA()</definedName>
    <definedName name="D_1">NA()</definedName>
    <definedName name="D_2">NA()</definedName>
    <definedName name="D_3">NA()</definedName>
    <definedName name="D_5">NA()</definedName>
    <definedName name="D206xE206_11">"'smb://Venkat/WORKINGS%252520(E)/My%252520Documents/zero.xls'#$'p&amp;m'.$H$264:'smb://Venkat/WORKINGS%252520(E)/My%252520Documents/zero.xls'#$'p&amp;m'.$H$264"</definedName>
    <definedName name="d31z" hidden="1">{#N/A,#N/A,FALSE,"mgtsum.XLS";#N/A,#N/A,FALSE,"CAPONE";#N/A,#N/A,FALSE,"CAPTWO";#N/A,#N/A,FALSE,"CAPTHREE"}</definedName>
    <definedName name="da" hidden="1">#REF!</definedName>
    <definedName name="dad">#REF!</definedName>
    <definedName name="DAdsaD" hidden="1">#REF!</definedName>
    <definedName name="DAF" hidden="1">{#N/A,#N/A,TRUE,"Front";#N/A,#N/A,TRUE,"Simple Letter";#N/A,#N/A,TRUE,"Inside";#N/A,#N/A,TRUE,"Contents";#N/A,#N/A,TRUE,"Basis";#N/A,#N/A,TRUE,"Inclusions";#N/A,#N/A,TRUE,"Exclusions";#N/A,#N/A,TRUE,"Areas";#N/A,#N/A,TRUE,"Summary";#N/A,#N/A,TRUE,"Detail"}</definedName>
    <definedName name="Daff">#REF!</definedName>
    <definedName name="DAK">#REF!</definedName>
    <definedName name="DAKS">#REF!</definedName>
    <definedName name="DAKSH">#REF!</definedName>
    <definedName name="dasd" hidden="1">{"'Bill No. 7'!$A$1:$G$32"}</definedName>
    <definedName name="Data">#REF!</definedName>
    <definedName name="Data.Dump" hidden="1">OFFSET(Data.Top.Left,1,0)</definedName>
    <definedName name="Data_1">"$#REF!.$A$18:$I$389"</definedName>
    <definedName name="data1" hidden="1">#REF!</definedName>
    <definedName name="DATA10">#N/A</definedName>
    <definedName name="DATA10_1">NA()</definedName>
    <definedName name="DATA10_2">NA()</definedName>
    <definedName name="DATA10_3">NA()</definedName>
    <definedName name="DATA10_5">NA()</definedName>
    <definedName name="DATA10_6">NA()</definedName>
    <definedName name="DATA100">#N/A</definedName>
    <definedName name="DATA100_1">NA()</definedName>
    <definedName name="DATA100_2">NA()</definedName>
    <definedName name="DATA100_3">NA()</definedName>
    <definedName name="DATA100_5">NA()</definedName>
    <definedName name="DATA100_6">NA()</definedName>
    <definedName name="DATA1011">#N/A</definedName>
    <definedName name="DATA1011_1">NA()</definedName>
    <definedName name="DATA1011_2">NA()</definedName>
    <definedName name="DATA1011_3">NA()</definedName>
    <definedName name="DATA1011_5">NA()</definedName>
    <definedName name="DATA1011_6">NA()</definedName>
    <definedName name="DATA1012">#N/A</definedName>
    <definedName name="DATA1012_1">NA()</definedName>
    <definedName name="DATA1012_2">NA()</definedName>
    <definedName name="DATA1012_3">NA()</definedName>
    <definedName name="DATA1012_5">NA()</definedName>
    <definedName name="DATA1012_6">NA()</definedName>
    <definedName name="DATA1013">#N/A</definedName>
    <definedName name="DATA1013_1">NA()</definedName>
    <definedName name="DATA1013_2">NA()</definedName>
    <definedName name="DATA1013_3">NA()</definedName>
    <definedName name="DATA1013_5">NA()</definedName>
    <definedName name="DATA1013_6">NA()</definedName>
    <definedName name="DATA1014">#N/A</definedName>
    <definedName name="DATA1014_1">NA()</definedName>
    <definedName name="DATA1014_2">NA()</definedName>
    <definedName name="DATA1014_3">NA()</definedName>
    <definedName name="DATA1014_5">NA()</definedName>
    <definedName name="DATA1014_6">NA()</definedName>
    <definedName name="DATA1015">#N/A</definedName>
    <definedName name="DATA1015_1">NA()</definedName>
    <definedName name="DATA1015_2">NA()</definedName>
    <definedName name="DATA1015_3">NA()</definedName>
    <definedName name="DATA1015_5">NA()</definedName>
    <definedName name="DATA1015_6">NA()</definedName>
    <definedName name="DATA102">#N/A</definedName>
    <definedName name="DATA102_1">NA()</definedName>
    <definedName name="DATA102_2">NA()</definedName>
    <definedName name="DATA102_3">NA()</definedName>
    <definedName name="DATA102_5">NA()</definedName>
    <definedName name="DATA102_6">NA()</definedName>
    <definedName name="DATA103">#N/A</definedName>
    <definedName name="DATA103_1">NA()</definedName>
    <definedName name="DATA103_2">NA()</definedName>
    <definedName name="DATA103_3">NA()</definedName>
    <definedName name="DATA103_5">NA()</definedName>
    <definedName name="DATA103_6">NA()</definedName>
    <definedName name="DATA104">#N/A</definedName>
    <definedName name="DATA104_1">NA()</definedName>
    <definedName name="DATA104_2">NA()</definedName>
    <definedName name="DATA104_3">NA()</definedName>
    <definedName name="DATA104_5">NA()</definedName>
    <definedName name="DATA104_6">NA()</definedName>
    <definedName name="DATA105">#N/A</definedName>
    <definedName name="DATA105_1">NA()</definedName>
    <definedName name="DATA105_2">NA()</definedName>
    <definedName name="DATA105_3">NA()</definedName>
    <definedName name="DATA105_5">NA()</definedName>
    <definedName name="DATA105_6">NA()</definedName>
    <definedName name="DATA106">#N/A</definedName>
    <definedName name="DATA106_1">NA()</definedName>
    <definedName name="DATA106_2">NA()</definedName>
    <definedName name="DATA106_3">NA()</definedName>
    <definedName name="DATA106_5">NA()</definedName>
    <definedName name="DATA106_6">NA()</definedName>
    <definedName name="DATA107A">#N/A</definedName>
    <definedName name="DATA107A_1">NA()</definedName>
    <definedName name="DATA107A_2">NA()</definedName>
    <definedName name="DATA107A_3">NA()</definedName>
    <definedName name="DATA107A_5">NA()</definedName>
    <definedName name="DATA107A_6">NA()</definedName>
    <definedName name="DATA107B">#N/A</definedName>
    <definedName name="DATA107B_1">NA()</definedName>
    <definedName name="DATA107B_2">NA()</definedName>
    <definedName name="DATA107B_3">NA()</definedName>
    <definedName name="DATA107B_5">NA()</definedName>
    <definedName name="DATA107B_6">NA()</definedName>
    <definedName name="DATA107C">#N/A</definedName>
    <definedName name="DATA107C_1">NA()</definedName>
    <definedName name="DATA107C_2">NA()</definedName>
    <definedName name="DATA107C_3">NA()</definedName>
    <definedName name="DATA107C_5">NA()</definedName>
    <definedName name="DATA107C_6">NA()</definedName>
    <definedName name="DATA107D">#N/A</definedName>
    <definedName name="DATA107D_1">NA()</definedName>
    <definedName name="DATA107D_2">NA()</definedName>
    <definedName name="DATA107D_3">NA()</definedName>
    <definedName name="DATA107D_5">NA()</definedName>
    <definedName name="DATA107D_6">NA()</definedName>
    <definedName name="DATA107E">#N/A</definedName>
    <definedName name="DATA107E_1">NA()</definedName>
    <definedName name="DATA107E_2">NA()</definedName>
    <definedName name="DATA107E_3">NA()</definedName>
    <definedName name="DATA107E_5">NA()</definedName>
    <definedName name="DATA107E_6">NA()</definedName>
    <definedName name="DATA107F">#N/A</definedName>
    <definedName name="DATA107F_1">NA()</definedName>
    <definedName name="DATA107F_2">NA()</definedName>
    <definedName name="DATA107F_3">NA()</definedName>
    <definedName name="DATA107F_5">NA()</definedName>
    <definedName name="DATA107F_6">NA()</definedName>
    <definedName name="DATA107G">#N/A</definedName>
    <definedName name="DATA107G_1">NA()</definedName>
    <definedName name="DATA107G_2">NA()</definedName>
    <definedName name="DATA107G_3">NA()</definedName>
    <definedName name="DATA107G_5">NA()</definedName>
    <definedName name="DATA107G_6">NA()</definedName>
    <definedName name="DATA108A">#N/A</definedName>
    <definedName name="DATA108A_1">NA()</definedName>
    <definedName name="DATA108A_2">NA()</definedName>
    <definedName name="DATA108A_3">NA()</definedName>
    <definedName name="DATA108A_5">NA()</definedName>
    <definedName name="DATA108A_6">NA()</definedName>
    <definedName name="DATA108B">#N/A</definedName>
    <definedName name="DATA108B_1">NA()</definedName>
    <definedName name="DATA108B_2">NA()</definedName>
    <definedName name="DATA108B_3">NA()</definedName>
    <definedName name="DATA108B_5">NA()</definedName>
    <definedName name="DATA108B_6">NA()</definedName>
    <definedName name="DATA108C">#N/A</definedName>
    <definedName name="DATA108C_1">NA()</definedName>
    <definedName name="DATA108C_2">NA()</definedName>
    <definedName name="DATA108C_3">NA()</definedName>
    <definedName name="DATA108C_5">NA()</definedName>
    <definedName name="DATA108C_6">NA()</definedName>
    <definedName name="DATA108D">#N/A</definedName>
    <definedName name="DATA108D_1">NA()</definedName>
    <definedName name="DATA108D_2">NA()</definedName>
    <definedName name="DATA108D_3">NA()</definedName>
    <definedName name="DATA108D_5">NA()</definedName>
    <definedName name="DATA108D_6">NA()</definedName>
    <definedName name="DATA108E">#N/A</definedName>
    <definedName name="DATA108E_1">NA()</definedName>
    <definedName name="DATA108E_2">NA()</definedName>
    <definedName name="DATA108E_3">NA()</definedName>
    <definedName name="DATA108E_5">NA()</definedName>
    <definedName name="DATA108E_6">NA()</definedName>
    <definedName name="DATA108F">#N/A</definedName>
    <definedName name="DATA108F_1">NA()</definedName>
    <definedName name="DATA108F_2">NA()</definedName>
    <definedName name="DATA108F_3">NA()</definedName>
    <definedName name="DATA108F_5">NA()</definedName>
    <definedName name="DATA108F_6">NA()</definedName>
    <definedName name="DATA108G">#N/A</definedName>
    <definedName name="DATA108G_1">NA()</definedName>
    <definedName name="DATA108G_2">NA()</definedName>
    <definedName name="DATA108G_3">NA()</definedName>
    <definedName name="DATA108G_5">NA()</definedName>
    <definedName name="DATA108G_6">NA()</definedName>
    <definedName name="DATA108H">#N/A</definedName>
    <definedName name="DATA108H_1">NA()</definedName>
    <definedName name="DATA108H_2">NA()</definedName>
    <definedName name="DATA108H_3">NA()</definedName>
    <definedName name="DATA108H_5">NA()</definedName>
    <definedName name="DATA108H_6">NA()</definedName>
    <definedName name="DATA108I">#N/A</definedName>
    <definedName name="DATA108I_1">NA()</definedName>
    <definedName name="DATA108I_2">NA()</definedName>
    <definedName name="DATA108I_3">NA()</definedName>
    <definedName name="DATA108I_5">NA()</definedName>
    <definedName name="DATA108I_6">NA()</definedName>
    <definedName name="DATA108J">#N/A</definedName>
    <definedName name="DATA108J_1">NA()</definedName>
    <definedName name="DATA108J_2">NA()</definedName>
    <definedName name="DATA108J_3">NA()</definedName>
    <definedName name="DATA108J_5">NA()</definedName>
    <definedName name="DATA108J_6">NA()</definedName>
    <definedName name="DATA108K">#N/A</definedName>
    <definedName name="DATA108K_1">NA()</definedName>
    <definedName name="DATA108K_2">NA()</definedName>
    <definedName name="DATA108K_3">NA()</definedName>
    <definedName name="DATA108K_5">NA()</definedName>
    <definedName name="DATA108K_6">NA()</definedName>
    <definedName name="DATA108L">#N/A</definedName>
    <definedName name="DATA108L_1">NA()</definedName>
    <definedName name="DATA108L_2">NA()</definedName>
    <definedName name="DATA108L_3">NA()</definedName>
    <definedName name="DATA108L_5">NA()</definedName>
    <definedName name="DATA108L_6">NA()</definedName>
    <definedName name="DATA108M">#N/A</definedName>
    <definedName name="DATA108M_1">NA()</definedName>
    <definedName name="DATA108M_2">NA()</definedName>
    <definedName name="DATA108M_3">NA()</definedName>
    <definedName name="DATA108M_5">NA()</definedName>
    <definedName name="DATA108M_6">NA()</definedName>
    <definedName name="DATA108N">#N/A</definedName>
    <definedName name="DATA108N_1">NA()</definedName>
    <definedName name="DATA108N_2">NA()</definedName>
    <definedName name="DATA108N_3">NA()</definedName>
    <definedName name="DATA108N_5">NA()</definedName>
    <definedName name="DATA108N_6">NA()</definedName>
    <definedName name="DATA108O">#N/A</definedName>
    <definedName name="DATA108O_1">NA()</definedName>
    <definedName name="DATA108O_2">NA()</definedName>
    <definedName name="DATA108O_3">NA()</definedName>
    <definedName name="DATA108O_5">NA()</definedName>
    <definedName name="DATA108O_6">NA()</definedName>
    <definedName name="DATA108P">#N/A</definedName>
    <definedName name="DATA108P_1">NA()</definedName>
    <definedName name="DATA108P_2">NA()</definedName>
    <definedName name="DATA108P_3">NA()</definedName>
    <definedName name="DATA108P_5">NA()</definedName>
    <definedName name="DATA108P_6">NA()</definedName>
    <definedName name="DATA109A">#N/A</definedName>
    <definedName name="DATA109A_1">NA()</definedName>
    <definedName name="DATA109A_2">NA()</definedName>
    <definedName name="DATA109A_3">NA()</definedName>
    <definedName name="DATA109A_5">NA()</definedName>
    <definedName name="DATA109A_6">NA()</definedName>
    <definedName name="DATA109B">#N/A</definedName>
    <definedName name="DATA109B_1">NA()</definedName>
    <definedName name="DATA109B_2">NA()</definedName>
    <definedName name="DATA109B_3">NA()</definedName>
    <definedName name="DATA109B_5">NA()</definedName>
    <definedName name="DATA109B_6">NA()</definedName>
    <definedName name="DATA109C">#N/A</definedName>
    <definedName name="DATA109C_1">NA()</definedName>
    <definedName name="DATA109C_2">NA()</definedName>
    <definedName name="DATA109C_3">NA()</definedName>
    <definedName name="DATA109C_5">NA()</definedName>
    <definedName name="DATA109C_6">NA()</definedName>
    <definedName name="DATA109D">#N/A</definedName>
    <definedName name="DATA109D_1">NA()</definedName>
    <definedName name="DATA109D_2">NA()</definedName>
    <definedName name="DATA109D_3">NA()</definedName>
    <definedName name="DATA109D_5">NA()</definedName>
    <definedName name="DATA109D_6">NA()</definedName>
    <definedName name="DATA109E">#N/A</definedName>
    <definedName name="DATA109E_1">NA()</definedName>
    <definedName name="DATA109E_2">NA()</definedName>
    <definedName name="DATA109E_3">NA()</definedName>
    <definedName name="DATA109E_5">NA()</definedName>
    <definedName name="DATA109E_6">NA()</definedName>
    <definedName name="DATA109F">#N/A</definedName>
    <definedName name="DATA109F_1">NA()</definedName>
    <definedName name="DATA109F_2">NA()</definedName>
    <definedName name="DATA109F_3">NA()</definedName>
    <definedName name="DATA109F_5">NA()</definedName>
    <definedName name="DATA109F_6">NA()</definedName>
    <definedName name="DATA109G">#N/A</definedName>
    <definedName name="DATA109G_1">NA()</definedName>
    <definedName name="DATA109G_2">NA()</definedName>
    <definedName name="DATA109G_3">NA()</definedName>
    <definedName name="DATA109G_5">NA()</definedName>
    <definedName name="DATA109G_6">NA()</definedName>
    <definedName name="DATA109H">#N/A</definedName>
    <definedName name="DATA109H_1">NA()</definedName>
    <definedName name="DATA109H_2">NA()</definedName>
    <definedName name="DATA109H_3">NA()</definedName>
    <definedName name="DATA109H_5">NA()</definedName>
    <definedName name="DATA109H_6">NA()</definedName>
    <definedName name="DATA109I">#N/A</definedName>
    <definedName name="DATA109I_1">NA()</definedName>
    <definedName name="DATA109I_2">NA()</definedName>
    <definedName name="DATA109I_3">NA()</definedName>
    <definedName name="DATA109I_5">NA()</definedName>
    <definedName name="DATA109I_6">NA()</definedName>
    <definedName name="DATA109J">#N/A</definedName>
    <definedName name="DATA109J_1">NA()</definedName>
    <definedName name="DATA109J_2">NA()</definedName>
    <definedName name="DATA109J_3">NA()</definedName>
    <definedName name="DATA109J_5">NA()</definedName>
    <definedName name="DATA109J_6">NA()</definedName>
    <definedName name="DATA109K">#N/A</definedName>
    <definedName name="DATA109K_1">NA()</definedName>
    <definedName name="DATA109K_2">NA()</definedName>
    <definedName name="DATA109K_3">NA()</definedName>
    <definedName name="DATA109K_5">NA()</definedName>
    <definedName name="DATA109K_6">NA()</definedName>
    <definedName name="DATA109L">#N/A</definedName>
    <definedName name="DATA109L_1">NA()</definedName>
    <definedName name="DATA109L_2">NA()</definedName>
    <definedName name="DATA109L_3">NA()</definedName>
    <definedName name="DATA109L_5">NA()</definedName>
    <definedName name="DATA109L_6">NA()</definedName>
    <definedName name="DATA109M">#N/A</definedName>
    <definedName name="DATA109M_1">NA()</definedName>
    <definedName name="DATA109M_2">NA()</definedName>
    <definedName name="DATA109M_3">NA()</definedName>
    <definedName name="DATA109M_5">NA()</definedName>
    <definedName name="DATA109M_6">NA()</definedName>
    <definedName name="DATA109N">#N/A</definedName>
    <definedName name="DATA109N_1">NA()</definedName>
    <definedName name="DATA109N_2">NA()</definedName>
    <definedName name="DATA109N_3">NA()</definedName>
    <definedName name="DATA109N_5">NA()</definedName>
    <definedName name="DATA109N_6">NA()</definedName>
    <definedName name="DATA109O">#N/A</definedName>
    <definedName name="DATA109O_1">NA()</definedName>
    <definedName name="DATA109O_2">NA()</definedName>
    <definedName name="DATA109O_3">NA()</definedName>
    <definedName name="DATA109O_5">NA()</definedName>
    <definedName name="DATA109O_6">NA()</definedName>
    <definedName name="DATA109P">#N/A</definedName>
    <definedName name="DATA109P_1">NA()</definedName>
    <definedName name="DATA109P_2">NA()</definedName>
    <definedName name="DATA109P_3">NA()</definedName>
    <definedName name="DATA109P_5">NA()</definedName>
    <definedName name="DATA109P_6">NA()</definedName>
    <definedName name="DATA11">#N/A</definedName>
    <definedName name="DATA11_1">NA()</definedName>
    <definedName name="DATA11_2">NA()</definedName>
    <definedName name="DATA11_3">NA()</definedName>
    <definedName name="DATA11_5">NA()</definedName>
    <definedName name="DATA11_6">NA()</definedName>
    <definedName name="DATA110A">#N/A</definedName>
    <definedName name="DATA110A_1">NA()</definedName>
    <definedName name="DATA110A_2">NA()</definedName>
    <definedName name="DATA110A_3">NA()</definedName>
    <definedName name="DATA110A_5">NA()</definedName>
    <definedName name="DATA110A_6">NA()</definedName>
    <definedName name="DATA110B">#N/A</definedName>
    <definedName name="DATA110B_1">NA()</definedName>
    <definedName name="DATA110B_2">NA()</definedName>
    <definedName name="DATA110B_3">NA()</definedName>
    <definedName name="DATA110B_5">NA()</definedName>
    <definedName name="DATA110B_6">NA()</definedName>
    <definedName name="DATA110C">#N/A</definedName>
    <definedName name="DATA110C_1">NA()</definedName>
    <definedName name="DATA110C_2">NA()</definedName>
    <definedName name="DATA110C_3">NA()</definedName>
    <definedName name="DATA110C_5">NA()</definedName>
    <definedName name="DATA110C_6">NA()</definedName>
    <definedName name="DATA110D">#N/A</definedName>
    <definedName name="DATA110D_1">NA()</definedName>
    <definedName name="DATA110D_2">NA()</definedName>
    <definedName name="DATA110D_3">NA()</definedName>
    <definedName name="DATA110D_5">NA()</definedName>
    <definedName name="DATA110D_6">NA()</definedName>
    <definedName name="DATA110E">#N/A</definedName>
    <definedName name="DATA110E_1">NA()</definedName>
    <definedName name="DATA110E_2">NA()</definedName>
    <definedName name="DATA110E_3">NA()</definedName>
    <definedName name="DATA110E_5">NA()</definedName>
    <definedName name="DATA110E_6">NA()</definedName>
    <definedName name="DATA110F">#N/A</definedName>
    <definedName name="DATA110F_1">NA()</definedName>
    <definedName name="DATA110F_2">NA()</definedName>
    <definedName name="DATA110F_3">NA()</definedName>
    <definedName name="DATA110F_5">NA()</definedName>
    <definedName name="DATA110F_6">NA()</definedName>
    <definedName name="DATA110G">#N/A</definedName>
    <definedName name="DATA110G_1">NA()</definedName>
    <definedName name="DATA110G_2">NA()</definedName>
    <definedName name="DATA110G_3">NA()</definedName>
    <definedName name="DATA110G_5">NA()</definedName>
    <definedName name="DATA110G_6">NA()</definedName>
    <definedName name="DATA110H">#N/A</definedName>
    <definedName name="DATA110H_1">NA()</definedName>
    <definedName name="DATA110H_2">NA()</definedName>
    <definedName name="DATA110H_3">NA()</definedName>
    <definedName name="DATA110H_5">NA()</definedName>
    <definedName name="DATA110H_6">NA()</definedName>
    <definedName name="DATA110I">#N/A</definedName>
    <definedName name="DATA110I_1">NA()</definedName>
    <definedName name="DATA110I_2">NA()</definedName>
    <definedName name="DATA110I_3">NA()</definedName>
    <definedName name="DATA110I_5">NA()</definedName>
    <definedName name="DATA110I_6">NA()</definedName>
    <definedName name="DATA110J">#N/A</definedName>
    <definedName name="DATA110J_1">NA()</definedName>
    <definedName name="DATA110J_2">NA()</definedName>
    <definedName name="DATA110J_3">NA()</definedName>
    <definedName name="DATA110J_5">NA()</definedName>
    <definedName name="DATA110J_6">NA()</definedName>
    <definedName name="DATA110K">#N/A</definedName>
    <definedName name="DATA110K_1">NA()</definedName>
    <definedName name="DATA110K_2">NA()</definedName>
    <definedName name="DATA110K_3">NA()</definedName>
    <definedName name="DATA110K_5">NA()</definedName>
    <definedName name="DATA110K_6">NA()</definedName>
    <definedName name="DATA110L">#N/A</definedName>
    <definedName name="DATA110L_1">NA()</definedName>
    <definedName name="DATA110L_2">NA()</definedName>
    <definedName name="DATA110L_3">NA()</definedName>
    <definedName name="DATA110L_5">NA()</definedName>
    <definedName name="DATA110L_6">NA()</definedName>
    <definedName name="DATA110M">#N/A</definedName>
    <definedName name="DATA110M_1">NA()</definedName>
    <definedName name="DATA110M_2">NA()</definedName>
    <definedName name="DATA110M_3">NA()</definedName>
    <definedName name="DATA110M_5">NA()</definedName>
    <definedName name="DATA110M_6">NA()</definedName>
    <definedName name="DATA110N">#N/A</definedName>
    <definedName name="DATA110N_1">NA()</definedName>
    <definedName name="DATA110N_2">NA()</definedName>
    <definedName name="DATA110N_3">NA()</definedName>
    <definedName name="DATA110N_5">NA()</definedName>
    <definedName name="DATA110N_6">NA()</definedName>
    <definedName name="DATA110O">#N/A</definedName>
    <definedName name="DATA110O_1">NA()</definedName>
    <definedName name="DATA110O_2">NA()</definedName>
    <definedName name="DATA110O_3">NA()</definedName>
    <definedName name="DATA110O_5">NA()</definedName>
    <definedName name="DATA110O_6">NA()</definedName>
    <definedName name="DATA110P">#N/A</definedName>
    <definedName name="DATA110P_1">NA()</definedName>
    <definedName name="DATA110P_2">NA()</definedName>
    <definedName name="DATA110P_3">NA()</definedName>
    <definedName name="DATA110P_5">NA()</definedName>
    <definedName name="DATA110P_6">NA()</definedName>
    <definedName name="DATA111A">#N/A</definedName>
    <definedName name="DATA111A_1">NA()</definedName>
    <definedName name="DATA111A_2">NA()</definedName>
    <definedName name="DATA111A_3">NA()</definedName>
    <definedName name="DATA111A_5">NA()</definedName>
    <definedName name="DATA111A_6">NA()</definedName>
    <definedName name="DATA111B">#N/A</definedName>
    <definedName name="DATA111B_1">NA()</definedName>
    <definedName name="DATA111B_2">NA()</definedName>
    <definedName name="DATA111B_3">NA()</definedName>
    <definedName name="DATA111B_5">NA()</definedName>
    <definedName name="DATA111B_6">NA()</definedName>
    <definedName name="DATA111C">#N/A</definedName>
    <definedName name="DATA111C_1">NA()</definedName>
    <definedName name="DATA111C_2">NA()</definedName>
    <definedName name="DATA111C_3">NA()</definedName>
    <definedName name="DATA111C_5">NA()</definedName>
    <definedName name="DATA111C_6">NA()</definedName>
    <definedName name="DATA111D">#N/A</definedName>
    <definedName name="DATA111D_1">NA()</definedName>
    <definedName name="DATA111D_2">NA()</definedName>
    <definedName name="DATA111D_3">NA()</definedName>
    <definedName name="DATA111D_5">NA()</definedName>
    <definedName name="DATA111D_6">NA()</definedName>
    <definedName name="DATA111E">#N/A</definedName>
    <definedName name="DATA111E_1">NA()</definedName>
    <definedName name="DATA111E_2">NA()</definedName>
    <definedName name="DATA111E_3">NA()</definedName>
    <definedName name="DATA111E_5">NA()</definedName>
    <definedName name="DATA111E_6">NA()</definedName>
    <definedName name="DATA111F">#N/A</definedName>
    <definedName name="DATA111F_1">NA()</definedName>
    <definedName name="DATA111F_2">NA()</definedName>
    <definedName name="DATA111F_3">NA()</definedName>
    <definedName name="DATA111F_5">NA()</definedName>
    <definedName name="DATA111F_6">NA()</definedName>
    <definedName name="DATA111G">#N/A</definedName>
    <definedName name="DATA111G_1">NA()</definedName>
    <definedName name="DATA111G_2">NA()</definedName>
    <definedName name="DATA111G_3">NA()</definedName>
    <definedName name="DATA111G_5">NA()</definedName>
    <definedName name="DATA111G_6">NA()</definedName>
    <definedName name="DATA111H">#N/A</definedName>
    <definedName name="DATA111H_1">NA()</definedName>
    <definedName name="DATA111H_2">NA()</definedName>
    <definedName name="DATA111H_3">NA()</definedName>
    <definedName name="DATA111H_5">NA()</definedName>
    <definedName name="DATA111H_6">NA()</definedName>
    <definedName name="DATA111I">#N/A</definedName>
    <definedName name="DATA111I_1">NA()</definedName>
    <definedName name="DATA111I_2">NA()</definedName>
    <definedName name="DATA111I_3">NA()</definedName>
    <definedName name="DATA111I_5">NA()</definedName>
    <definedName name="DATA111I_6">NA()</definedName>
    <definedName name="DATA111J">#N/A</definedName>
    <definedName name="DATA111J_1">NA()</definedName>
    <definedName name="DATA111J_2">NA()</definedName>
    <definedName name="DATA111J_3">NA()</definedName>
    <definedName name="DATA111J_5">NA()</definedName>
    <definedName name="DATA111J_6">NA()</definedName>
    <definedName name="DATA111K">#N/A</definedName>
    <definedName name="DATA111K_1">NA()</definedName>
    <definedName name="DATA111K_2">NA()</definedName>
    <definedName name="DATA111K_3">NA()</definedName>
    <definedName name="DATA111K_5">NA()</definedName>
    <definedName name="DATA111K_6">NA()</definedName>
    <definedName name="DATA111L">#N/A</definedName>
    <definedName name="DATA111L_1">NA()</definedName>
    <definedName name="DATA111L_2">NA()</definedName>
    <definedName name="DATA111L_3">NA()</definedName>
    <definedName name="DATA111L_5">NA()</definedName>
    <definedName name="DATA111L_6">NA()</definedName>
    <definedName name="DATA111M">#N/A</definedName>
    <definedName name="DATA111M_1">NA()</definedName>
    <definedName name="DATA111M_2">NA()</definedName>
    <definedName name="DATA111M_3">NA()</definedName>
    <definedName name="DATA111M_5">NA()</definedName>
    <definedName name="DATA111M_6">NA()</definedName>
    <definedName name="DATA111N">#N/A</definedName>
    <definedName name="DATA111N_1">NA()</definedName>
    <definedName name="DATA111N_2">NA()</definedName>
    <definedName name="DATA111N_3">NA()</definedName>
    <definedName name="DATA111N_5">NA()</definedName>
    <definedName name="DATA111N_6">NA()</definedName>
    <definedName name="DATA111O">#N/A</definedName>
    <definedName name="DATA111O_1">NA()</definedName>
    <definedName name="DATA111O_2">NA()</definedName>
    <definedName name="DATA111O_3">NA()</definedName>
    <definedName name="DATA111O_5">NA()</definedName>
    <definedName name="DATA111O_6">NA()</definedName>
    <definedName name="DATA111P">#N/A</definedName>
    <definedName name="DATA111P_1">NA()</definedName>
    <definedName name="DATA111P_2">NA()</definedName>
    <definedName name="DATA111P_3">NA()</definedName>
    <definedName name="DATA111P_5">NA()</definedName>
    <definedName name="DATA111P_6">NA()</definedName>
    <definedName name="DATA112A">#N/A</definedName>
    <definedName name="DATA112A_1">NA()</definedName>
    <definedName name="DATA112A_2">NA()</definedName>
    <definedName name="DATA112A_3">NA()</definedName>
    <definedName name="DATA112A_5">NA()</definedName>
    <definedName name="DATA112A_6">NA()</definedName>
    <definedName name="DATA112B">#N/A</definedName>
    <definedName name="DATA112B_1">NA()</definedName>
    <definedName name="DATA112B_2">NA()</definedName>
    <definedName name="DATA112B_3">NA()</definedName>
    <definedName name="DATA112B_5">NA()</definedName>
    <definedName name="DATA112B_6">NA()</definedName>
    <definedName name="DATA112C">#N/A</definedName>
    <definedName name="DATA112C_1">NA()</definedName>
    <definedName name="DATA112C_2">NA()</definedName>
    <definedName name="DATA112C_3">NA()</definedName>
    <definedName name="DATA112C_5">NA()</definedName>
    <definedName name="DATA112C_6">NA()</definedName>
    <definedName name="DATA112D">#N/A</definedName>
    <definedName name="DATA112D_1">NA()</definedName>
    <definedName name="DATA112D_2">NA()</definedName>
    <definedName name="DATA112D_3">NA()</definedName>
    <definedName name="DATA112D_5">NA()</definedName>
    <definedName name="DATA112D_6">NA()</definedName>
    <definedName name="DATA112E">#N/A</definedName>
    <definedName name="DATA112E_1">NA()</definedName>
    <definedName name="DATA112E_2">NA()</definedName>
    <definedName name="DATA112E_3">NA()</definedName>
    <definedName name="DATA112E_5">NA()</definedName>
    <definedName name="DATA112E_6">NA()</definedName>
    <definedName name="DATA112F">#N/A</definedName>
    <definedName name="DATA112F_1">NA()</definedName>
    <definedName name="DATA112F_2">NA()</definedName>
    <definedName name="DATA112F_3">NA()</definedName>
    <definedName name="DATA112F_5">NA()</definedName>
    <definedName name="DATA112F_6">NA()</definedName>
    <definedName name="DATA112G">#N/A</definedName>
    <definedName name="DATA112G_1">NA()</definedName>
    <definedName name="DATA112G_2">NA()</definedName>
    <definedName name="DATA112G_3">NA()</definedName>
    <definedName name="DATA112G_5">NA()</definedName>
    <definedName name="DATA112G_6">NA()</definedName>
    <definedName name="DATA112H">#N/A</definedName>
    <definedName name="DATA112H_1">NA()</definedName>
    <definedName name="DATA112H_2">NA()</definedName>
    <definedName name="DATA112H_3">NA()</definedName>
    <definedName name="DATA112H_5">NA()</definedName>
    <definedName name="DATA112H_6">NA()</definedName>
    <definedName name="DATA112I">#N/A</definedName>
    <definedName name="DATA112I_1">NA()</definedName>
    <definedName name="DATA112I_2">NA()</definedName>
    <definedName name="DATA112I_3">NA()</definedName>
    <definedName name="DATA112I_5">NA()</definedName>
    <definedName name="DATA112I_6">NA()</definedName>
    <definedName name="DATA112J">#N/A</definedName>
    <definedName name="DATA112J_1">NA()</definedName>
    <definedName name="DATA112J_2">NA()</definedName>
    <definedName name="DATA112J_3">NA()</definedName>
    <definedName name="DATA112J_5">NA()</definedName>
    <definedName name="DATA112J_6">NA()</definedName>
    <definedName name="DATA112K">#N/A</definedName>
    <definedName name="DATA112K_1">NA()</definedName>
    <definedName name="DATA112K_2">NA()</definedName>
    <definedName name="DATA112K_3">NA()</definedName>
    <definedName name="DATA112K_5">NA()</definedName>
    <definedName name="DATA112K_6">NA()</definedName>
    <definedName name="DATA112L">#N/A</definedName>
    <definedName name="DATA112L_1">NA()</definedName>
    <definedName name="DATA112L_2">NA()</definedName>
    <definedName name="DATA112L_3">NA()</definedName>
    <definedName name="DATA112L_5">NA()</definedName>
    <definedName name="DATA112L_6">NA()</definedName>
    <definedName name="DATA112M">#N/A</definedName>
    <definedName name="DATA112M_1">NA()</definedName>
    <definedName name="DATA112M_2">NA()</definedName>
    <definedName name="DATA112M_3">NA()</definedName>
    <definedName name="DATA112M_5">NA()</definedName>
    <definedName name="DATA112M_6">NA()</definedName>
    <definedName name="DATA112N">#N/A</definedName>
    <definedName name="DATA112N_1">NA()</definedName>
    <definedName name="DATA112N_2">NA()</definedName>
    <definedName name="DATA112N_3">NA()</definedName>
    <definedName name="DATA112N_5">NA()</definedName>
    <definedName name="DATA112N_6">NA()</definedName>
    <definedName name="DATA112O">#N/A</definedName>
    <definedName name="DATA112O_1">NA()</definedName>
    <definedName name="DATA112O_2">NA()</definedName>
    <definedName name="DATA112O_3">NA()</definedName>
    <definedName name="DATA112O_5">NA()</definedName>
    <definedName name="DATA112O_6">NA()</definedName>
    <definedName name="DATA112P">#N/A</definedName>
    <definedName name="DATA112P_1">NA()</definedName>
    <definedName name="DATA112P_2">NA()</definedName>
    <definedName name="DATA112P_3">NA()</definedName>
    <definedName name="DATA112P_5">NA()</definedName>
    <definedName name="DATA112P_6">NA()</definedName>
    <definedName name="DATA113A">#N/A</definedName>
    <definedName name="DATA113A_1">NA()</definedName>
    <definedName name="DATA113A_2">NA()</definedName>
    <definedName name="DATA113A_3">NA()</definedName>
    <definedName name="DATA113A_5">NA()</definedName>
    <definedName name="DATA113A_6">NA()</definedName>
    <definedName name="DATA113B">#N/A</definedName>
    <definedName name="DATA113B_1">NA()</definedName>
    <definedName name="DATA113B_2">NA()</definedName>
    <definedName name="DATA113B_3">NA()</definedName>
    <definedName name="DATA113B_5">NA()</definedName>
    <definedName name="DATA113B_6">NA()</definedName>
    <definedName name="DATA113C">#N/A</definedName>
    <definedName name="DATA113C_1">NA()</definedName>
    <definedName name="DATA113C_2">NA()</definedName>
    <definedName name="DATA113C_3">NA()</definedName>
    <definedName name="DATA113C_5">NA()</definedName>
    <definedName name="DATA113C_6">NA()</definedName>
    <definedName name="DATA113D">#N/A</definedName>
    <definedName name="DATA113D_1">NA()</definedName>
    <definedName name="DATA113D_2">NA()</definedName>
    <definedName name="DATA113D_3">NA()</definedName>
    <definedName name="DATA113D_5">NA()</definedName>
    <definedName name="DATA113D_6">NA()</definedName>
    <definedName name="DATA113E">#N/A</definedName>
    <definedName name="DATA113E_1">NA()</definedName>
    <definedName name="DATA113E_2">NA()</definedName>
    <definedName name="DATA113E_3">NA()</definedName>
    <definedName name="DATA113E_5">NA()</definedName>
    <definedName name="DATA113E_6">NA()</definedName>
    <definedName name="DATA113F">#N/A</definedName>
    <definedName name="DATA113F_1">NA()</definedName>
    <definedName name="DATA113F_2">NA()</definedName>
    <definedName name="DATA113F_3">NA()</definedName>
    <definedName name="DATA113F_5">NA()</definedName>
    <definedName name="DATA113F_6">NA()</definedName>
    <definedName name="DATA113G">#N/A</definedName>
    <definedName name="DATA113G_1">NA()</definedName>
    <definedName name="DATA113G_2">NA()</definedName>
    <definedName name="DATA113G_3">NA()</definedName>
    <definedName name="DATA113G_5">NA()</definedName>
    <definedName name="DATA113G_6">NA()</definedName>
    <definedName name="DATA113H">#N/A</definedName>
    <definedName name="DATA113H_1">NA()</definedName>
    <definedName name="DATA113H_2">NA()</definedName>
    <definedName name="DATA113H_3">NA()</definedName>
    <definedName name="DATA113H_5">NA()</definedName>
    <definedName name="DATA113H_6">NA()</definedName>
    <definedName name="DATA113I">#N/A</definedName>
    <definedName name="DATA113I_1">NA()</definedName>
    <definedName name="DATA113I_2">NA()</definedName>
    <definedName name="DATA113I_3">NA()</definedName>
    <definedName name="DATA113I_5">NA()</definedName>
    <definedName name="DATA113I_6">NA()</definedName>
    <definedName name="DATA113J">#N/A</definedName>
    <definedName name="DATA113J_1">NA()</definedName>
    <definedName name="DATA113J_2">NA()</definedName>
    <definedName name="DATA113J_3">NA()</definedName>
    <definedName name="DATA113J_5">NA()</definedName>
    <definedName name="DATA113J_6">NA()</definedName>
    <definedName name="DATA113K">#N/A</definedName>
    <definedName name="DATA113K_1">NA()</definedName>
    <definedName name="DATA113K_2">NA()</definedName>
    <definedName name="DATA113K_3">NA()</definedName>
    <definedName name="DATA113K_5">NA()</definedName>
    <definedName name="DATA113K_6">NA()</definedName>
    <definedName name="DATA114">#N/A</definedName>
    <definedName name="DATA114_1">NA()</definedName>
    <definedName name="DATA114_2">NA()</definedName>
    <definedName name="DATA114_3">NA()</definedName>
    <definedName name="DATA114_5">NA()</definedName>
    <definedName name="DATA114_6">NA()</definedName>
    <definedName name="DATA115">#N/A</definedName>
    <definedName name="DATA115_1">NA()</definedName>
    <definedName name="DATA115_2">NA()</definedName>
    <definedName name="DATA115_3">NA()</definedName>
    <definedName name="DATA115_5">NA()</definedName>
    <definedName name="DATA115_6">NA()</definedName>
    <definedName name="DATA116">#N/A</definedName>
    <definedName name="DATA116_1">NA()</definedName>
    <definedName name="DATA116_2">NA()</definedName>
    <definedName name="DATA116_3">NA()</definedName>
    <definedName name="DATA116_5">NA()</definedName>
    <definedName name="DATA116_6">NA()</definedName>
    <definedName name="DATA117">#N/A</definedName>
    <definedName name="DATA117_1">NA()</definedName>
    <definedName name="DATA117_2">NA()</definedName>
    <definedName name="DATA117_3">NA()</definedName>
    <definedName name="DATA117_5">NA()</definedName>
    <definedName name="DATA117_6">NA()</definedName>
    <definedName name="DATA118">#N/A</definedName>
    <definedName name="DATA118_1">NA()</definedName>
    <definedName name="DATA118_2">NA()</definedName>
    <definedName name="DATA118_3">NA()</definedName>
    <definedName name="DATA118_5">NA()</definedName>
    <definedName name="DATA118_6">NA()</definedName>
    <definedName name="DATA119">#N/A</definedName>
    <definedName name="DATA119_1">NA()</definedName>
    <definedName name="DATA119_2">NA()</definedName>
    <definedName name="DATA119_3">NA()</definedName>
    <definedName name="DATA119_5">NA()</definedName>
    <definedName name="DATA119_6">NA()</definedName>
    <definedName name="DATA12">#N/A</definedName>
    <definedName name="DATA12_1">NA()</definedName>
    <definedName name="DATA12_2">NA()</definedName>
    <definedName name="DATA12_3">NA()</definedName>
    <definedName name="DATA12_5">NA()</definedName>
    <definedName name="DATA12_6">NA()</definedName>
    <definedName name="DATA120">#N/A</definedName>
    <definedName name="DATA120_1">NA()</definedName>
    <definedName name="DATA120_2">NA()</definedName>
    <definedName name="DATA120_3">NA()</definedName>
    <definedName name="DATA120_5">NA()</definedName>
    <definedName name="DATA120_6">NA()</definedName>
    <definedName name="DATA121">#N/A</definedName>
    <definedName name="DATA121_1">NA()</definedName>
    <definedName name="DATA121_2">NA()</definedName>
    <definedName name="DATA121_3">NA()</definedName>
    <definedName name="DATA121_5">NA()</definedName>
    <definedName name="DATA121_6">NA()</definedName>
    <definedName name="DATA122">#N/A</definedName>
    <definedName name="DATA122_1">NA()</definedName>
    <definedName name="DATA122_2">NA()</definedName>
    <definedName name="DATA122_3">NA()</definedName>
    <definedName name="DATA122_5">NA()</definedName>
    <definedName name="DATA122_6">NA()</definedName>
    <definedName name="DATA123">#N/A</definedName>
    <definedName name="DATA123_1">NA()</definedName>
    <definedName name="DATA123_2">NA()</definedName>
    <definedName name="DATA123_3">NA()</definedName>
    <definedName name="DATA123_5">NA()</definedName>
    <definedName name="DATA123_6">NA()</definedName>
    <definedName name="DATA124">#N/A</definedName>
    <definedName name="DATA124_1">NA()</definedName>
    <definedName name="DATA124_2">NA()</definedName>
    <definedName name="DATA124_3">NA()</definedName>
    <definedName name="DATA124_5">NA()</definedName>
    <definedName name="DATA124_6">NA()</definedName>
    <definedName name="DATA125">#N/A</definedName>
    <definedName name="DATA125_1">NA()</definedName>
    <definedName name="DATA125_2">NA()</definedName>
    <definedName name="DATA125_3">NA()</definedName>
    <definedName name="DATA125_5">NA()</definedName>
    <definedName name="DATA125_6">NA()</definedName>
    <definedName name="DATA126">#N/A</definedName>
    <definedName name="DATA126_1">NA()</definedName>
    <definedName name="DATA126_2">NA()</definedName>
    <definedName name="DATA126_3">NA()</definedName>
    <definedName name="DATA126_5">NA()</definedName>
    <definedName name="DATA126_6">NA()</definedName>
    <definedName name="DATA127A">#N/A</definedName>
    <definedName name="DATA127A_1">NA()</definedName>
    <definedName name="DATA127A_2">NA()</definedName>
    <definedName name="DATA127A_3">NA()</definedName>
    <definedName name="DATA127A_5">NA()</definedName>
    <definedName name="DATA127A_6">NA()</definedName>
    <definedName name="DATA127B">#N/A</definedName>
    <definedName name="DATA127B_1">NA()</definedName>
    <definedName name="DATA127B_2">NA()</definedName>
    <definedName name="DATA127B_3">NA()</definedName>
    <definedName name="DATA127B_5">NA()</definedName>
    <definedName name="DATA127B_6">NA()</definedName>
    <definedName name="DATA127C">#N/A</definedName>
    <definedName name="DATA127C_1">NA()</definedName>
    <definedName name="DATA127C_2">NA()</definedName>
    <definedName name="DATA127C_3">NA()</definedName>
    <definedName name="DATA127C_5">NA()</definedName>
    <definedName name="DATA127C_6">NA()</definedName>
    <definedName name="DATA127D">#N/A</definedName>
    <definedName name="DATA127D_1">NA()</definedName>
    <definedName name="DATA127D_2">NA()</definedName>
    <definedName name="DATA127D_3">NA()</definedName>
    <definedName name="DATA127D_5">NA()</definedName>
    <definedName name="DATA127D_6">NA()</definedName>
    <definedName name="DATA127E">#N/A</definedName>
    <definedName name="DATA127E_1">NA()</definedName>
    <definedName name="DATA127E_2">NA()</definedName>
    <definedName name="DATA127E_3">NA()</definedName>
    <definedName name="DATA127E_5">NA()</definedName>
    <definedName name="DATA127E_6">NA()</definedName>
    <definedName name="DATA127F">#N/A</definedName>
    <definedName name="DATA127F_1">NA()</definedName>
    <definedName name="DATA127F_2">NA()</definedName>
    <definedName name="DATA127F_3">NA()</definedName>
    <definedName name="DATA127F_5">NA()</definedName>
    <definedName name="DATA127F_6">NA()</definedName>
    <definedName name="DATA127G">#N/A</definedName>
    <definedName name="DATA127G_1">NA()</definedName>
    <definedName name="DATA127G_2">NA()</definedName>
    <definedName name="DATA127G_3">NA()</definedName>
    <definedName name="DATA127G_5">NA()</definedName>
    <definedName name="DATA127G_6">NA()</definedName>
    <definedName name="DATA127H">#N/A</definedName>
    <definedName name="DATA127H_1">NA()</definedName>
    <definedName name="DATA127H_2">NA()</definedName>
    <definedName name="DATA127H_3">NA()</definedName>
    <definedName name="DATA127H_5">NA()</definedName>
    <definedName name="DATA127H_6">NA()</definedName>
    <definedName name="DATA127I">#N/A</definedName>
    <definedName name="DATA127I_1">NA()</definedName>
    <definedName name="DATA127I_2">NA()</definedName>
    <definedName name="DATA127I_3">NA()</definedName>
    <definedName name="DATA127I_5">NA()</definedName>
    <definedName name="DATA127I_6">NA()</definedName>
    <definedName name="DATA127J">#N/A</definedName>
    <definedName name="DATA127J_1">NA()</definedName>
    <definedName name="DATA127J_2">NA()</definedName>
    <definedName name="DATA127J_3">NA()</definedName>
    <definedName name="DATA127J_5">NA()</definedName>
    <definedName name="DATA127J_6">NA()</definedName>
    <definedName name="DATA128A">#N/A</definedName>
    <definedName name="DATA128A_1">NA()</definedName>
    <definedName name="DATA128A_2">NA()</definedName>
    <definedName name="DATA128A_3">NA()</definedName>
    <definedName name="DATA128A_5">NA()</definedName>
    <definedName name="DATA128A_6">NA()</definedName>
    <definedName name="DATA128B">#N/A</definedName>
    <definedName name="DATA128B_1">NA()</definedName>
    <definedName name="DATA128B_2">NA()</definedName>
    <definedName name="DATA128B_3">NA()</definedName>
    <definedName name="DATA128B_5">NA()</definedName>
    <definedName name="DATA128B_6">NA()</definedName>
    <definedName name="DATA128C">#N/A</definedName>
    <definedName name="DATA128C_1">NA()</definedName>
    <definedName name="DATA128C_2">NA()</definedName>
    <definedName name="DATA128C_3">NA()</definedName>
    <definedName name="DATA128C_5">NA()</definedName>
    <definedName name="DATA128C_6">NA()</definedName>
    <definedName name="DATA128D">#N/A</definedName>
    <definedName name="DATA128D_1">NA()</definedName>
    <definedName name="DATA128D_2">NA()</definedName>
    <definedName name="DATA128D_3">NA()</definedName>
    <definedName name="DATA128D_5">NA()</definedName>
    <definedName name="DATA128D_6">NA()</definedName>
    <definedName name="DATA128E">#N/A</definedName>
    <definedName name="DATA128E_1">NA()</definedName>
    <definedName name="DATA128E_2">NA()</definedName>
    <definedName name="DATA128E_3">NA()</definedName>
    <definedName name="DATA128E_5">NA()</definedName>
    <definedName name="DATA128E_6">NA()</definedName>
    <definedName name="DATA128F">#N/A</definedName>
    <definedName name="DATA128F_1">NA()</definedName>
    <definedName name="DATA128F_2">NA()</definedName>
    <definedName name="DATA128F_3">NA()</definedName>
    <definedName name="DATA128F_5">NA()</definedName>
    <definedName name="DATA128F_6">NA()</definedName>
    <definedName name="DATA128G">#N/A</definedName>
    <definedName name="DATA128G_1">NA()</definedName>
    <definedName name="DATA128G_2">NA()</definedName>
    <definedName name="DATA128G_3">NA()</definedName>
    <definedName name="DATA128G_5">NA()</definedName>
    <definedName name="DATA128G_6">NA()</definedName>
    <definedName name="DATA129A">#N/A</definedName>
    <definedName name="DATA129A_1">NA()</definedName>
    <definedName name="DATA129A_2">NA()</definedName>
    <definedName name="DATA129A_3">NA()</definedName>
    <definedName name="DATA129A_5">NA()</definedName>
    <definedName name="DATA129A_6">NA()</definedName>
    <definedName name="DATA129B">#N/A</definedName>
    <definedName name="DATA129B_1">NA()</definedName>
    <definedName name="DATA129B_2">NA()</definedName>
    <definedName name="DATA129B_3">NA()</definedName>
    <definedName name="DATA129B_5">NA()</definedName>
    <definedName name="DATA129B_6">NA()</definedName>
    <definedName name="DATA129C">#N/A</definedName>
    <definedName name="DATA129C_1">NA()</definedName>
    <definedName name="DATA129C_2">NA()</definedName>
    <definedName name="DATA129C_3">NA()</definedName>
    <definedName name="DATA129C_5">NA()</definedName>
    <definedName name="DATA129C_6">NA()</definedName>
    <definedName name="DATA129D">#N/A</definedName>
    <definedName name="DATA129D_1">NA()</definedName>
    <definedName name="DATA129D_2">NA()</definedName>
    <definedName name="DATA129D_3">NA()</definedName>
    <definedName name="DATA129D_5">NA()</definedName>
    <definedName name="DATA129D_6">NA()</definedName>
    <definedName name="DATA13">#N/A</definedName>
    <definedName name="DATA13_1">NA()</definedName>
    <definedName name="DATA13_2">NA()</definedName>
    <definedName name="DATA13_3">NA()</definedName>
    <definedName name="DATA13_5">NA()</definedName>
    <definedName name="DATA13_6">NA()</definedName>
    <definedName name="DATA130A">#N/A</definedName>
    <definedName name="DATA130A_1">NA()</definedName>
    <definedName name="DATA130A_2">NA()</definedName>
    <definedName name="DATA130A_3">NA()</definedName>
    <definedName name="DATA130A_5">NA()</definedName>
    <definedName name="DATA130A_6">NA()</definedName>
    <definedName name="DATA130B">#N/A</definedName>
    <definedName name="DATA130B_1">NA()</definedName>
    <definedName name="DATA130B_2">NA()</definedName>
    <definedName name="DATA130B_3">NA()</definedName>
    <definedName name="DATA130B_5">NA()</definedName>
    <definedName name="DATA130B_6">NA()</definedName>
    <definedName name="DATA131">#N/A</definedName>
    <definedName name="DATA131_1">NA()</definedName>
    <definedName name="DATA131_2">NA()</definedName>
    <definedName name="DATA131_3">NA()</definedName>
    <definedName name="DATA131_5">NA()</definedName>
    <definedName name="DATA131_6">NA()</definedName>
    <definedName name="DATA132">#N/A</definedName>
    <definedName name="DATA132_1">NA()</definedName>
    <definedName name="DATA132_2">NA()</definedName>
    <definedName name="DATA132_3">NA()</definedName>
    <definedName name="DATA132_5">NA()</definedName>
    <definedName name="DATA132_6">NA()</definedName>
    <definedName name="DATA133">#N/A</definedName>
    <definedName name="DATA133_1">NA()</definedName>
    <definedName name="DATA133_2">NA()</definedName>
    <definedName name="DATA133_3">NA()</definedName>
    <definedName name="DATA133_5">NA()</definedName>
    <definedName name="DATA133_6">NA()</definedName>
    <definedName name="DATA134110">#REF!</definedName>
    <definedName name="DATA134110_1">NA()</definedName>
    <definedName name="DATA134110_2">NA()</definedName>
    <definedName name="DATA134110_3">NA()</definedName>
    <definedName name="DATA134110_5">NA()</definedName>
    <definedName name="DATA134125">#REF!</definedName>
    <definedName name="DATA134125_1">NA()</definedName>
    <definedName name="DATA134125_2">NA()</definedName>
    <definedName name="DATA134125_3">NA()</definedName>
    <definedName name="DATA134125_5">NA()</definedName>
    <definedName name="DATA134140">#REF!</definedName>
    <definedName name="DATA134140_1">NA()</definedName>
    <definedName name="DATA134140_2">NA()</definedName>
    <definedName name="DATA134140_3">NA()</definedName>
    <definedName name="DATA134140_5">NA()</definedName>
    <definedName name="DATA134160">#REF!</definedName>
    <definedName name="DATA134160_1">NA()</definedName>
    <definedName name="DATA134160_2">NA()</definedName>
    <definedName name="DATA134160_3">NA()</definedName>
    <definedName name="DATA134160_5">NA()</definedName>
    <definedName name="DATA134180">#REF!</definedName>
    <definedName name="DATA134180_1">NA()</definedName>
    <definedName name="DATA134180_2">NA()</definedName>
    <definedName name="DATA134180_3">NA()</definedName>
    <definedName name="DATA134180_5">NA()</definedName>
    <definedName name="DATA134200">#REF!</definedName>
    <definedName name="DATA134200_1">NA()</definedName>
    <definedName name="DATA134200_2">NA()</definedName>
    <definedName name="DATA134200_3">NA()</definedName>
    <definedName name="DATA134200_5">NA()</definedName>
    <definedName name="DATA134225">#REF!</definedName>
    <definedName name="DATA134225_1">NA()</definedName>
    <definedName name="DATA134225_2">NA()</definedName>
    <definedName name="DATA134225_3">NA()</definedName>
    <definedName name="DATA134225_5">NA()</definedName>
    <definedName name="DATA134250">#REF!</definedName>
    <definedName name="DATA134250_1">NA()</definedName>
    <definedName name="DATA134250_2">NA()</definedName>
    <definedName name="DATA134250_3">NA()</definedName>
    <definedName name="DATA134250_5">NA()</definedName>
    <definedName name="DATA134280">#REF!</definedName>
    <definedName name="DATA134280_1">NA()</definedName>
    <definedName name="DATA134280_2">NA()</definedName>
    <definedName name="DATA134280_3">NA()</definedName>
    <definedName name="DATA134280_5">NA()</definedName>
    <definedName name="DATA134315">#REF!</definedName>
    <definedName name="DATA134315_1">NA()</definedName>
    <definedName name="DATA134315_2">NA()</definedName>
    <definedName name="DATA134315_3">NA()</definedName>
    <definedName name="DATA134315_5">NA()</definedName>
    <definedName name="DATA134355">#REF!</definedName>
    <definedName name="DATA134355_1">NA()</definedName>
    <definedName name="DATA134355_2">NA()</definedName>
    <definedName name="DATA134355_3">NA()</definedName>
    <definedName name="DATA134355_5">NA()</definedName>
    <definedName name="DATA134400">#REF!</definedName>
    <definedName name="DATA134400_1">NA()</definedName>
    <definedName name="DATA134400_2">NA()</definedName>
    <definedName name="DATA134400_3">NA()</definedName>
    <definedName name="DATA134400_5">NA()</definedName>
    <definedName name="DATA13450">#REF!</definedName>
    <definedName name="DATA13450_1">NA()</definedName>
    <definedName name="DATA13450_2">NA()</definedName>
    <definedName name="DATA13450_3">NA()</definedName>
    <definedName name="DATA13450_5">NA()</definedName>
    <definedName name="DATA13463">#REF!</definedName>
    <definedName name="DATA13463_1">NA()</definedName>
    <definedName name="DATA13463_2">NA()</definedName>
    <definedName name="DATA13463_3">NA()</definedName>
    <definedName name="DATA13463_5">NA()</definedName>
    <definedName name="DATA13475">#REF!</definedName>
    <definedName name="DATA13475_1">NA()</definedName>
    <definedName name="DATA13475_2">NA()</definedName>
    <definedName name="DATA13475_3">NA()</definedName>
    <definedName name="DATA13475_5">NA()</definedName>
    <definedName name="DATA13490">#REF!</definedName>
    <definedName name="DATA13490_1">NA()</definedName>
    <definedName name="DATA13490_2">NA()</definedName>
    <definedName name="DATA13490_3">NA()</definedName>
    <definedName name="DATA13490_5">NA()</definedName>
    <definedName name="DATA135110">#REF!</definedName>
    <definedName name="DATA135110_1">NA()</definedName>
    <definedName name="DATA135110_2">NA()</definedName>
    <definedName name="DATA135110_3">NA()</definedName>
    <definedName name="DATA135110_5">NA()</definedName>
    <definedName name="DATA135125">#REF!</definedName>
    <definedName name="DATA135125_1">NA()</definedName>
    <definedName name="DATA135125_2">NA()</definedName>
    <definedName name="DATA135125_3">NA()</definedName>
    <definedName name="DATA135125_5">NA()</definedName>
    <definedName name="DATA135140">#REF!</definedName>
    <definedName name="DATA135140_1">NA()</definedName>
    <definedName name="DATA135140_2">NA()</definedName>
    <definedName name="DATA135140_3">NA()</definedName>
    <definedName name="DATA135140_5">NA()</definedName>
    <definedName name="DATA135160">#REF!</definedName>
    <definedName name="DATA135160_1">NA()</definedName>
    <definedName name="DATA135160_2">NA()</definedName>
    <definedName name="DATA135160_3">NA()</definedName>
    <definedName name="DATA135160_5">NA()</definedName>
    <definedName name="DATA135180">#REF!</definedName>
    <definedName name="DATA135180_1">NA()</definedName>
    <definedName name="DATA135180_2">NA()</definedName>
    <definedName name="DATA135180_3">NA()</definedName>
    <definedName name="DATA135180_5">NA()</definedName>
    <definedName name="DATA135200">#REF!</definedName>
    <definedName name="DATA135200_1">NA()</definedName>
    <definedName name="DATA135200_2">NA()</definedName>
    <definedName name="DATA135200_3">NA()</definedName>
    <definedName name="DATA135200_5">NA()</definedName>
    <definedName name="DATA135225">#REF!</definedName>
    <definedName name="DATA135225_1">NA()</definedName>
    <definedName name="DATA135225_2">NA()</definedName>
    <definedName name="DATA135225_3">NA()</definedName>
    <definedName name="DATA135225_5">NA()</definedName>
    <definedName name="DATA135250">#REF!</definedName>
    <definedName name="DATA135250_1">NA()</definedName>
    <definedName name="DATA135250_2">NA()</definedName>
    <definedName name="DATA135250_3">NA()</definedName>
    <definedName name="DATA135250_5">NA()</definedName>
    <definedName name="DATA135280">#REF!</definedName>
    <definedName name="DATA135280_1">NA()</definedName>
    <definedName name="DATA135280_2">NA()</definedName>
    <definedName name="DATA135280_3">NA()</definedName>
    <definedName name="DATA135280_5">NA()</definedName>
    <definedName name="DATA135315">#REF!</definedName>
    <definedName name="DATA135315_1">NA()</definedName>
    <definedName name="DATA135315_2">NA()</definedName>
    <definedName name="DATA135315_3">NA()</definedName>
    <definedName name="DATA135315_5">NA()</definedName>
    <definedName name="DATA135355">#REF!</definedName>
    <definedName name="DATA135355_1">NA()</definedName>
    <definedName name="DATA135355_2">NA()</definedName>
    <definedName name="DATA135355_3">NA()</definedName>
    <definedName name="DATA135355_5">NA()</definedName>
    <definedName name="DATA135400">#REF!</definedName>
    <definedName name="DATA135400_1">NA()</definedName>
    <definedName name="DATA135400_2">NA()</definedName>
    <definedName name="DATA135400_3">NA()</definedName>
    <definedName name="DATA135400_5">NA()</definedName>
    <definedName name="DATA13550">#REF!</definedName>
    <definedName name="DATA13550_1">NA()</definedName>
    <definedName name="DATA13550_2">NA()</definedName>
    <definedName name="DATA13550_3">NA()</definedName>
    <definedName name="DATA13550_5">NA()</definedName>
    <definedName name="DATA13563">#REF!</definedName>
    <definedName name="DATA13563_1">NA()</definedName>
    <definedName name="DATA13563_2">NA()</definedName>
    <definedName name="DATA13563_3">NA()</definedName>
    <definedName name="DATA13563_5">NA()</definedName>
    <definedName name="DATA13575">#REF!</definedName>
    <definedName name="DATA13575_1">NA()</definedName>
    <definedName name="DATA13575_2">NA()</definedName>
    <definedName name="DATA13575_3">NA()</definedName>
    <definedName name="DATA13575_5">NA()</definedName>
    <definedName name="DATA13590">#REF!</definedName>
    <definedName name="DATA13590_1">NA()</definedName>
    <definedName name="DATA13590_2">NA()</definedName>
    <definedName name="DATA13590_3">NA()</definedName>
    <definedName name="DATA13590_5">NA()</definedName>
    <definedName name="DATA136A">#REF!</definedName>
    <definedName name="DATA136A_1">NA()</definedName>
    <definedName name="DATA136A_2">NA()</definedName>
    <definedName name="DATA136A_3">NA()</definedName>
    <definedName name="DATA136A_5">NA()</definedName>
    <definedName name="DATA136B">#REF!</definedName>
    <definedName name="DATA136B_1">NA()</definedName>
    <definedName name="DATA136B_2">NA()</definedName>
    <definedName name="DATA136B_3">NA()</definedName>
    <definedName name="DATA136B_5">NA()</definedName>
    <definedName name="DATA136C">#REF!</definedName>
    <definedName name="DATA136C_1">NA()</definedName>
    <definedName name="DATA136C_2">NA()</definedName>
    <definedName name="DATA136C_3">NA()</definedName>
    <definedName name="DATA136C_5">NA()</definedName>
    <definedName name="DATA136D">#REF!</definedName>
    <definedName name="DATA136D_1">NA()</definedName>
    <definedName name="DATA136D_2">NA()</definedName>
    <definedName name="DATA136D_3">NA()</definedName>
    <definedName name="DATA136D_5">NA()</definedName>
    <definedName name="DATA136E">#REF!</definedName>
    <definedName name="DATA136E_1">NA()</definedName>
    <definedName name="DATA136E_2">NA()</definedName>
    <definedName name="DATA136E_3">NA()</definedName>
    <definedName name="DATA136E_5">NA()</definedName>
    <definedName name="DATA136F">#REF!</definedName>
    <definedName name="DATA136F_1">NA()</definedName>
    <definedName name="DATA136F_2">NA()</definedName>
    <definedName name="DATA136F_3">NA()</definedName>
    <definedName name="DATA136F_5">NA()</definedName>
    <definedName name="DATA136G">#REF!</definedName>
    <definedName name="DATA136G_1">NA()</definedName>
    <definedName name="DATA136G_2">NA()</definedName>
    <definedName name="DATA136G_3">NA()</definedName>
    <definedName name="DATA136G_5">NA()</definedName>
    <definedName name="DATA136H">#REF!</definedName>
    <definedName name="DATA136H_1">NA()</definedName>
    <definedName name="DATA136H_2">NA()</definedName>
    <definedName name="DATA136H_3">NA()</definedName>
    <definedName name="DATA136H_5">NA()</definedName>
    <definedName name="DATA136I">#REF!</definedName>
    <definedName name="DATA136I_1">NA()</definedName>
    <definedName name="DATA136I_2">NA()</definedName>
    <definedName name="DATA136I_3">NA()</definedName>
    <definedName name="DATA136I_5">NA()</definedName>
    <definedName name="DATA136J">#REF!</definedName>
    <definedName name="DATA136J_1">NA()</definedName>
    <definedName name="DATA136J_2">NA()</definedName>
    <definedName name="DATA136J_3">NA()</definedName>
    <definedName name="DATA136J_5">NA()</definedName>
    <definedName name="DATA136K">#REF!</definedName>
    <definedName name="DATA136K_1">NA()</definedName>
    <definedName name="DATA136K_2">NA()</definedName>
    <definedName name="DATA136K_3">NA()</definedName>
    <definedName name="DATA136K_5">NA()</definedName>
    <definedName name="DATA136L">#REF!</definedName>
    <definedName name="DATA136L_1">NA()</definedName>
    <definedName name="DATA136L_2">NA()</definedName>
    <definedName name="DATA136L_3">NA()</definedName>
    <definedName name="DATA136L_5">NA()</definedName>
    <definedName name="DATA136M">#REF!</definedName>
    <definedName name="DATA136M_1">NA()</definedName>
    <definedName name="DATA136M_2">NA()</definedName>
    <definedName name="DATA136M_3">NA()</definedName>
    <definedName name="DATA136M_5">NA()</definedName>
    <definedName name="DATA136N">#REF!</definedName>
    <definedName name="DATA136N_1">NA()</definedName>
    <definedName name="DATA136N_2">NA()</definedName>
    <definedName name="DATA136N_3">NA()</definedName>
    <definedName name="DATA136N_5">NA()</definedName>
    <definedName name="DATA136O">#REF!</definedName>
    <definedName name="DATA136O_1">NA()</definedName>
    <definedName name="DATA136O_2">NA()</definedName>
    <definedName name="DATA136O_3">NA()</definedName>
    <definedName name="DATA136O_5">NA()</definedName>
    <definedName name="DATA136P">#REF!</definedName>
    <definedName name="DATA136P_1">NA()</definedName>
    <definedName name="DATA136P_2">NA()</definedName>
    <definedName name="DATA136P_3">NA()</definedName>
    <definedName name="DATA136P_5">NA()</definedName>
    <definedName name="DATA137I">#REF!</definedName>
    <definedName name="DATA137I_1">NA()</definedName>
    <definedName name="DATA137I_2">NA()</definedName>
    <definedName name="DATA137I_3">NA()</definedName>
    <definedName name="DATA137I_5">NA()</definedName>
    <definedName name="DATA137II">#REF!</definedName>
    <definedName name="DATA137II_1">NA()</definedName>
    <definedName name="DATA137II_2">NA()</definedName>
    <definedName name="DATA137II_3">NA()</definedName>
    <definedName name="DATA137II_5">NA()</definedName>
    <definedName name="DATA137III">#REF!</definedName>
    <definedName name="DATA137III_1">NA()</definedName>
    <definedName name="DATA137III_2">NA()</definedName>
    <definedName name="DATA137III_3">NA()</definedName>
    <definedName name="DATA137III_5">NA()</definedName>
    <definedName name="DATA137IV">#REF!</definedName>
    <definedName name="DATA137IV_1">NA()</definedName>
    <definedName name="DATA137IV_2">NA()</definedName>
    <definedName name="DATA137IV_3">NA()</definedName>
    <definedName name="DATA137IV_5">NA()</definedName>
    <definedName name="DATA137V">#REF!</definedName>
    <definedName name="DATA137V_1">NA()</definedName>
    <definedName name="DATA137V_2">NA()</definedName>
    <definedName name="DATA137V_3">NA()</definedName>
    <definedName name="DATA137V_5">NA()</definedName>
    <definedName name="DATA138I">#REF!</definedName>
    <definedName name="DATA138I_1">NA()</definedName>
    <definedName name="DATA138I_2">NA()</definedName>
    <definedName name="DATA138I_3">NA()</definedName>
    <definedName name="DATA138I_5">NA()</definedName>
    <definedName name="DATA138II">#REF!</definedName>
    <definedName name="DATA138II_1">NA()</definedName>
    <definedName name="DATA138II_2">NA()</definedName>
    <definedName name="DATA138II_3">NA()</definedName>
    <definedName name="DATA138II_5">NA()</definedName>
    <definedName name="DATA138III">#REF!</definedName>
    <definedName name="DATA138III_1">NA()</definedName>
    <definedName name="DATA138III_2">NA()</definedName>
    <definedName name="DATA138III_3">NA()</definedName>
    <definedName name="DATA138III_5">NA()</definedName>
    <definedName name="DATA138IV">#REF!</definedName>
    <definedName name="DATA138IV_1">NA()</definedName>
    <definedName name="DATA138IV_2">NA()</definedName>
    <definedName name="DATA138IV_3">NA()</definedName>
    <definedName name="DATA138IV_5">NA()</definedName>
    <definedName name="DATA138V">#REF!</definedName>
    <definedName name="DATA138V_1">NA()</definedName>
    <definedName name="DATA138V_2">NA()</definedName>
    <definedName name="DATA138V_3">NA()</definedName>
    <definedName name="DATA138V_5">NA()</definedName>
    <definedName name="DATA138VI">#REF!</definedName>
    <definedName name="DATA138VI_1">NA()</definedName>
    <definedName name="DATA138VI_2">NA()</definedName>
    <definedName name="DATA138VI_3">NA()</definedName>
    <definedName name="DATA138VI_5">NA()</definedName>
    <definedName name="DATA139IX">#REF!</definedName>
    <definedName name="DATA139IX_1">NA()</definedName>
    <definedName name="DATA139IX_2">NA()</definedName>
    <definedName name="DATA139IX_3">NA()</definedName>
    <definedName name="DATA139IX_5">NA()</definedName>
    <definedName name="DATA139V">#REF!</definedName>
    <definedName name="DATA139V_1">NA()</definedName>
    <definedName name="DATA139V_2">NA()</definedName>
    <definedName name="DATA139V_3">NA()</definedName>
    <definedName name="DATA139V_5">NA()</definedName>
    <definedName name="DATA139VI">#REF!</definedName>
    <definedName name="DATA139VI_1">NA()</definedName>
    <definedName name="DATA139VI_2">NA()</definedName>
    <definedName name="DATA139VI_3">NA()</definedName>
    <definedName name="DATA139VI_5">NA()</definedName>
    <definedName name="DATA139VII">#REF!</definedName>
    <definedName name="DATA139VII_1">NA()</definedName>
    <definedName name="DATA139VII_2">NA()</definedName>
    <definedName name="DATA139VII_3">NA()</definedName>
    <definedName name="DATA139VII_5">NA()</definedName>
    <definedName name="DATA139VIII">#REF!</definedName>
    <definedName name="DATA139VIII_1">NA()</definedName>
    <definedName name="DATA139VIII_2">NA()</definedName>
    <definedName name="DATA139VIII_3">NA()</definedName>
    <definedName name="DATA139VIII_5">NA()</definedName>
    <definedName name="DATA14">#N/A</definedName>
    <definedName name="DATA14_1">NA()</definedName>
    <definedName name="DATA14_2">NA()</definedName>
    <definedName name="DATA14_3">NA()</definedName>
    <definedName name="DATA14_5">NA()</definedName>
    <definedName name="DATA14_6">NA()</definedName>
    <definedName name="DATA140I">#REF!</definedName>
    <definedName name="DATA140I_1">NA()</definedName>
    <definedName name="DATA140I_2">NA()</definedName>
    <definedName name="DATA140I_3">NA()</definedName>
    <definedName name="DATA140I_5">NA()</definedName>
    <definedName name="DATA140II">#REF!</definedName>
    <definedName name="DATA140II_1">NA()</definedName>
    <definedName name="DATA140II_2">NA()</definedName>
    <definedName name="DATA140II_3">NA()</definedName>
    <definedName name="DATA140II_5">NA()</definedName>
    <definedName name="DATA140III">#REF!</definedName>
    <definedName name="DATA140III_1">NA()</definedName>
    <definedName name="DATA140III_2">NA()</definedName>
    <definedName name="DATA140III_3">NA()</definedName>
    <definedName name="DATA140III_5">NA()</definedName>
    <definedName name="DATA140IV">#REF!</definedName>
    <definedName name="DATA140IV_1">NA()</definedName>
    <definedName name="DATA140IV_2">NA()</definedName>
    <definedName name="DATA140IV_3">NA()</definedName>
    <definedName name="DATA140IV_5">NA()</definedName>
    <definedName name="DATA140V">#REF!</definedName>
    <definedName name="DATA140V_1">NA()</definedName>
    <definedName name="DATA140V_2">NA()</definedName>
    <definedName name="DATA140V_3">NA()</definedName>
    <definedName name="DATA140V_5">NA()</definedName>
    <definedName name="DATA141I">#REF!</definedName>
    <definedName name="DATA141I_1">NA()</definedName>
    <definedName name="DATA141I_2">NA()</definedName>
    <definedName name="DATA141I_3">NA()</definedName>
    <definedName name="DATA141I_5">NA()</definedName>
    <definedName name="DATA141II">#REF!</definedName>
    <definedName name="DATA141II_1">NA()</definedName>
    <definedName name="DATA141II_2">NA()</definedName>
    <definedName name="DATA141II_3">NA()</definedName>
    <definedName name="DATA141II_5">NA()</definedName>
    <definedName name="DATA141III">#REF!</definedName>
    <definedName name="DATA141III_1">NA()</definedName>
    <definedName name="DATA141III_2">NA()</definedName>
    <definedName name="DATA141III_3">NA()</definedName>
    <definedName name="DATA141III_5">NA()</definedName>
    <definedName name="DATA141IV">#REF!</definedName>
    <definedName name="DATA141IV_1">NA()</definedName>
    <definedName name="DATA141IV_2">NA()</definedName>
    <definedName name="DATA141IV_3">NA()</definedName>
    <definedName name="DATA141IV_5">NA()</definedName>
    <definedName name="DATA141V">#REF!</definedName>
    <definedName name="DATA141V_1">NA()</definedName>
    <definedName name="DATA141V_2">NA()</definedName>
    <definedName name="DATA141V_3">NA()</definedName>
    <definedName name="DATA141V_5">NA()</definedName>
    <definedName name="DATA142I">#REF!</definedName>
    <definedName name="DATA142I_1">NA()</definedName>
    <definedName name="DATA142I_2">NA()</definedName>
    <definedName name="DATA142I_3">NA()</definedName>
    <definedName name="DATA142I_5">NA()</definedName>
    <definedName name="DATA142II">#REF!</definedName>
    <definedName name="DATA142II_1">NA()</definedName>
    <definedName name="DATA142II_2">NA()</definedName>
    <definedName name="DATA142II_3">NA()</definedName>
    <definedName name="DATA142II_5">NA()</definedName>
    <definedName name="DATA142III">#REF!</definedName>
    <definedName name="DATA142III_1">NA()</definedName>
    <definedName name="DATA142III_2">NA()</definedName>
    <definedName name="DATA142III_3">NA()</definedName>
    <definedName name="DATA142III_5">NA()</definedName>
    <definedName name="DATA142IV">#REF!</definedName>
    <definedName name="DATA142IV_1">NA()</definedName>
    <definedName name="DATA142IV_2">NA()</definedName>
    <definedName name="DATA142IV_3">NA()</definedName>
    <definedName name="DATA142IV_5">NA()</definedName>
    <definedName name="DATA142V">#REF!</definedName>
    <definedName name="DATA142V_1">NA()</definedName>
    <definedName name="DATA142V_2">NA()</definedName>
    <definedName name="DATA142V_3">NA()</definedName>
    <definedName name="DATA142V_5">NA()</definedName>
    <definedName name="DATA143">#N/A</definedName>
    <definedName name="DATA143_1">NA()</definedName>
    <definedName name="DATA143_2">NA()</definedName>
    <definedName name="DATA143_3">NA()</definedName>
    <definedName name="DATA143_5">NA()</definedName>
    <definedName name="DATA143_6">NA()</definedName>
    <definedName name="DATA144">#N/A</definedName>
    <definedName name="DATA144_1">NA()</definedName>
    <definedName name="DATA144_2">NA()</definedName>
    <definedName name="DATA144_3">NA()</definedName>
    <definedName name="DATA144_5">NA()</definedName>
    <definedName name="DATA144_6">NA()</definedName>
    <definedName name="DATA145">#N/A</definedName>
    <definedName name="DATA145_1">NA()</definedName>
    <definedName name="DATA145_2">NA()</definedName>
    <definedName name="DATA145_3">NA()</definedName>
    <definedName name="DATA145_5">NA()</definedName>
    <definedName name="DATA145_6">NA()</definedName>
    <definedName name="DATA146">#N/A</definedName>
    <definedName name="DATA146_1">NA()</definedName>
    <definedName name="DATA146_2">NA()</definedName>
    <definedName name="DATA146_3">NA()</definedName>
    <definedName name="DATA146_5">NA()</definedName>
    <definedName name="DATA146_6">NA()</definedName>
    <definedName name="DATA147">#N/A</definedName>
    <definedName name="DATA147_1">NA()</definedName>
    <definedName name="DATA147_2">NA()</definedName>
    <definedName name="DATA147_3">NA()</definedName>
    <definedName name="DATA147_5">NA()</definedName>
    <definedName name="DATA147_6">NA()</definedName>
    <definedName name="DATA148">#N/A</definedName>
    <definedName name="DATA148_1">NA()</definedName>
    <definedName name="DATA148_2">NA()</definedName>
    <definedName name="DATA148_3">NA()</definedName>
    <definedName name="DATA148_5">NA()</definedName>
    <definedName name="DATA148_6">NA()</definedName>
    <definedName name="DATA149">#N/A</definedName>
    <definedName name="DATA149_1">NA()</definedName>
    <definedName name="DATA149_2">NA()</definedName>
    <definedName name="DATA149_3">NA()</definedName>
    <definedName name="DATA149_5">NA()</definedName>
    <definedName name="DATA149_6">NA()</definedName>
    <definedName name="DATA15">#REF!</definedName>
    <definedName name="DATA150">#N/A</definedName>
    <definedName name="DATA150_1">NA()</definedName>
    <definedName name="DATA150_2">NA()</definedName>
    <definedName name="DATA150_3">NA()</definedName>
    <definedName name="DATA150_5">NA()</definedName>
    <definedName name="DATA150_6">NA()</definedName>
    <definedName name="DATA151A">#N/A</definedName>
    <definedName name="DATA151A_1">NA()</definedName>
    <definedName name="DATA151A_2">NA()</definedName>
    <definedName name="DATA151A_3">NA()</definedName>
    <definedName name="DATA151A_5">NA()</definedName>
    <definedName name="DATA151A_6">NA()</definedName>
    <definedName name="DATA151B">#REF!</definedName>
    <definedName name="DATA151C">#REF!</definedName>
    <definedName name="DATA151D">#REF!</definedName>
    <definedName name="DATA152">#N/A</definedName>
    <definedName name="DATA152_1">NA()</definedName>
    <definedName name="DATA152_2">NA()</definedName>
    <definedName name="DATA152_3">NA()</definedName>
    <definedName name="DATA152_5">NA()</definedName>
    <definedName name="DATA152_6">NA()</definedName>
    <definedName name="DATA153">#N/A</definedName>
    <definedName name="DATA153_1">NA()</definedName>
    <definedName name="DATA153_2">NA()</definedName>
    <definedName name="DATA153_3">NA()</definedName>
    <definedName name="DATA153_5">NA()</definedName>
    <definedName name="DATA153_6">NA()</definedName>
    <definedName name="DATA154">#N/A</definedName>
    <definedName name="DATA154_1">NA()</definedName>
    <definedName name="DATA154_2">NA()</definedName>
    <definedName name="DATA154_3">NA()</definedName>
    <definedName name="DATA154_5">NA()</definedName>
    <definedName name="DATA154_6">NA()</definedName>
    <definedName name="DATA155">#REF!</definedName>
    <definedName name="DATA156">#N/A</definedName>
    <definedName name="DATA156_1">NA()</definedName>
    <definedName name="DATA156_2">NA()</definedName>
    <definedName name="DATA156_3">NA()</definedName>
    <definedName name="DATA156_5">NA()</definedName>
    <definedName name="DATA156_6">NA()</definedName>
    <definedName name="DATA157">#N/A</definedName>
    <definedName name="DATA157_1">NA()</definedName>
    <definedName name="DATA157_2">NA()</definedName>
    <definedName name="DATA157_3">NA()</definedName>
    <definedName name="DATA157_5">NA()</definedName>
    <definedName name="DATA157_6">NA()</definedName>
    <definedName name="DATA158">#N/A</definedName>
    <definedName name="DATA158_1">NA()</definedName>
    <definedName name="DATA158_2">NA()</definedName>
    <definedName name="DATA158_3">NA()</definedName>
    <definedName name="DATA158_5">NA()</definedName>
    <definedName name="DATA158_6">NA()</definedName>
    <definedName name="DATA159A">#N/A</definedName>
    <definedName name="DATA159A_1">NA()</definedName>
    <definedName name="DATA159A_2">NA()</definedName>
    <definedName name="DATA159A_3">NA()</definedName>
    <definedName name="DATA159A_5">NA()</definedName>
    <definedName name="DATA159A_6">NA()</definedName>
    <definedName name="DATA159B">#N/A</definedName>
    <definedName name="DATA159B_1">NA()</definedName>
    <definedName name="DATA159B_2">NA()</definedName>
    <definedName name="DATA159B_3">NA()</definedName>
    <definedName name="DATA159B_5">NA()</definedName>
    <definedName name="DATA159B_6">NA()</definedName>
    <definedName name="DATA159C">#N/A</definedName>
    <definedName name="DATA159C_1">NA()</definedName>
    <definedName name="DATA159C_2">NA()</definedName>
    <definedName name="DATA159C_3">NA()</definedName>
    <definedName name="DATA159C_5">NA()</definedName>
    <definedName name="DATA159C_6">NA()</definedName>
    <definedName name="DATA159D">#N/A</definedName>
    <definedName name="DATA159D_1">NA()</definedName>
    <definedName name="DATA159D_2">NA()</definedName>
    <definedName name="DATA159D_3">NA()</definedName>
    <definedName name="DATA159D_5">NA()</definedName>
    <definedName name="DATA159D_6">NA()</definedName>
    <definedName name="DATA16">#N/A</definedName>
    <definedName name="DATA16_1">NA()</definedName>
    <definedName name="DATA16_2">NA()</definedName>
    <definedName name="DATA16_3">NA()</definedName>
    <definedName name="DATA16_5">NA()</definedName>
    <definedName name="DATA16_6">NA()</definedName>
    <definedName name="DATA160">#N/A</definedName>
    <definedName name="DATA160_1">NA()</definedName>
    <definedName name="DATA160_2">NA()</definedName>
    <definedName name="DATA160_3">NA()</definedName>
    <definedName name="DATA160_5">NA()</definedName>
    <definedName name="DATA160_6">NA()</definedName>
    <definedName name="DATA161">#N/A</definedName>
    <definedName name="DATA161_1">NA()</definedName>
    <definedName name="DATA161_2">NA()</definedName>
    <definedName name="DATA161_3">NA()</definedName>
    <definedName name="DATA161_5">NA()</definedName>
    <definedName name="DATA161_6">NA()</definedName>
    <definedName name="DATA162">#N/A</definedName>
    <definedName name="DATA162_1">NA()</definedName>
    <definedName name="DATA162_2">NA()</definedName>
    <definedName name="DATA162_3">NA()</definedName>
    <definedName name="DATA162_5">NA()</definedName>
    <definedName name="DATA162_6">NA()</definedName>
    <definedName name="DATA163">#N/A</definedName>
    <definedName name="DATA163_1">NA()</definedName>
    <definedName name="DATA163_2">NA()</definedName>
    <definedName name="DATA163_3">NA()</definedName>
    <definedName name="DATA163_5">NA()</definedName>
    <definedName name="DATA163_6">NA()</definedName>
    <definedName name="DATA17">#REF!</definedName>
    <definedName name="DATA18">#N/A</definedName>
    <definedName name="DATA18_1">NA()</definedName>
    <definedName name="DATA18_2">NA()</definedName>
    <definedName name="DATA18_3">NA()</definedName>
    <definedName name="DATA18_5">NA()</definedName>
    <definedName name="DATA18_6">NA()</definedName>
    <definedName name="DATA19">#N/A</definedName>
    <definedName name="DATA19_1">NA()</definedName>
    <definedName name="DATA19_2">NA()</definedName>
    <definedName name="DATA19_3">NA()</definedName>
    <definedName name="DATA19_5">NA()</definedName>
    <definedName name="DATA19_6">NA()</definedName>
    <definedName name="data2" hidden="1">#REF!</definedName>
    <definedName name="DATA2_1">NA()</definedName>
    <definedName name="DATA2_2">NA()</definedName>
    <definedName name="DATA2_3">NA()</definedName>
    <definedName name="DATA2_5">NA()</definedName>
    <definedName name="DATA2_6">NA()</definedName>
    <definedName name="DATA20">#N/A</definedName>
    <definedName name="DATA20_1">NA()</definedName>
    <definedName name="DATA20_2">NA()</definedName>
    <definedName name="DATA20_3">NA()</definedName>
    <definedName name="DATA20_5">NA()</definedName>
    <definedName name="DATA20_6">NA()</definedName>
    <definedName name="DATA21">#N/A</definedName>
    <definedName name="DATA21_1">NA()</definedName>
    <definedName name="DATA21_2">NA()</definedName>
    <definedName name="DATA21_3">NA()</definedName>
    <definedName name="DATA21_5">NA()</definedName>
    <definedName name="DATA21_6">NA()</definedName>
    <definedName name="DATA22">#N/A</definedName>
    <definedName name="DATA22_1">NA()</definedName>
    <definedName name="DATA22_2">NA()</definedName>
    <definedName name="DATA22_3">NA()</definedName>
    <definedName name="DATA22_5">NA()</definedName>
    <definedName name="DATA22_6">NA()</definedName>
    <definedName name="DATA23">#N/A</definedName>
    <definedName name="DATA23_1">NA()</definedName>
    <definedName name="DATA23_2">NA()</definedName>
    <definedName name="DATA23_3">NA()</definedName>
    <definedName name="DATA23_5">NA()</definedName>
    <definedName name="DATA23_6">NA()</definedName>
    <definedName name="DATA24">#N/A</definedName>
    <definedName name="DATA24_1">NA()</definedName>
    <definedName name="DATA24_2">NA()</definedName>
    <definedName name="DATA24_3">NA()</definedName>
    <definedName name="DATA24_5">NA()</definedName>
    <definedName name="DATA24_6">NA()</definedName>
    <definedName name="DATA25">#REF!</definedName>
    <definedName name="DATA26">#N/A</definedName>
    <definedName name="DATA26_1">NA()</definedName>
    <definedName name="DATA26_2">NA()</definedName>
    <definedName name="DATA26_3">NA()</definedName>
    <definedName name="DATA26_5">NA()</definedName>
    <definedName name="DATA26_6">NA()</definedName>
    <definedName name="DATA27">#N/A</definedName>
    <definedName name="DATA27_1">NA()</definedName>
    <definedName name="DATA27_2">NA()</definedName>
    <definedName name="DATA27_3">NA()</definedName>
    <definedName name="DATA27_5">NA()</definedName>
    <definedName name="DATA27_6">NA()</definedName>
    <definedName name="DATA28">#REF!</definedName>
    <definedName name="DATA29">#N/A</definedName>
    <definedName name="DATA29_1">NA()</definedName>
    <definedName name="DATA29_2">NA()</definedName>
    <definedName name="DATA29_3">NA()</definedName>
    <definedName name="DATA29_5">NA()</definedName>
    <definedName name="DATA29_6">NA()</definedName>
    <definedName name="data3" hidden="1">#REF!</definedName>
    <definedName name="DATA3_1">NA()</definedName>
    <definedName name="DATA3_2">NA()</definedName>
    <definedName name="DATA3_3">NA()</definedName>
    <definedName name="DATA3_5">NA()</definedName>
    <definedName name="DATA3_6">NA()</definedName>
    <definedName name="DATA30">#N/A</definedName>
    <definedName name="DATA30_1">NA()</definedName>
    <definedName name="DATA30_2">NA()</definedName>
    <definedName name="DATA30_3">NA()</definedName>
    <definedName name="DATA30_5">NA()</definedName>
    <definedName name="DATA30_6">NA()</definedName>
    <definedName name="DATA31">#N/A</definedName>
    <definedName name="DATA31_1">NA()</definedName>
    <definedName name="DATA31_2">NA()</definedName>
    <definedName name="DATA31_3">NA()</definedName>
    <definedName name="DATA31_5">NA()</definedName>
    <definedName name="DATA31_6">NA()</definedName>
    <definedName name="DATA32">#N/A</definedName>
    <definedName name="DATA32_1">NA()</definedName>
    <definedName name="DATA32_2">NA()</definedName>
    <definedName name="DATA32_3">NA()</definedName>
    <definedName name="DATA32_5">NA()</definedName>
    <definedName name="DATA32_6">NA()</definedName>
    <definedName name="DATA33">#N/A</definedName>
    <definedName name="DATA33_1">NA()</definedName>
    <definedName name="DATA33_2">NA()</definedName>
    <definedName name="DATA33_3">NA()</definedName>
    <definedName name="DATA33_5">NA()</definedName>
    <definedName name="DATA33_6">NA()</definedName>
    <definedName name="DATA34">#N/A</definedName>
    <definedName name="DATA34_1">NA()</definedName>
    <definedName name="DATA34_2">NA()</definedName>
    <definedName name="DATA34_3">NA()</definedName>
    <definedName name="DATA34_5">NA()</definedName>
    <definedName name="DATA34_6">NA()</definedName>
    <definedName name="DATA35">#N/A</definedName>
    <definedName name="DATA35_1">NA()</definedName>
    <definedName name="DATA35_2">NA()</definedName>
    <definedName name="DATA35_3">NA()</definedName>
    <definedName name="DATA35_5">NA()</definedName>
    <definedName name="DATA35_6">NA()</definedName>
    <definedName name="DATA36">#N/A</definedName>
    <definedName name="DATA36_1">NA()</definedName>
    <definedName name="DATA36_2">NA()</definedName>
    <definedName name="DATA36_3">NA()</definedName>
    <definedName name="DATA36_5">NA()</definedName>
    <definedName name="DATA36_6">NA()</definedName>
    <definedName name="DATA37">#N/A</definedName>
    <definedName name="DATA37_1">NA()</definedName>
    <definedName name="DATA37_2">NA()</definedName>
    <definedName name="DATA37_3">NA()</definedName>
    <definedName name="DATA37_5">NA()</definedName>
    <definedName name="DATA37_6">NA()</definedName>
    <definedName name="DATA38">#N/A</definedName>
    <definedName name="DATA38_1">NA()</definedName>
    <definedName name="DATA38_2">NA()</definedName>
    <definedName name="DATA38_3">NA()</definedName>
    <definedName name="DATA38_5">NA()</definedName>
    <definedName name="DATA38_6">NA()</definedName>
    <definedName name="DATA39">#N/A</definedName>
    <definedName name="DATA39_1">NA()</definedName>
    <definedName name="DATA39_2">NA()</definedName>
    <definedName name="DATA39_3">NA()</definedName>
    <definedName name="DATA39_5">NA()</definedName>
    <definedName name="DATA39_6">NA()</definedName>
    <definedName name="DATA4">#N/A</definedName>
    <definedName name="DATA4_1">NA()</definedName>
    <definedName name="DATA4_2">NA()</definedName>
    <definedName name="DATA4_3">NA()</definedName>
    <definedName name="DATA4_5">NA()</definedName>
    <definedName name="DATA4_6">NA()</definedName>
    <definedName name="DATA40">#N/A</definedName>
    <definedName name="DATA40_1">NA()</definedName>
    <definedName name="DATA40_2">NA()</definedName>
    <definedName name="DATA40_3">NA()</definedName>
    <definedName name="DATA40_5">NA()</definedName>
    <definedName name="DATA40_6">NA()</definedName>
    <definedName name="DATA41">#N/A</definedName>
    <definedName name="DATA41_1">NA()</definedName>
    <definedName name="DATA41_2">NA()</definedName>
    <definedName name="DATA41_3">NA()</definedName>
    <definedName name="DATA41_5">NA()</definedName>
    <definedName name="DATA41_6">NA()</definedName>
    <definedName name="DATA42">#N/A</definedName>
    <definedName name="DATA42_1">NA()</definedName>
    <definedName name="DATA42_2">NA()</definedName>
    <definedName name="DATA42_3">NA()</definedName>
    <definedName name="DATA42_5">NA()</definedName>
    <definedName name="DATA42_6">NA()</definedName>
    <definedName name="DATA43">#N/A</definedName>
    <definedName name="DATA43_1">NA()</definedName>
    <definedName name="DATA43_2">NA()</definedName>
    <definedName name="DATA43_3">NA()</definedName>
    <definedName name="DATA43_5">NA()</definedName>
    <definedName name="DATA43_6">NA()</definedName>
    <definedName name="DATA44">#N/A</definedName>
    <definedName name="DATA44_1">NA()</definedName>
    <definedName name="DATA44_2">NA()</definedName>
    <definedName name="DATA44_3">NA()</definedName>
    <definedName name="DATA44_5">NA()</definedName>
    <definedName name="DATA44_6">NA()</definedName>
    <definedName name="DATA45">#N/A</definedName>
    <definedName name="DATA45_1">NA()</definedName>
    <definedName name="DATA45_2">NA()</definedName>
    <definedName name="DATA45_3">NA()</definedName>
    <definedName name="DATA45_5">NA()</definedName>
    <definedName name="DATA45_6">NA()</definedName>
    <definedName name="DATA46">#N/A</definedName>
    <definedName name="DATA46_1">NA()</definedName>
    <definedName name="DATA46_2">NA()</definedName>
    <definedName name="DATA46_3">NA()</definedName>
    <definedName name="DATA46_5">NA()</definedName>
    <definedName name="DATA46_6">NA()</definedName>
    <definedName name="DATA47">#N/A</definedName>
    <definedName name="DATA47_1">NA()</definedName>
    <definedName name="DATA47_2">NA()</definedName>
    <definedName name="DATA47_3">NA()</definedName>
    <definedName name="DATA47_5">NA()</definedName>
    <definedName name="DATA47_6">NA()</definedName>
    <definedName name="DATA48">#N/A</definedName>
    <definedName name="DATA48_1">NA()</definedName>
    <definedName name="DATA48_2">NA()</definedName>
    <definedName name="DATA48_3">NA()</definedName>
    <definedName name="DATA48_5">NA()</definedName>
    <definedName name="DATA48_6">NA()</definedName>
    <definedName name="DATA49">#N/A</definedName>
    <definedName name="DATA49_1">NA()</definedName>
    <definedName name="DATA49_2">NA()</definedName>
    <definedName name="DATA49_3">NA()</definedName>
    <definedName name="DATA49_5">NA()</definedName>
    <definedName name="DATA49_6">NA()</definedName>
    <definedName name="DATA5">#N/A</definedName>
    <definedName name="DATA5_1">NA()</definedName>
    <definedName name="DATA5_2">NA()</definedName>
    <definedName name="DATA5_3">NA()</definedName>
    <definedName name="DATA5_5">NA()</definedName>
    <definedName name="DATA5_6">NA()</definedName>
    <definedName name="DATA50">#N/A</definedName>
    <definedName name="DATA50_1">NA()</definedName>
    <definedName name="DATA50_2">NA()</definedName>
    <definedName name="DATA50_3">NA()</definedName>
    <definedName name="DATA50_5">NA()</definedName>
    <definedName name="DATA50_6">NA()</definedName>
    <definedName name="DATA51">#N/A</definedName>
    <definedName name="DATA51_1">NA()</definedName>
    <definedName name="DATA51_2">NA()</definedName>
    <definedName name="DATA51_3">NA()</definedName>
    <definedName name="DATA51_5">NA()</definedName>
    <definedName name="DATA51_6">NA()</definedName>
    <definedName name="DATA52">#N/A</definedName>
    <definedName name="DATA52_1">NA()</definedName>
    <definedName name="DATA52_2">NA()</definedName>
    <definedName name="DATA52_3">NA()</definedName>
    <definedName name="DATA52_5">NA()</definedName>
    <definedName name="DATA52_6">NA()</definedName>
    <definedName name="DATA53">#N/A</definedName>
    <definedName name="DATA53_1">NA()</definedName>
    <definedName name="DATA53_2">NA()</definedName>
    <definedName name="DATA53_3">NA()</definedName>
    <definedName name="DATA53_5">NA()</definedName>
    <definedName name="DATA53_6">NA()</definedName>
    <definedName name="DATA54">#N/A</definedName>
    <definedName name="DATA54_1">NA()</definedName>
    <definedName name="DATA54_2">NA()</definedName>
    <definedName name="DATA54_3">NA()</definedName>
    <definedName name="DATA54_5">NA()</definedName>
    <definedName name="DATA54_6">NA()</definedName>
    <definedName name="DATA55">#REF!</definedName>
    <definedName name="DATA56">#N/A</definedName>
    <definedName name="DATA56_1">NA()</definedName>
    <definedName name="DATA56_2">NA()</definedName>
    <definedName name="DATA56_3">NA()</definedName>
    <definedName name="DATA56_5">NA()</definedName>
    <definedName name="DATA56_6">NA()</definedName>
    <definedName name="DATA57">#N/A</definedName>
    <definedName name="DATA57_1">NA()</definedName>
    <definedName name="DATA57_2">NA()</definedName>
    <definedName name="DATA57_3">NA()</definedName>
    <definedName name="DATA57_5">NA()</definedName>
    <definedName name="DATA57_6">NA()</definedName>
    <definedName name="DATA58">#N/A</definedName>
    <definedName name="DATA58_1">NA()</definedName>
    <definedName name="DATA58_2">NA()</definedName>
    <definedName name="DATA58_3">NA()</definedName>
    <definedName name="DATA58_5">NA()</definedName>
    <definedName name="DATA58_6">NA()</definedName>
    <definedName name="DATA59">#N/A</definedName>
    <definedName name="DATA59_1">NA()</definedName>
    <definedName name="DATA59_2">NA()</definedName>
    <definedName name="DATA59_3">NA()</definedName>
    <definedName name="DATA59_5">NA()</definedName>
    <definedName name="DATA59_6">NA()</definedName>
    <definedName name="DATA6">#N/A</definedName>
    <definedName name="DATA6_1">NA()</definedName>
    <definedName name="DATA6_2">NA()</definedName>
    <definedName name="DATA6_3">NA()</definedName>
    <definedName name="DATA6_5">NA()</definedName>
    <definedName name="DATA6_6">NA()</definedName>
    <definedName name="DATA60">#N/A</definedName>
    <definedName name="DATA60_1">NA()</definedName>
    <definedName name="DATA60_2">NA()</definedName>
    <definedName name="DATA60_3">NA()</definedName>
    <definedName name="DATA60_5">NA()</definedName>
    <definedName name="DATA60_6">NA()</definedName>
    <definedName name="DATA61">#N/A</definedName>
    <definedName name="DATA61_1">NA()</definedName>
    <definedName name="DATA61_2">NA()</definedName>
    <definedName name="DATA61_3">NA()</definedName>
    <definedName name="DATA61_5">NA()</definedName>
    <definedName name="DATA61_6">NA()</definedName>
    <definedName name="DATA62">#REF!</definedName>
    <definedName name="DATA63">#N/A</definedName>
    <definedName name="DATA63_1">NA()</definedName>
    <definedName name="DATA63_2">NA()</definedName>
    <definedName name="DATA63_3">NA()</definedName>
    <definedName name="DATA63_5">NA()</definedName>
    <definedName name="DATA63_6">NA()</definedName>
    <definedName name="DATA64">#N/A</definedName>
    <definedName name="DATA64_1">NA()</definedName>
    <definedName name="DATA64_2">NA()</definedName>
    <definedName name="DATA64_3">NA()</definedName>
    <definedName name="DATA64_5">NA()</definedName>
    <definedName name="DATA64_6">NA()</definedName>
    <definedName name="DATA65">#N/A</definedName>
    <definedName name="DATA65_1">NA()</definedName>
    <definedName name="DATA65_2">NA()</definedName>
    <definedName name="DATA65_3">NA()</definedName>
    <definedName name="DATA65_5">NA()</definedName>
    <definedName name="DATA65_6">NA()</definedName>
    <definedName name="DATA66">#N/A</definedName>
    <definedName name="DATA66_1">NA()</definedName>
    <definedName name="DATA66_2">NA()</definedName>
    <definedName name="DATA66_3">NA()</definedName>
    <definedName name="DATA66_5">NA()</definedName>
    <definedName name="DATA66_6">NA()</definedName>
    <definedName name="DATA67">#N/A</definedName>
    <definedName name="DATA67_1">NA()</definedName>
    <definedName name="DATA67_2">NA()</definedName>
    <definedName name="DATA67_3">NA()</definedName>
    <definedName name="DATA67_5">NA()</definedName>
    <definedName name="DATA67_6">NA()</definedName>
    <definedName name="DATA68">#N/A</definedName>
    <definedName name="DATA68_1">NA()</definedName>
    <definedName name="DATA68_2">NA()</definedName>
    <definedName name="DATA68_3">NA()</definedName>
    <definedName name="DATA68_5">NA()</definedName>
    <definedName name="DATA68_6">NA()</definedName>
    <definedName name="DATA69">#N/A</definedName>
    <definedName name="DATA69_1">NA()</definedName>
    <definedName name="DATA69_2">NA()</definedName>
    <definedName name="DATA69_3">NA()</definedName>
    <definedName name="DATA69_5">NA()</definedName>
    <definedName name="DATA69_6">NA()</definedName>
    <definedName name="DATA7">#N/A</definedName>
    <definedName name="DATA7_1">NA()</definedName>
    <definedName name="DATA7_2">NA()</definedName>
    <definedName name="DATA7_3">NA()</definedName>
    <definedName name="DATA7_5">NA()</definedName>
    <definedName name="DATA7_6">NA()</definedName>
    <definedName name="DATA70">#N/A</definedName>
    <definedName name="DATA70_1">NA()</definedName>
    <definedName name="DATA70_2">NA()</definedName>
    <definedName name="DATA70_3">NA()</definedName>
    <definedName name="DATA70_5">NA()</definedName>
    <definedName name="DATA70_6">NA()</definedName>
    <definedName name="DATA71">#N/A</definedName>
    <definedName name="DATA71_1">NA()</definedName>
    <definedName name="DATA71_2">NA()</definedName>
    <definedName name="DATA71_3">NA()</definedName>
    <definedName name="DATA71_5">NA()</definedName>
    <definedName name="DATA71_6">NA()</definedName>
    <definedName name="DATA72">#N/A</definedName>
    <definedName name="DATA72_1">NA()</definedName>
    <definedName name="DATA72_2">NA()</definedName>
    <definedName name="DATA72_3">NA()</definedName>
    <definedName name="DATA72_5">NA()</definedName>
    <definedName name="DATA72_6">NA()</definedName>
    <definedName name="DATA73">#N/A</definedName>
    <definedName name="DATA73_1">NA()</definedName>
    <definedName name="DATA73_2">NA()</definedName>
    <definedName name="DATA73_3">NA()</definedName>
    <definedName name="DATA73_5">NA()</definedName>
    <definedName name="DATA73_6">NA()</definedName>
    <definedName name="DATA74">#N/A</definedName>
    <definedName name="DATA74_1">NA()</definedName>
    <definedName name="DATA74_2">NA()</definedName>
    <definedName name="DATA74_3">NA()</definedName>
    <definedName name="DATA74_5">NA()</definedName>
    <definedName name="DATA74_6">NA()</definedName>
    <definedName name="DATA75">#REF!</definedName>
    <definedName name="DATA76">#N/A</definedName>
    <definedName name="DATA76_1">NA()</definedName>
    <definedName name="DATA76_2">NA()</definedName>
    <definedName name="DATA76_3">NA()</definedName>
    <definedName name="DATA76_5">NA()</definedName>
    <definedName name="DATA76_6">NA()</definedName>
    <definedName name="DATA77A">#N/A</definedName>
    <definedName name="DATA77A_1">NA()</definedName>
    <definedName name="DATA77A_2">NA()</definedName>
    <definedName name="DATA77A_3">NA()</definedName>
    <definedName name="DATA77A_5">NA()</definedName>
    <definedName name="DATA77A_6">NA()</definedName>
    <definedName name="DATA77B">#N/A</definedName>
    <definedName name="DATA77B_1">NA()</definedName>
    <definedName name="DATA77B_2">NA()</definedName>
    <definedName name="DATA77B_3">NA()</definedName>
    <definedName name="DATA77B_5">NA()</definedName>
    <definedName name="DATA77B_6">NA()</definedName>
    <definedName name="DATA78">#N/A</definedName>
    <definedName name="DATA78_1">NA()</definedName>
    <definedName name="DATA78_2">NA()</definedName>
    <definedName name="DATA78_3">NA()</definedName>
    <definedName name="DATA78_5">NA()</definedName>
    <definedName name="DATA78_6">NA()</definedName>
    <definedName name="DATA79A">#N/A</definedName>
    <definedName name="DATA79A_1">NA()</definedName>
    <definedName name="DATA79A_2">NA()</definedName>
    <definedName name="DATA79A_3">NA()</definedName>
    <definedName name="DATA79A_5">NA()</definedName>
    <definedName name="DATA79A_6">NA()</definedName>
    <definedName name="DATA79B">#N/A</definedName>
    <definedName name="DATA79B_1">NA()</definedName>
    <definedName name="DATA79B_2">NA()</definedName>
    <definedName name="DATA79B_3">NA()</definedName>
    <definedName name="DATA79B_5">NA()</definedName>
    <definedName name="DATA79B_6">NA()</definedName>
    <definedName name="DATA79C">#N/A</definedName>
    <definedName name="DATA79C_1">NA()</definedName>
    <definedName name="DATA79C_2">NA()</definedName>
    <definedName name="DATA79C_3">NA()</definedName>
    <definedName name="DATA79C_5">NA()</definedName>
    <definedName name="DATA79C_6">NA()</definedName>
    <definedName name="DATA8">#N/A</definedName>
    <definedName name="DATA8_1">NA()</definedName>
    <definedName name="DATA8_2">NA()</definedName>
    <definedName name="DATA8_3">NA()</definedName>
    <definedName name="DATA8_5">NA()</definedName>
    <definedName name="DATA8_6">NA()</definedName>
    <definedName name="DATA80A">#N/A</definedName>
    <definedName name="DATA80A_1">NA()</definedName>
    <definedName name="DATA80A_2">NA()</definedName>
    <definedName name="DATA80A_3">NA()</definedName>
    <definedName name="DATA80A_5">NA()</definedName>
    <definedName name="DATA80A_6">NA()</definedName>
    <definedName name="DATA80B">#N/A</definedName>
    <definedName name="DATA80B_1">NA()</definedName>
    <definedName name="DATA80B_2">NA()</definedName>
    <definedName name="DATA80B_3">NA()</definedName>
    <definedName name="DATA80B_5">NA()</definedName>
    <definedName name="DATA80B_6">NA()</definedName>
    <definedName name="DATA80C">#N/A</definedName>
    <definedName name="DATA80C_1">NA()</definedName>
    <definedName name="DATA80C_2">NA()</definedName>
    <definedName name="DATA80C_3">NA()</definedName>
    <definedName name="DATA80C_5">NA()</definedName>
    <definedName name="DATA80C_6">NA()</definedName>
    <definedName name="DATA81">#N/A</definedName>
    <definedName name="DATA81_1">NA()</definedName>
    <definedName name="DATA81_2">NA()</definedName>
    <definedName name="DATA81_3">NA()</definedName>
    <definedName name="DATA81_5">NA()</definedName>
    <definedName name="DATA81_6">NA()</definedName>
    <definedName name="DATA82">#N/A</definedName>
    <definedName name="DATA82_1">NA()</definedName>
    <definedName name="DATA82_2">NA()</definedName>
    <definedName name="DATA82_3">NA()</definedName>
    <definedName name="DATA82_5">NA()</definedName>
    <definedName name="DATA82_6">NA()</definedName>
    <definedName name="DATA83">#REF!</definedName>
    <definedName name="DATA84">#N/A</definedName>
    <definedName name="DATA84_1">NA()</definedName>
    <definedName name="DATA84_2">NA()</definedName>
    <definedName name="DATA84_3">NA()</definedName>
    <definedName name="DATA84_5">NA()</definedName>
    <definedName name="DATA84_6">NA()</definedName>
    <definedName name="DATA85">#N/A</definedName>
    <definedName name="DATA85_1">NA()</definedName>
    <definedName name="DATA85_2">NA()</definedName>
    <definedName name="DATA85_3">NA()</definedName>
    <definedName name="DATA85_5">NA()</definedName>
    <definedName name="DATA85_6">NA()</definedName>
    <definedName name="DATA86">#N/A</definedName>
    <definedName name="DATA86_1">NA()</definedName>
    <definedName name="DATA86_2">NA()</definedName>
    <definedName name="DATA86_3">NA()</definedName>
    <definedName name="DATA86_5">NA()</definedName>
    <definedName name="DATA86_6">NA()</definedName>
    <definedName name="DATA87">#N/A</definedName>
    <definedName name="DATA87_1">NA()</definedName>
    <definedName name="DATA87_2">NA()</definedName>
    <definedName name="DATA87_3">NA()</definedName>
    <definedName name="DATA87_5">NA()</definedName>
    <definedName name="DATA87_6">NA()</definedName>
    <definedName name="DATA88">#N/A</definedName>
    <definedName name="DATA88_1">NA()</definedName>
    <definedName name="DATA88_2">NA()</definedName>
    <definedName name="DATA88_3">NA()</definedName>
    <definedName name="DATA88_5">NA()</definedName>
    <definedName name="DATA88_6">NA()</definedName>
    <definedName name="DATA89">#N/A</definedName>
    <definedName name="DATA89_1">NA()</definedName>
    <definedName name="DATA89_2">NA()</definedName>
    <definedName name="DATA89_3">NA()</definedName>
    <definedName name="DATA89_5">NA()</definedName>
    <definedName name="DATA89_6">NA()</definedName>
    <definedName name="DATA9">#N/A</definedName>
    <definedName name="DATA9_1">NA()</definedName>
    <definedName name="DATA9_2">NA()</definedName>
    <definedName name="DATA9_3">NA()</definedName>
    <definedName name="DATA9_5">NA()</definedName>
    <definedName name="DATA9_6">NA()</definedName>
    <definedName name="DATA90">#N/A</definedName>
    <definedName name="DATA90_1">NA()</definedName>
    <definedName name="DATA90_2">NA()</definedName>
    <definedName name="DATA90_3">NA()</definedName>
    <definedName name="DATA90_5">NA()</definedName>
    <definedName name="DATA90_6">NA()</definedName>
    <definedName name="DATA91">#REF!</definedName>
    <definedName name="DATA92">#N/A</definedName>
    <definedName name="DATA92_1">NA()</definedName>
    <definedName name="DATA92_2">NA()</definedName>
    <definedName name="DATA92_3">NA()</definedName>
    <definedName name="DATA92_5">NA()</definedName>
    <definedName name="DATA92_6">NA()</definedName>
    <definedName name="DATA93">#N/A</definedName>
    <definedName name="DATA93_1">NA()</definedName>
    <definedName name="DATA93_2">NA()</definedName>
    <definedName name="DATA93_3">NA()</definedName>
    <definedName name="DATA93_5">NA()</definedName>
    <definedName name="DATA93_6">NA()</definedName>
    <definedName name="DATA94">#N/A</definedName>
    <definedName name="DATA94_1">NA()</definedName>
    <definedName name="DATA94_2">NA()</definedName>
    <definedName name="DATA94_3">NA()</definedName>
    <definedName name="DATA94_5">NA()</definedName>
    <definedName name="DATA94_6">NA()</definedName>
    <definedName name="DATA95">#N/A</definedName>
    <definedName name="DATA95_1">NA()</definedName>
    <definedName name="DATA95_2">NA()</definedName>
    <definedName name="DATA95_3">NA()</definedName>
    <definedName name="DATA95_5">NA()</definedName>
    <definedName name="DATA95_6">NA()</definedName>
    <definedName name="DATA97">#REF!</definedName>
    <definedName name="DATA98">#N/A</definedName>
    <definedName name="DATA98_1">NA()</definedName>
    <definedName name="DATA98_2">NA()</definedName>
    <definedName name="DATA98_3">NA()</definedName>
    <definedName name="DATA98_5">NA()</definedName>
    <definedName name="DATA98_6">NA()</definedName>
    <definedName name="DATA99">#N/A</definedName>
    <definedName name="DATA99_1">NA()</definedName>
    <definedName name="DATA99_2">NA()</definedName>
    <definedName name="DATA99_3">NA()</definedName>
    <definedName name="DATA99_5">NA()</definedName>
    <definedName name="DATA99_6">NA()</definedName>
    <definedName name="_xlnm.Database">#REF!</definedName>
    <definedName name="Database.File" hidden="1">#REF!</definedName>
    <definedName name="Date">"'file:///C:/Documents%20and%20Settings/anpcpmc/Desktop/RA-44%20final/DLA%20Standard%20Cost%20Report1'#$'Fill this out first...'.$D$14"</definedName>
    <definedName name="Date_1">NA()</definedName>
    <definedName name="Date_2">NA()</definedName>
    <definedName name="Date_3">NA()</definedName>
    <definedName name="Date_5">NA()</definedName>
    <definedName name="DateRangeComp" hidden="1">#N/A</definedName>
    <definedName name="davsvd">#REF!</definedName>
    <definedName name="Daywork">#REF!</definedName>
    <definedName name="db">#REF!</definedName>
    <definedName name="db___0">#REF!</definedName>
    <definedName name="db___0_1">NA()</definedName>
    <definedName name="db___0_2">NA()</definedName>
    <definedName name="db___0_3">NA()</definedName>
    <definedName name="db___0_5">NA()</definedName>
    <definedName name="db___13">#REF!</definedName>
    <definedName name="db___13_1">NA()</definedName>
    <definedName name="db___13_2">NA()</definedName>
    <definedName name="db___13_3">NA()</definedName>
    <definedName name="db___13_5">NA()</definedName>
    <definedName name="db_1">NA()</definedName>
    <definedName name="db_2">NA()</definedName>
    <definedName name="db_3">NA()</definedName>
    <definedName name="db_5">NA()</definedName>
    <definedName name="dbdakdjask">#REF!</definedName>
    <definedName name="dc">#REF!</definedName>
    <definedName name="dc_1">NA()</definedName>
    <definedName name="dc_10">#REF!</definedName>
    <definedName name="dc_11">#REF!</definedName>
    <definedName name="dc_12">#REF!</definedName>
    <definedName name="dc_2">NA()</definedName>
    <definedName name="dc_20">#REF!</definedName>
    <definedName name="dc_21">#REF!</definedName>
    <definedName name="dc_24">#REF!</definedName>
    <definedName name="dc_25">#REF!</definedName>
    <definedName name="dc_26">#REF!</definedName>
    <definedName name="dc_27">#REF!</definedName>
    <definedName name="dc_28">#REF!</definedName>
    <definedName name="dc_29">#REF!</definedName>
    <definedName name="dc_3">NA()</definedName>
    <definedName name="dc_30">#REF!</definedName>
    <definedName name="dc_31">#REF!</definedName>
    <definedName name="dc_32">#REF!</definedName>
    <definedName name="dc_33">#REF!</definedName>
    <definedName name="dc_34">#REF!</definedName>
    <definedName name="dc_35">#REF!</definedName>
    <definedName name="dc_36">#REF!</definedName>
    <definedName name="dc_37">#REF!</definedName>
    <definedName name="dc_38">#REF!</definedName>
    <definedName name="dc_39">#REF!</definedName>
    <definedName name="dc_40">#REF!</definedName>
    <definedName name="dc_41">#REF!</definedName>
    <definedName name="dc_42">#REF!</definedName>
    <definedName name="dc_43">#REF!</definedName>
    <definedName name="dc_44">#REF!</definedName>
    <definedName name="dc_45">#REF!</definedName>
    <definedName name="dc_46">#REF!</definedName>
    <definedName name="dc_47">#REF!</definedName>
    <definedName name="dc_48">#REF!</definedName>
    <definedName name="dc_49">#REF!</definedName>
    <definedName name="dc_5">NA()</definedName>
    <definedName name="dc_50">#REF!</definedName>
    <definedName name="dc_51">#REF!</definedName>
    <definedName name="dc_52">#REF!</definedName>
    <definedName name="dc_53">#REF!</definedName>
    <definedName name="dc_55">#REF!</definedName>
    <definedName name="dc_56">#REF!</definedName>
    <definedName name="dc_57">#REF!</definedName>
    <definedName name="dc_61">#REF!</definedName>
    <definedName name="dc_62">#REF!</definedName>
    <definedName name="dc_63">#REF!</definedName>
    <definedName name="dc_64">#REF!</definedName>
    <definedName name="dc_65">#REF!</definedName>
    <definedName name="dc_66">#REF!</definedName>
    <definedName name="dc_8">#REF!</definedName>
    <definedName name="dc_9">#REF!</definedName>
    <definedName name="dcbcvbc">#REF!</definedName>
    <definedName name="dcf">#N/A</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d">#REF!</definedName>
    <definedName name="ｄｄ">#N/A</definedName>
    <definedName name="DDD">#REF!</definedName>
    <definedName name="dddd">#REF!</definedName>
    <definedName name="ddddd" hidden="1">{"Bsheet",#N/A,FALSE,"Details";"P&amp;L",#N/A,FALSE,"Details";"Schedule",#N/A,FALSE,"Details";"Details",#N/A,FALSE,"Details"}</definedName>
    <definedName name="dddddddd" hidden="1">{#N/A,#N/A,TRUE,"Krycí list"}</definedName>
    <definedName name="ddddddddd">#REF!</definedName>
    <definedName name="dddddddddd">#REF!</definedName>
    <definedName name="ddddddddddd">#REF!</definedName>
    <definedName name="dddddddddddddddd" hidden="1">{#N/A,#N/A,TRUE,"Krycí list"}</definedName>
    <definedName name="dddddddddddddddddddd">#REF!</definedName>
    <definedName name="ddf">#N/A</definedName>
    <definedName name="de" hidden="1">#REF!</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aa" hidden="1">{#N/A,#N/A,TRUE,"Krycí list"}</definedName>
    <definedName name="dear"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c" hidden="1">{#N/A,#N/A,TRUE,"Front";#N/A,#N/A,TRUE,"Simple Letter";#N/A,#N/A,TRUE,"Inside";#N/A,#N/A,TRUE,"Contents";#N/A,#N/A,TRUE,"Basis";#N/A,#N/A,TRUE,"Inclusions";#N/A,#N/A,TRUE,"Exclusions";#N/A,#N/A,TRUE,"Areas";#N/A,#N/A,TRUE,"Summary";#N/A,#N/A,TRUE,"Detail"}</definedName>
    <definedName name="DEE">#REF!</definedName>
    <definedName name="deee" hidden="1">{"Bsheet",#N/A,FALSE,"Details";"P&amp;l",#N/A,FALSE,"Details";"Schedule",#N/A,FALSE,"Details";"Details",#N/A,FALSE,"Details";"Annexue II",#N/A,FALSE,"Details";"Branch Bs",#N/A,FALSE,"Details";"Branch PL",#N/A,FALSE,"Details"}</definedName>
    <definedName name="deees" hidden="1">{#N/A,#N/A,TRUE,"Krycí list"}</definedName>
    <definedName name="deep" hidden="1">{"Bsheet",#N/A,FALSE,"Details";"P&amp;L",#N/A,FALSE,"Details";"Schedule",#N/A,FALSE,"Details";"Details",#N/A,FALSE,"Details"}</definedName>
    <definedName name="deer" hidden="1">{#N/A,#N/A,TRUE,"Front";#N/A,#N/A,TRUE,"Simple Letter";#N/A,#N/A,TRUE,"Inside";#N/A,#N/A,TRUE,"Contents";#N/A,#N/A,TRUE,"Basis";#N/A,#N/A,TRUE,"Inclusions";#N/A,#N/A,TRUE,"Exclusions";#N/A,#N/A,TRUE,"Areas";#N/A,#N/A,TRUE,"Summary";#N/A,#N/A,TRUE,"Detail"}</definedName>
    <definedName name="def">#N/A</definedName>
    <definedName name="del">#REF!</definedName>
    <definedName name="delhi">#N/A</definedName>
    <definedName name="DELTA20">#REF!</definedName>
    <definedName name="DELTA20___0">#REF!</definedName>
    <definedName name="DELTA20___0_1">NA()</definedName>
    <definedName name="DELTA20___0_2">NA()</definedName>
    <definedName name="DELTA20___0_3">NA()</definedName>
    <definedName name="DELTA20___0_5">NA()</definedName>
    <definedName name="DELTA20___13">#REF!</definedName>
    <definedName name="DELTA20___13_1">NA()</definedName>
    <definedName name="DELTA20___13_2">NA()</definedName>
    <definedName name="DELTA20___13_3">NA()</definedName>
    <definedName name="DELTA20___13_5">NA()</definedName>
    <definedName name="DELTA20_1">NA()</definedName>
    <definedName name="DELTA20_2">NA()</definedName>
    <definedName name="DELTA20_3">NA()</definedName>
    <definedName name="DELTA20_5">NA()</definedName>
    <definedName name="DeluxeArea">#REF!</definedName>
    <definedName name="DeluxePerimeter">#REF!</definedName>
    <definedName name="den">#N/A</definedName>
    <definedName name="Depereciation" hidden="1">{"'Furniture&amp; O.E'!$A$4:$D$27"}</definedName>
    <definedName name="Depn">#REF!</definedName>
    <definedName name="depr">#REF!</definedName>
    <definedName name="DEPTH">#REF!</definedName>
    <definedName name="DEPTH_1">NA()</definedName>
    <definedName name="DEPTH_12">"'file://Agni/SKYTOP%20BUILDERS/Documents%20and%20Settings/anpcpmc.ANPRAKASHPMC/Desktop/rab%25252525252525252525252525252525252525252525252525252525252525252525252525252525252525252525252525252525252525252525233%20final.xls'#$''.$A$1:#REF!65536"</definedName>
    <definedName name="DEPTH_2">NA()</definedName>
    <definedName name="DEPTH_3">NA()</definedName>
    <definedName name="DEPTH_5">NA()</definedName>
    <definedName name="DER">#REF!</definedName>
    <definedName name="dert">#N/A</definedName>
    <definedName name="DES">#REF!</definedName>
    <definedName name="DES_1">#REF!</definedName>
    <definedName name="DES_10">#REF!</definedName>
    <definedName name="DES_11">#REF!</definedName>
    <definedName name="DES_12">#REF!</definedName>
    <definedName name="DES_20">#REF!</definedName>
    <definedName name="DES_21">#REF!</definedName>
    <definedName name="DES_24">#REF!</definedName>
    <definedName name="DES_25">#REF!</definedName>
    <definedName name="DES_26">#REF!</definedName>
    <definedName name="DES_27">#REF!</definedName>
    <definedName name="DES_28">#REF!</definedName>
    <definedName name="DES_29">#REF!</definedName>
    <definedName name="DES_30">#REF!</definedName>
    <definedName name="DES_31">#REF!</definedName>
    <definedName name="DES_32">#REF!</definedName>
    <definedName name="DES_33">#REF!</definedName>
    <definedName name="DES_34">#REF!</definedName>
    <definedName name="DES_35">#REF!</definedName>
    <definedName name="DES_36">#REF!</definedName>
    <definedName name="DES_37">#REF!</definedName>
    <definedName name="DES_38">#REF!</definedName>
    <definedName name="DES_39">#REF!</definedName>
    <definedName name="DES_4">#REF!</definedName>
    <definedName name="DES_40">#REF!</definedName>
    <definedName name="DES_41">#REF!</definedName>
    <definedName name="DES_42">#REF!</definedName>
    <definedName name="DES_43">#REF!</definedName>
    <definedName name="DES_44">#REF!</definedName>
    <definedName name="DES_45">#REF!</definedName>
    <definedName name="DES_46">#REF!</definedName>
    <definedName name="DES_47">#REF!</definedName>
    <definedName name="DES_48">#REF!</definedName>
    <definedName name="DES_49">#REF!</definedName>
    <definedName name="DES_50">#REF!</definedName>
    <definedName name="DES_51">#REF!</definedName>
    <definedName name="DES_52">#REF!</definedName>
    <definedName name="DES_53">#REF!</definedName>
    <definedName name="DES_55">#REF!</definedName>
    <definedName name="DES_56">#REF!</definedName>
    <definedName name="DES_57">#REF!</definedName>
    <definedName name="DES_61">#REF!</definedName>
    <definedName name="DES_62">#REF!</definedName>
    <definedName name="DES_63">#REF!</definedName>
    <definedName name="DES_64">#REF!</definedName>
    <definedName name="DES_65">#REF!</definedName>
    <definedName name="DES_66">#REF!</definedName>
    <definedName name="DES_8">#REF!</definedName>
    <definedName name="DES_9">#REF!</definedName>
    <definedName name="Desc01">#REF!</definedName>
    <definedName name="Desc02">#REF!</definedName>
    <definedName name="DESC1">#REF!</definedName>
    <definedName name="DESC10">#REF!</definedName>
    <definedName name="DESC100">#N/A</definedName>
    <definedName name="DESC100_1">NA()</definedName>
    <definedName name="DESC100_2">NA()</definedName>
    <definedName name="DESC100_3">NA()</definedName>
    <definedName name="DESC100_5">NA()</definedName>
    <definedName name="DESC100_6">NA()</definedName>
    <definedName name="DESC101">#N/A</definedName>
    <definedName name="DESC101_1">NA()</definedName>
    <definedName name="DESC101_2">NA()</definedName>
    <definedName name="DESC101_3">NA()</definedName>
    <definedName name="DESC101_5">NA()</definedName>
    <definedName name="DESC101_6">NA()</definedName>
    <definedName name="DESC1011">#N/A</definedName>
    <definedName name="DESC1011_1">NA()</definedName>
    <definedName name="DESC1011_2">NA()</definedName>
    <definedName name="DESC1011_3">NA()</definedName>
    <definedName name="DESC1011_5">NA()</definedName>
    <definedName name="DESC1011_6">NA()</definedName>
    <definedName name="DESC1012">#N/A</definedName>
    <definedName name="DESC1012_1">NA()</definedName>
    <definedName name="DESC1012_2">NA()</definedName>
    <definedName name="DESC1012_3">NA()</definedName>
    <definedName name="DESC1012_5">NA()</definedName>
    <definedName name="DESC1012_6">NA()</definedName>
    <definedName name="DESC1013">#N/A</definedName>
    <definedName name="DESC1013_1">NA()</definedName>
    <definedName name="DESC1013_2">NA()</definedName>
    <definedName name="DESC1013_3">NA()</definedName>
    <definedName name="DESC1013_5">NA()</definedName>
    <definedName name="DESC1013_6">NA()</definedName>
    <definedName name="DESC1014">#N/A</definedName>
    <definedName name="DESC1014_1">NA()</definedName>
    <definedName name="DESC1014_2">NA()</definedName>
    <definedName name="DESC1014_3">NA()</definedName>
    <definedName name="DESC1014_5">NA()</definedName>
    <definedName name="DESC1014_6">NA()</definedName>
    <definedName name="DESC1015">#N/A</definedName>
    <definedName name="DESC1015_1">NA()</definedName>
    <definedName name="DESC1015_2">NA()</definedName>
    <definedName name="DESC1015_3">NA()</definedName>
    <definedName name="DESC1015_5">NA()</definedName>
    <definedName name="DESC1015_6">NA()</definedName>
    <definedName name="DESC102">#N/A</definedName>
    <definedName name="DESC102_1">NA()</definedName>
    <definedName name="DESC102_2">NA()</definedName>
    <definedName name="DESC102_3">NA()</definedName>
    <definedName name="DESC102_5">NA()</definedName>
    <definedName name="DESC102_6">NA()</definedName>
    <definedName name="DESC103">#N/A</definedName>
    <definedName name="DESC103_1">NA()</definedName>
    <definedName name="DESC103_2">NA()</definedName>
    <definedName name="DESC103_3">NA()</definedName>
    <definedName name="DESC103_5">NA()</definedName>
    <definedName name="DESC103_6">NA()</definedName>
    <definedName name="DESC104">#N/A</definedName>
    <definedName name="DESC104_1">NA()</definedName>
    <definedName name="DESC104_2">NA()</definedName>
    <definedName name="DESC104_3">NA()</definedName>
    <definedName name="DESC104_5">NA()</definedName>
    <definedName name="DESC104_6">NA()</definedName>
    <definedName name="DESC105">#N/A</definedName>
    <definedName name="DESC105_1">NA()</definedName>
    <definedName name="DESC105_2">NA()</definedName>
    <definedName name="DESC105_3">NA()</definedName>
    <definedName name="DESC105_5">NA()</definedName>
    <definedName name="DESC105_6">NA()</definedName>
    <definedName name="DESC106">#N/A</definedName>
    <definedName name="DESC106_1">NA()</definedName>
    <definedName name="DESC106_2">NA()</definedName>
    <definedName name="DESC106_3">NA()</definedName>
    <definedName name="DESC106_5">NA()</definedName>
    <definedName name="DESC106_6">NA()</definedName>
    <definedName name="DESC107">#N/A</definedName>
    <definedName name="DESC107_1">NA()</definedName>
    <definedName name="DESC107_2">NA()</definedName>
    <definedName name="DESC107_3">NA()</definedName>
    <definedName name="DESC107_5">NA()</definedName>
    <definedName name="DESC107_6">NA()</definedName>
    <definedName name="DESC107A">#N/A</definedName>
    <definedName name="DESC107A_1">NA()</definedName>
    <definedName name="DESC107A_2">NA()</definedName>
    <definedName name="DESC107A_3">NA()</definedName>
    <definedName name="DESC107A_5">NA()</definedName>
    <definedName name="DESC107A_6">NA()</definedName>
    <definedName name="DESC107B">#N/A</definedName>
    <definedName name="DESC107B_1">NA()</definedName>
    <definedName name="DESC107B_2">NA()</definedName>
    <definedName name="DESC107B_3">NA()</definedName>
    <definedName name="DESC107B_5">NA()</definedName>
    <definedName name="DESC107B_6">NA()</definedName>
    <definedName name="DESC107C">#N/A</definedName>
    <definedName name="DESC107C_1">NA()</definedName>
    <definedName name="DESC107C_2">NA()</definedName>
    <definedName name="DESC107C_3">NA()</definedName>
    <definedName name="DESC107C_5">NA()</definedName>
    <definedName name="DESC107C_6">NA()</definedName>
    <definedName name="DESC107D">#N/A</definedName>
    <definedName name="DESC107D_1">NA()</definedName>
    <definedName name="DESC107D_2">NA()</definedName>
    <definedName name="DESC107D_3">NA()</definedName>
    <definedName name="DESC107D_5">NA()</definedName>
    <definedName name="DESC107D_6">NA()</definedName>
    <definedName name="DESC107E">#N/A</definedName>
    <definedName name="DESC107E_1">NA()</definedName>
    <definedName name="DESC107E_2">NA()</definedName>
    <definedName name="DESC107E_3">NA()</definedName>
    <definedName name="DESC107E_5">NA()</definedName>
    <definedName name="DESC107E_6">NA()</definedName>
    <definedName name="DESC107F">#N/A</definedName>
    <definedName name="DESC107F_1">NA()</definedName>
    <definedName name="DESC107F_2">NA()</definedName>
    <definedName name="DESC107F_3">NA()</definedName>
    <definedName name="DESC107F_5">NA()</definedName>
    <definedName name="DESC107F_6">NA()</definedName>
    <definedName name="DESC107G">#N/A</definedName>
    <definedName name="DESC107G_1">NA()</definedName>
    <definedName name="DESC107G_2">NA()</definedName>
    <definedName name="DESC107G_3">NA()</definedName>
    <definedName name="DESC107G_5">NA()</definedName>
    <definedName name="DESC107G_6">NA()</definedName>
    <definedName name="DESC108">#N/A</definedName>
    <definedName name="DESC108_1">NA()</definedName>
    <definedName name="DESC108_2">NA()</definedName>
    <definedName name="DESC108_3">NA()</definedName>
    <definedName name="DESC108_5">NA()</definedName>
    <definedName name="DESC108_6">NA()</definedName>
    <definedName name="DESC108A">#N/A</definedName>
    <definedName name="DESC108A_1">NA()</definedName>
    <definedName name="DESC108A_2">NA()</definedName>
    <definedName name="DESC108A_3">NA()</definedName>
    <definedName name="DESC108A_5">NA()</definedName>
    <definedName name="DESC108A_6">NA()</definedName>
    <definedName name="DESC108B">#N/A</definedName>
    <definedName name="DESC108B_1">NA()</definedName>
    <definedName name="DESC108B_2">NA()</definedName>
    <definedName name="DESC108B_3">NA()</definedName>
    <definedName name="DESC108B_5">NA()</definedName>
    <definedName name="DESC108B_6">NA()</definedName>
    <definedName name="DESC108C">#N/A</definedName>
    <definedName name="DESC108C_1">NA()</definedName>
    <definedName name="DESC108C_2">NA()</definedName>
    <definedName name="DESC108C_3">NA()</definedName>
    <definedName name="DESC108C_5">NA()</definedName>
    <definedName name="DESC108C_6">NA()</definedName>
    <definedName name="DESC108D">#N/A</definedName>
    <definedName name="DESC108D_1">NA()</definedName>
    <definedName name="DESC108D_2">NA()</definedName>
    <definedName name="DESC108D_3">NA()</definedName>
    <definedName name="DESC108D_5">NA()</definedName>
    <definedName name="DESC108D_6">NA()</definedName>
    <definedName name="DESC108E">#N/A</definedName>
    <definedName name="DESC108E_1">NA()</definedName>
    <definedName name="DESC108E_2">NA()</definedName>
    <definedName name="DESC108E_3">NA()</definedName>
    <definedName name="DESC108E_5">NA()</definedName>
    <definedName name="DESC108E_6">NA()</definedName>
    <definedName name="DESC108F">#N/A</definedName>
    <definedName name="DESC108F_1">NA()</definedName>
    <definedName name="DESC108F_2">NA()</definedName>
    <definedName name="DESC108F_3">NA()</definedName>
    <definedName name="DESC108F_5">NA()</definedName>
    <definedName name="DESC108F_6">NA()</definedName>
    <definedName name="DESC108G">#N/A</definedName>
    <definedName name="DESC108G_1">NA()</definedName>
    <definedName name="DESC108G_2">NA()</definedName>
    <definedName name="DESC108G_3">NA()</definedName>
    <definedName name="DESC108G_5">NA()</definedName>
    <definedName name="DESC108G_6">NA()</definedName>
    <definedName name="DESC108H">#N/A</definedName>
    <definedName name="DESC108H_1">NA()</definedName>
    <definedName name="DESC108H_2">NA()</definedName>
    <definedName name="DESC108H_3">NA()</definedName>
    <definedName name="DESC108H_5">NA()</definedName>
    <definedName name="DESC108H_6">NA()</definedName>
    <definedName name="DESC108I">#N/A</definedName>
    <definedName name="DESC108I_1">NA()</definedName>
    <definedName name="DESC108I_2">NA()</definedName>
    <definedName name="DESC108I_3">NA()</definedName>
    <definedName name="DESC108I_5">NA()</definedName>
    <definedName name="DESC108I_6">NA()</definedName>
    <definedName name="DESC108J">#N/A</definedName>
    <definedName name="DESC108J_1">NA()</definedName>
    <definedName name="DESC108J_2">NA()</definedName>
    <definedName name="DESC108J_3">NA()</definedName>
    <definedName name="DESC108J_5">NA()</definedName>
    <definedName name="DESC108J_6">NA()</definedName>
    <definedName name="DESC108K">#N/A</definedName>
    <definedName name="DESC108K_1">NA()</definedName>
    <definedName name="DESC108K_2">NA()</definedName>
    <definedName name="DESC108K_3">NA()</definedName>
    <definedName name="DESC108K_5">NA()</definedName>
    <definedName name="DESC108K_6">NA()</definedName>
    <definedName name="DESC108L">#N/A</definedName>
    <definedName name="DESC108L_1">NA()</definedName>
    <definedName name="DESC108L_2">NA()</definedName>
    <definedName name="DESC108L_3">NA()</definedName>
    <definedName name="DESC108L_5">NA()</definedName>
    <definedName name="DESC108L_6">NA()</definedName>
    <definedName name="DESC108M">#N/A</definedName>
    <definedName name="DESC108M_1">NA()</definedName>
    <definedName name="DESC108M_2">NA()</definedName>
    <definedName name="DESC108M_3">NA()</definedName>
    <definedName name="DESC108M_5">NA()</definedName>
    <definedName name="DESC108M_6">NA()</definedName>
    <definedName name="DESC108N">#N/A</definedName>
    <definedName name="DESC108N_1">NA()</definedName>
    <definedName name="DESC108N_2">NA()</definedName>
    <definedName name="DESC108N_3">NA()</definedName>
    <definedName name="DESC108N_5">NA()</definedName>
    <definedName name="DESC108N_6">NA()</definedName>
    <definedName name="DESC108O">#N/A</definedName>
    <definedName name="DESC108O_1">NA()</definedName>
    <definedName name="DESC108O_2">NA()</definedName>
    <definedName name="DESC108O_3">NA()</definedName>
    <definedName name="DESC108O_5">NA()</definedName>
    <definedName name="DESC108O_6">NA()</definedName>
    <definedName name="DESC108P">#N/A</definedName>
    <definedName name="DESC108P_1">NA()</definedName>
    <definedName name="DESC108P_2">NA()</definedName>
    <definedName name="DESC108P_3">NA()</definedName>
    <definedName name="DESC108P_5">NA()</definedName>
    <definedName name="DESC108P_6">NA()</definedName>
    <definedName name="DESC109">#N/A</definedName>
    <definedName name="DESC109_1">NA()</definedName>
    <definedName name="DESC109_2">NA()</definedName>
    <definedName name="DESC109_3">NA()</definedName>
    <definedName name="DESC109_5">NA()</definedName>
    <definedName name="DESC109_6">NA()</definedName>
    <definedName name="DESC109A">#N/A</definedName>
    <definedName name="DESC109A_1">NA()</definedName>
    <definedName name="DESC109A_2">NA()</definedName>
    <definedName name="DESC109A_3">NA()</definedName>
    <definedName name="DESC109A_5">NA()</definedName>
    <definedName name="DESC109A_6">NA()</definedName>
    <definedName name="DESC109B">#N/A</definedName>
    <definedName name="DESC109B_1">NA()</definedName>
    <definedName name="DESC109B_2">NA()</definedName>
    <definedName name="DESC109B_3">NA()</definedName>
    <definedName name="DESC109B_5">NA()</definedName>
    <definedName name="DESC109B_6">NA()</definedName>
    <definedName name="DESC109C">#N/A</definedName>
    <definedName name="DESC109C_1">NA()</definedName>
    <definedName name="DESC109C_2">NA()</definedName>
    <definedName name="DESC109C_3">NA()</definedName>
    <definedName name="DESC109C_5">NA()</definedName>
    <definedName name="DESC109C_6">NA()</definedName>
    <definedName name="DESC109D">#N/A</definedName>
    <definedName name="DESC109D_1">NA()</definedName>
    <definedName name="DESC109D_2">NA()</definedName>
    <definedName name="DESC109D_3">NA()</definedName>
    <definedName name="DESC109D_5">NA()</definedName>
    <definedName name="DESC109D_6">NA()</definedName>
    <definedName name="DESC109E">#N/A</definedName>
    <definedName name="DESC109E_1">NA()</definedName>
    <definedName name="DESC109E_2">NA()</definedName>
    <definedName name="DESC109E_3">NA()</definedName>
    <definedName name="DESC109E_5">NA()</definedName>
    <definedName name="DESC109E_6">NA()</definedName>
    <definedName name="DESC109F">#N/A</definedName>
    <definedName name="DESC109F_1">NA()</definedName>
    <definedName name="DESC109F_2">NA()</definedName>
    <definedName name="DESC109F_3">NA()</definedName>
    <definedName name="DESC109F_5">NA()</definedName>
    <definedName name="DESC109F_6">NA()</definedName>
    <definedName name="DESC109G">#N/A</definedName>
    <definedName name="DESC109G_1">NA()</definedName>
    <definedName name="DESC109G_2">NA()</definedName>
    <definedName name="DESC109G_3">NA()</definedName>
    <definedName name="DESC109G_5">NA()</definedName>
    <definedName name="DESC109G_6">NA()</definedName>
    <definedName name="DESC109H">#N/A</definedName>
    <definedName name="DESC109H_1">NA()</definedName>
    <definedName name="DESC109H_2">NA()</definedName>
    <definedName name="DESC109H_3">NA()</definedName>
    <definedName name="DESC109H_5">NA()</definedName>
    <definedName name="DESC109H_6">NA()</definedName>
    <definedName name="DESC109I">#N/A</definedName>
    <definedName name="DESC109I_1">NA()</definedName>
    <definedName name="DESC109I_2">NA()</definedName>
    <definedName name="DESC109I_3">NA()</definedName>
    <definedName name="DESC109I_5">NA()</definedName>
    <definedName name="DESC109I_6">NA()</definedName>
    <definedName name="DESC109J">#N/A</definedName>
    <definedName name="DESC109J_1">NA()</definedName>
    <definedName name="DESC109J_2">NA()</definedName>
    <definedName name="DESC109J_3">NA()</definedName>
    <definedName name="DESC109J_5">NA()</definedName>
    <definedName name="DESC109J_6">NA()</definedName>
    <definedName name="DESC109K">#N/A</definedName>
    <definedName name="DESC109K_1">NA()</definedName>
    <definedName name="DESC109K_2">NA()</definedName>
    <definedName name="DESC109K_3">NA()</definedName>
    <definedName name="DESC109K_5">NA()</definedName>
    <definedName name="DESC109K_6">NA()</definedName>
    <definedName name="DESC109L">#N/A</definedName>
    <definedName name="DESC109L_1">NA()</definedName>
    <definedName name="DESC109L_2">NA()</definedName>
    <definedName name="DESC109L_3">NA()</definedName>
    <definedName name="DESC109L_5">NA()</definedName>
    <definedName name="DESC109L_6">NA()</definedName>
    <definedName name="DESC109M">#N/A</definedName>
    <definedName name="DESC109M_1">NA()</definedName>
    <definedName name="DESC109M_2">NA()</definedName>
    <definedName name="DESC109M_3">NA()</definedName>
    <definedName name="DESC109M_5">NA()</definedName>
    <definedName name="DESC109M_6">NA()</definedName>
    <definedName name="DESC109N">#N/A</definedName>
    <definedName name="DESC109N_1">NA()</definedName>
    <definedName name="DESC109N_2">NA()</definedName>
    <definedName name="DESC109N_3">NA()</definedName>
    <definedName name="DESC109N_5">NA()</definedName>
    <definedName name="DESC109N_6">NA()</definedName>
    <definedName name="DESC109O">#N/A</definedName>
    <definedName name="DESC109O_1">NA()</definedName>
    <definedName name="DESC109O_2">NA()</definedName>
    <definedName name="DESC109O_3">NA()</definedName>
    <definedName name="DESC109O_5">NA()</definedName>
    <definedName name="DESC109O_6">NA()</definedName>
    <definedName name="DESC109P">#N/A</definedName>
    <definedName name="DESC109P_1">NA()</definedName>
    <definedName name="DESC109P_2">NA()</definedName>
    <definedName name="DESC109P_3">NA()</definedName>
    <definedName name="DESC109P_5">NA()</definedName>
    <definedName name="DESC109P_6">NA()</definedName>
    <definedName name="DESC11">#REF!</definedName>
    <definedName name="DESC110">#N/A</definedName>
    <definedName name="DESC110_1">NA()</definedName>
    <definedName name="DESC110_2">NA()</definedName>
    <definedName name="DESC110_3">NA()</definedName>
    <definedName name="DESC110_5">NA()</definedName>
    <definedName name="DESC110_6">NA()</definedName>
    <definedName name="DESC110A">#N/A</definedName>
    <definedName name="DESC110A_1">NA()</definedName>
    <definedName name="DESC110A_2">NA()</definedName>
    <definedName name="DESC110A_3">NA()</definedName>
    <definedName name="DESC110A_5">NA()</definedName>
    <definedName name="DESC110A_6">NA()</definedName>
    <definedName name="DESC110B">#N/A</definedName>
    <definedName name="DESC110B_1">NA()</definedName>
    <definedName name="DESC110B_2">NA()</definedName>
    <definedName name="DESC110B_3">NA()</definedName>
    <definedName name="DESC110B_5">NA()</definedName>
    <definedName name="DESC110B_6">NA()</definedName>
    <definedName name="DESC110C">#N/A</definedName>
    <definedName name="DESC110C_1">NA()</definedName>
    <definedName name="DESC110C_2">NA()</definedName>
    <definedName name="DESC110C_3">NA()</definedName>
    <definedName name="DESC110C_5">NA()</definedName>
    <definedName name="DESC110C_6">NA()</definedName>
    <definedName name="DESC110D">#N/A</definedName>
    <definedName name="DESC110D_1">NA()</definedName>
    <definedName name="DESC110D_2">NA()</definedName>
    <definedName name="DESC110D_3">NA()</definedName>
    <definedName name="DESC110D_5">NA()</definedName>
    <definedName name="DESC110D_6">NA()</definedName>
    <definedName name="DESC110E">#N/A</definedName>
    <definedName name="DESC110E_1">NA()</definedName>
    <definedName name="DESC110E_2">NA()</definedName>
    <definedName name="DESC110E_3">NA()</definedName>
    <definedName name="DESC110E_5">NA()</definedName>
    <definedName name="DESC110E_6">NA()</definedName>
    <definedName name="DESC110F">#N/A</definedName>
    <definedName name="DESC110F_1">NA()</definedName>
    <definedName name="DESC110F_2">NA()</definedName>
    <definedName name="DESC110F_3">NA()</definedName>
    <definedName name="DESC110F_5">NA()</definedName>
    <definedName name="DESC110F_6">NA()</definedName>
    <definedName name="DESC110G">#N/A</definedName>
    <definedName name="DESC110G_1">NA()</definedName>
    <definedName name="DESC110G_2">NA()</definedName>
    <definedName name="DESC110G_3">NA()</definedName>
    <definedName name="DESC110G_5">NA()</definedName>
    <definedName name="DESC110G_6">NA()</definedName>
    <definedName name="DESC110H">#N/A</definedName>
    <definedName name="DESC110H_1">NA()</definedName>
    <definedName name="DESC110H_2">NA()</definedName>
    <definedName name="DESC110H_3">NA()</definedName>
    <definedName name="DESC110H_5">NA()</definedName>
    <definedName name="DESC110H_6">NA()</definedName>
    <definedName name="DESC110I">#N/A</definedName>
    <definedName name="DESC110I_1">NA()</definedName>
    <definedName name="DESC110I_2">NA()</definedName>
    <definedName name="DESC110I_3">NA()</definedName>
    <definedName name="DESC110I_5">NA()</definedName>
    <definedName name="DESC110I_6">NA()</definedName>
    <definedName name="DESC110J">#N/A</definedName>
    <definedName name="DESC110J_1">NA()</definedName>
    <definedName name="DESC110J_2">NA()</definedName>
    <definedName name="DESC110J_3">NA()</definedName>
    <definedName name="DESC110J_5">NA()</definedName>
    <definedName name="DESC110J_6">NA()</definedName>
    <definedName name="DESC110K">#N/A</definedName>
    <definedName name="DESC110K_1">NA()</definedName>
    <definedName name="DESC110K_2">NA()</definedName>
    <definedName name="DESC110K_3">NA()</definedName>
    <definedName name="DESC110K_5">NA()</definedName>
    <definedName name="DESC110K_6">NA()</definedName>
    <definedName name="DESC110L">#N/A</definedName>
    <definedName name="DESC110L_1">NA()</definedName>
    <definedName name="DESC110L_2">NA()</definedName>
    <definedName name="DESC110L_3">NA()</definedName>
    <definedName name="DESC110L_5">NA()</definedName>
    <definedName name="DESC110L_6">NA()</definedName>
    <definedName name="DESC110M">#N/A</definedName>
    <definedName name="DESC110M_1">NA()</definedName>
    <definedName name="DESC110M_2">NA()</definedName>
    <definedName name="DESC110M_3">NA()</definedName>
    <definedName name="DESC110M_5">NA()</definedName>
    <definedName name="DESC110M_6">NA()</definedName>
    <definedName name="DESC110N">#N/A</definedName>
    <definedName name="DESC110N_1">NA()</definedName>
    <definedName name="DESC110N_2">NA()</definedName>
    <definedName name="DESC110N_3">NA()</definedName>
    <definedName name="DESC110N_5">NA()</definedName>
    <definedName name="DESC110N_6">NA()</definedName>
    <definedName name="DESC110O">#N/A</definedName>
    <definedName name="DESC110O_1">NA()</definedName>
    <definedName name="DESC110O_2">NA()</definedName>
    <definedName name="DESC110O_3">NA()</definedName>
    <definedName name="DESC110O_5">NA()</definedName>
    <definedName name="DESC110O_6">NA()</definedName>
    <definedName name="DESC110P">#N/A</definedName>
    <definedName name="DESC110P_1">NA()</definedName>
    <definedName name="DESC110P_2">NA()</definedName>
    <definedName name="DESC110P_3">NA()</definedName>
    <definedName name="DESC110P_5">NA()</definedName>
    <definedName name="DESC110P_6">NA()</definedName>
    <definedName name="DESC111">#N/A</definedName>
    <definedName name="DESC111_1">NA()</definedName>
    <definedName name="DESC111_2">NA()</definedName>
    <definedName name="DESC111_3">NA()</definedName>
    <definedName name="DESC111_5">NA()</definedName>
    <definedName name="DESC111_6">NA()</definedName>
    <definedName name="DESC111A">#N/A</definedName>
    <definedName name="DESC111A_1">NA()</definedName>
    <definedName name="DESC111A_2">NA()</definedName>
    <definedName name="DESC111A_3">NA()</definedName>
    <definedName name="DESC111A_5">NA()</definedName>
    <definedName name="DESC111A_6">NA()</definedName>
    <definedName name="DESC111B">#N/A</definedName>
    <definedName name="DESC111B_1">NA()</definedName>
    <definedName name="DESC111B_2">NA()</definedName>
    <definedName name="DESC111B_3">NA()</definedName>
    <definedName name="DESC111B_5">NA()</definedName>
    <definedName name="DESC111B_6">NA()</definedName>
    <definedName name="DESC111C">#N/A</definedName>
    <definedName name="DESC111C_1">NA()</definedName>
    <definedName name="DESC111C_2">NA()</definedName>
    <definedName name="DESC111C_3">NA()</definedName>
    <definedName name="DESC111C_5">NA()</definedName>
    <definedName name="DESC111C_6">NA()</definedName>
    <definedName name="DESC111D">#N/A</definedName>
    <definedName name="DESC111D_1">NA()</definedName>
    <definedName name="DESC111D_2">NA()</definedName>
    <definedName name="DESC111D_3">NA()</definedName>
    <definedName name="DESC111D_5">NA()</definedName>
    <definedName name="DESC111D_6">NA()</definedName>
    <definedName name="DESC111E">#N/A</definedName>
    <definedName name="DESC111E_1">NA()</definedName>
    <definedName name="DESC111E_2">NA()</definedName>
    <definedName name="DESC111E_3">NA()</definedName>
    <definedName name="DESC111E_5">NA()</definedName>
    <definedName name="DESC111E_6">NA()</definedName>
    <definedName name="DESC111F">#N/A</definedName>
    <definedName name="DESC111F_1">NA()</definedName>
    <definedName name="DESC111F_2">NA()</definedName>
    <definedName name="DESC111F_3">NA()</definedName>
    <definedName name="DESC111F_5">NA()</definedName>
    <definedName name="DESC111F_6">NA()</definedName>
    <definedName name="DESC111G">#N/A</definedName>
    <definedName name="DESC111G_1">NA()</definedName>
    <definedName name="DESC111G_2">NA()</definedName>
    <definedName name="DESC111G_3">NA()</definedName>
    <definedName name="DESC111G_5">NA()</definedName>
    <definedName name="DESC111G_6">NA()</definedName>
    <definedName name="DESC111H">#N/A</definedName>
    <definedName name="DESC111H_1">NA()</definedName>
    <definedName name="DESC111H_2">NA()</definedName>
    <definedName name="DESC111H_3">NA()</definedName>
    <definedName name="DESC111H_5">NA()</definedName>
    <definedName name="DESC111H_6">NA()</definedName>
    <definedName name="DESC111I">#N/A</definedName>
    <definedName name="DESC111I_1">NA()</definedName>
    <definedName name="DESC111I_2">NA()</definedName>
    <definedName name="DESC111I_3">NA()</definedName>
    <definedName name="DESC111I_5">NA()</definedName>
    <definedName name="DESC111I_6">NA()</definedName>
    <definedName name="DESC111J">#N/A</definedName>
    <definedName name="DESC111J_1">NA()</definedName>
    <definedName name="DESC111J_2">NA()</definedName>
    <definedName name="DESC111J_3">NA()</definedName>
    <definedName name="DESC111J_5">NA()</definedName>
    <definedName name="DESC111J_6">NA()</definedName>
    <definedName name="DESC111K">#N/A</definedName>
    <definedName name="DESC111K_1">NA()</definedName>
    <definedName name="DESC111K_2">NA()</definedName>
    <definedName name="DESC111K_3">NA()</definedName>
    <definedName name="DESC111K_5">NA()</definedName>
    <definedName name="DESC111K_6">NA()</definedName>
    <definedName name="DESC111L">#N/A</definedName>
    <definedName name="DESC111L_1">NA()</definedName>
    <definedName name="DESC111L_2">NA()</definedName>
    <definedName name="DESC111L_3">NA()</definedName>
    <definedName name="DESC111L_5">NA()</definedName>
    <definedName name="DESC111L_6">NA()</definedName>
    <definedName name="DESC111M">#N/A</definedName>
    <definedName name="DESC111M_1">NA()</definedName>
    <definedName name="DESC111M_2">NA()</definedName>
    <definedName name="DESC111M_3">NA()</definedName>
    <definedName name="DESC111M_5">NA()</definedName>
    <definedName name="DESC111M_6">NA()</definedName>
    <definedName name="DESC111N">#N/A</definedName>
    <definedName name="DESC111N_1">NA()</definedName>
    <definedName name="DESC111N_2">NA()</definedName>
    <definedName name="DESC111N_3">NA()</definedName>
    <definedName name="DESC111N_5">NA()</definedName>
    <definedName name="DESC111N_6">NA()</definedName>
    <definedName name="DESC111O">#N/A</definedName>
    <definedName name="DESC111O_1">NA()</definedName>
    <definedName name="DESC111O_2">NA()</definedName>
    <definedName name="DESC111O_3">NA()</definedName>
    <definedName name="DESC111O_5">NA()</definedName>
    <definedName name="DESC111O_6">NA()</definedName>
    <definedName name="DESC111P">#N/A</definedName>
    <definedName name="DESC111P_1">NA()</definedName>
    <definedName name="DESC111P_2">NA()</definedName>
    <definedName name="DESC111P_3">NA()</definedName>
    <definedName name="DESC111P_5">NA()</definedName>
    <definedName name="DESC111P_6">NA()</definedName>
    <definedName name="DESC112">#N/A</definedName>
    <definedName name="DESC112_1">NA()</definedName>
    <definedName name="DESC112_2">NA()</definedName>
    <definedName name="DESC112_3">NA()</definedName>
    <definedName name="DESC112_5">NA()</definedName>
    <definedName name="DESC112_6">NA()</definedName>
    <definedName name="DESC112A">#N/A</definedName>
    <definedName name="DESC112A_1">NA()</definedName>
    <definedName name="DESC112A_2">NA()</definedName>
    <definedName name="DESC112A_3">NA()</definedName>
    <definedName name="DESC112A_5">NA()</definedName>
    <definedName name="DESC112A_6">NA()</definedName>
    <definedName name="DESC112B">#N/A</definedName>
    <definedName name="DESC112B_1">NA()</definedName>
    <definedName name="DESC112B_2">NA()</definedName>
    <definedName name="DESC112B_3">NA()</definedName>
    <definedName name="DESC112B_5">NA()</definedName>
    <definedName name="DESC112B_6">NA()</definedName>
    <definedName name="DESC112C">#N/A</definedName>
    <definedName name="DESC112C_1">NA()</definedName>
    <definedName name="DESC112C_2">NA()</definedName>
    <definedName name="DESC112C_3">NA()</definedName>
    <definedName name="DESC112C_5">NA()</definedName>
    <definedName name="DESC112C_6">NA()</definedName>
    <definedName name="DESC112D">#N/A</definedName>
    <definedName name="DESC112D_1">NA()</definedName>
    <definedName name="DESC112D_2">NA()</definedName>
    <definedName name="DESC112D_3">NA()</definedName>
    <definedName name="DESC112D_5">NA()</definedName>
    <definedName name="DESC112D_6">NA()</definedName>
    <definedName name="DESC112E">#N/A</definedName>
    <definedName name="DESC112E_1">NA()</definedName>
    <definedName name="DESC112E_2">NA()</definedName>
    <definedName name="DESC112E_3">NA()</definedName>
    <definedName name="DESC112E_5">NA()</definedName>
    <definedName name="DESC112E_6">NA()</definedName>
    <definedName name="DESC112F">#N/A</definedName>
    <definedName name="DESC112F_1">NA()</definedName>
    <definedName name="DESC112F_2">NA()</definedName>
    <definedName name="DESC112F_3">NA()</definedName>
    <definedName name="DESC112F_5">NA()</definedName>
    <definedName name="DESC112F_6">NA()</definedName>
    <definedName name="DESC112G">#N/A</definedName>
    <definedName name="DESC112G_1">NA()</definedName>
    <definedName name="DESC112G_2">NA()</definedName>
    <definedName name="DESC112G_3">NA()</definedName>
    <definedName name="DESC112G_5">NA()</definedName>
    <definedName name="DESC112G_6">NA()</definedName>
    <definedName name="DESC112H">#N/A</definedName>
    <definedName name="DESC112H_1">NA()</definedName>
    <definedName name="DESC112H_2">NA()</definedName>
    <definedName name="DESC112H_3">NA()</definedName>
    <definedName name="DESC112H_5">NA()</definedName>
    <definedName name="DESC112H_6">NA()</definedName>
    <definedName name="DESC112I">#N/A</definedName>
    <definedName name="DESC112I_1">NA()</definedName>
    <definedName name="DESC112I_2">NA()</definedName>
    <definedName name="DESC112I_3">NA()</definedName>
    <definedName name="DESC112I_5">NA()</definedName>
    <definedName name="DESC112I_6">NA()</definedName>
    <definedName name="DESC112J">#N/A</definedName>
    <definedName name="DESC112J_1">NA()</definedName>
    <definedName name="DESC112J_2">NA()</definedName>
    <definedName name="DESC112J_3">NA()</definedName>
    <definedName name="DESC112J_5">NA()</definedName>
    <definedName name="DESC112J_6">NA()</definedName>
    <definedName name="DESC112K">#N/A</definedName>
    <definedName name="DESC112K_1">NA()</definedName>
    <definedName name="DESC112K_2">NA()</definedName>
    <definedName name="DESC112K_3">NA()</definedName>
    <definedName name="DESC112K_5">NA()</definedName>
    <definedName name="DESC112K_6">NA()</definedName>
    <definedName name="DESC112L">#N/A</definedName>
    <definedName name="DESC112L_1">NA()</definedName>
    <definedName name="DESC112L_2">NA()</definedName>
    <definedName name="DESC112L_3">NA()</definedName>
    <definedName name="DESC112L_5">NA()</definedName>
    <definedName name="DESC112L_6">NA()</definedName>
    <definedName name="DESC112M">#N/A</definedName>
    <definedName name="DESC112M_1">NA()</definedName>
    <definedName name="DESC112M_2">NA()</definedName>
    <definedName name="DESC112M_3">NA()</definedName>
    <definedName name="DESC112M_5">NA()</definedName>
    <definedName name="DESC112M_6">NA()</definedName>
    <definedName name="DESC112N">#N/A</definedName>
    <definedName name="DESC112N_1">NA()</definedName>
    <definedName name="DESC112N_2">NA()</definedName>
    <definedName name="DESC112N_3">NA()</definedName>
    <definedName name="DESC112N_5">NA()</definedName>
    <definedName name="DESC112N_6">NA()</definedName>
    <definedName name="DESC112O">#N/A</definedName>
    <definedName name="DESC112O_1">NA()</definedName>
    <definedName name="DESC112O_2">NA()</definedName>
    <definedName name="DESC112O_3">NA()</definedName>
    <definedName name="DESC112O_5">NA()</definedName>
    <definedName name="DESC112O_6">NA()</definedName>
    <definedName name="DESC112P">#N/A</definedName>
    <definedName name="DESC112P_1">NA()</definedName>
    <definedName name="DESC112P_2">NA()</definedName>
    <definedName name="DESC112P_3">NA()</definedName>
    <definedName name="DESC112P_5">NA()</definedName>
    <definedName name="DESC112P_6">NA()</definedName>
    <definedName name="DESC113">#N/A</definedName>
    <definedName name="DESC113_1">NA()</definedName>
    <definedName name="DESC113_2">NA()</definedName>
    <definedName name="DESC113_3">NA()</definedName>
    <definedName name="DESC113_5">NA()</definedName>
    <definedName name="DESC113_6">NA()</definedName>
    <definedName name="DESC113A">#N/A</definedName>
    <definedName name="DESC113A_1">NA()</definedName>
    <definedName name="DESC113A_2">NA()</definedName>
    <definedName name="DESC113A_3">NA()</definedName>
    <definedName name="DESC113A_5">NA()</definedName>
    <definedName name="DESC113A_6">NA()</definedName>
    <definedName name="DESC113B">#N/A</definedName>
    <definedName name="DESC113B_1">NA()</definedName>
    <definedName name="DESC113B_2">NA()</definedName>
    <definedName name="DESC113B_3">NA()</definedName>
    <definedName name="DESC113B_5">NA()</definedName>
    <definedName name="DESC113B_6">NA()</definedName>
    <definedName name="DESC113C">#N/A</definedName>
    <definedName name="DESC113C_1">NA()</definedName>
    <definedName name="DESC113C_2">NA()</definedName>
    <definedName name="DESC113C_3">NA()</definedName>
    <definedName name="DESC113C_5">NA()</definedName>
    <definedName name="DESC113C_6">NA()</definedName>
    <definedName name="DESC113D">#N/A</definedName>
    <definedName name="DESC113D_1">NA()</definedName>
    <definedName name="DESC113D_2">NA()</definedName>
    <definedName name="DESC113D_3">NA()</definedName>
    <definedName name="DESC113D_5">NA()</definedName>
    <definedName name="DESC113D_6">NA()</definedName>
    <definedName name="DESC113E">#N/A</definedName>
    <definedName name="DESC113E_1">NA()</definedName>
    <definedName name="DESC113E_2">NA()</definedName>
    <definedName name="DESC113E_3">NA()</definedName>
    <definedName name="DESC113E_5">NA()</definedName>
    <definedName name="DESC113E_6">NA()</definedName>
    <definedName name="DESC113F">#N/A</definedName>
    <definedName name="DESC113F_1">NA()</definedName>
    <definedName name="DESC113F_2">NA()</definedName>
    <definedName name="DESC113F_3">NA()</definedName>
    <definedName name="DESC113F_5">NA()</definedName>
    <definedName name="DESC113F_6">NA()</definedName>
    <definedName name="DESC113G">#N/A</definedName>
    <definedName name="DESC113G_1">NA()</definedName>
    <definedName name="DESC113G_2">NA()</definedName>
    <definedName name="DESC113G_3">NA()</definedName>
    <definedName name="DESC113G_5">NA()</definedName>
    <definedName name="DESC113G_6">NA()</definedName>
    <definedName name="DESC113H">#N/A</definedName>
    <definedName name="DESC113H_1">NA()</definedName>
    <definedName name="DESC113H_2">NA()</definedName>
    <definedName name="DESC113H_3">NA()</definedName>
    <definedName name="DESC113H_5">NA()</definedName>
    <definedName name="DESC113H_6">NA()</definedName>
    <definedName name="DESC113I">#N/A</definedName>
    <definedName name="DESC113I_1">NA()</definedName>
    <definedName name="DESC113I_2">NA()</definedName>
    <definedName name="DESC113I_3">NA()</definedName>
    <definedName name="DESC113I_5">NA()</definedName>
    <definedName name="DESC113I_6">NA()</definedName>
    <definedName name="DESC113J">#N/A</definedName>
    <definedName name="DESC113J_1">NA()</definedName>
    <definedName name="DESC113J_2">NA()</definedName>
    <definedName name="DESC113J_3">NA()</definedName>
    <definedName name="DESC113J_5">NA()</definedName>
    <definedName name="DESC113J_6">NA()</definedName>
    <definedName name="DESC113K">#N/A</definedName>
    <definedName name="DESC113K_1">NA()</definedName>
    <definedName name="DESC113K_2">NA()</definedName>
    <definedName name="DESC113K_3">NA()</definedName>
    <definedName name="DESC113K_5">NA()</definedName>
    <definedName name="DESC113K_6">NA()</definedName>
    <definedName name="DESC114">#N/A</definedName>
    <definedName name="DESC114_1">NA()</definedName>
    <definedName name="DESC114_2">NA()</definedName>
    <definedName name="DESC114_3">NA()</definedName>
    <definedName name="DESC114_5">NA()</definedName>
    <definedName name="DESC114_6">NA()</definedName>
    <definedName name="DESC115">#N/A</definedName>
    <definedName name="DESC115_1">NA()</definedName>
    <definedName name="DESC115_2">NA()</definedName>
    <definedName name="DESC115_3">NA()</definedName>
    <definedName name="DESC115_5">NA()</definedName>
    <definedName name="DESC115_6">NA()</definedName>
    <definedName name="DESC116">#N/A</definedName>
    <definedName name="DESC116_1">NA()</definedName>
    <definedName name="DESC116_2">NA()</definedName>
    <definedName name="DESC116_3">NA()</definedName>
    <definedName name="DESC116_5">NA()</definedName>
    <definedName name="DESC116_6">NA()</definedName>
    <definedName name="DESC117">#N/A</definedName>
    <definedName name="DESC117_1">NA()</definedName>
    <definedName name="DESC117_2">NA()</definedName>
    <definedName name="DESC117_3">NA()</definedName>
    <definedName name="DESC117_5">NA()</definedName>
    <definedName name="DESC117_6">NA()</definedName>
    <definedName name="DESC118">#N/A</definedName>
    <definedName name="DESC118_1">NA()</definedName>
    <definedName name="DESC118_2">NA()</definedName>
    <definedName name="DESC118_3">NA()</definedName>
    <definedName name="DESC118_5">NA()</definedName>
    <definedName name="DESC118_6">NA()</definedName>
    <definedName name="DESC119">#N/A</definedName>
    <definedName name="DESC119_1">NA()</definedName>
    <definedName name="DESC119_2">NA()</definedName>
    <definedName name="DESC119_3">NA()</definedName>
    <definedName name="DESC119_5">NA()</definedName>
    <definedName name="DESC119_6">NA()</definedName>
    <definedName name="DESC12">#REF!</definedName>
    <definedName name="DESC120">#N/A</definedName>
    <definedName name="DESC120_1">NA()</definedName>
    <definedName name="DESC120_2">NA()</definedName>
    <definedName name="DESC120_3">NA()</definedName>
    <definedName name="DESC120_5">NA()</definedName>
    <definedName name="DESC120_6">NA()</definedName>
    <definedName name="DESC121">#N/A</definedName>
    <definedName name="DESC121_1">NA()</definedName>
    <definedName name="DESC121_2">NA()</definedName>
    <definedName name="DESC121_3">NA()</definedName>
    <definedName name="DESC121_5">NA()</definedName>
    <definedName name="DESC121_6">NA()</definedName>
    <definedName name="DESC122">#N/A</definedName>
    <definedName name="DESC122_1">NA()</definedName>
    <definedName name="DESC122_2">NA()</definedName>
    <definedName name="DESC122_3">NA()</definedName>
    <definedName name="DESC122_5">NA()</definedName>
    <definedName name="DESC122_6">NA()</definedName>
    <definedName name="DESC123">#N/A</definedName>
    <definedName name="DESC123_1">NA()</definedName>
    <definedName name="DESC123_2">NA()</definedName>
    <definedName name="DESC123_3">NA()</definedName>
    <definedName name="DESC123_5">NA()</definedName>
    <definedName name="DESC123_6">NA()</definedName>
    <definedName name="DESC124">#N/A</definedName>
    <definedName name="DESC124_1">NA()</definedName>
    <definedName name="DESC124_2">NA()</definedName>
    <definedName name="DESC124_3">NA()</definedName>
    <definedName name="DESC124_5">NA()</definedName>
    <definedName name="DESC124_6">NA()</definedName>
    <definedName name="DESC125">#N/A</definedName>
    <definedName name="DESC125_1">NA()</definedName>
    <definedName name="DESC125_2">NA()</definedName>
    <definedName name="DESC125_3">NA()</definedName>
    <definedName name="DESC125_5">NA()</definedName>
    <definedName name="DESC125_6">NA()</definedName>
    <definedName name="DESC126">#N/A</definedName>
    <definedName name="DESC126_1">NA()</definedName>
    <definedName name="DESC126_2">NA()</definedName>
    <definedName name="DESC126_3">NA()</definedName>
    <definedName name="DESC126_5">NA()</definedName>
    <definedName name="DESC126_6">NA()</definedName>
    <definedName name="DESC127">#N/A</definedName>
    <definedName name="DESC127_1">NA()</definedName>
    <definedName name="DESC127_2">NA()</definedName>
    <definedName name="DESC127_3">NA()</definedName>
    <definedName name="DESC127_5">NA()</definedName>
    <definedName name="DESC127_6">NA()</definedName>
    <definedName name="DESC127A">#N/A</definedName>
    <definedName name="DESC127A_1">NA()</definedName>
    <definedName name="DESC127A_2">NA()</definedName>
    <definedName name="DESC127A_3">NA()</definedName>
    <definedName name="DESC127A_5">NA()</definedName>
    <definedName name="DESC127A_6">NA()</definedName>
    <definedName name="DESC127B">#N/A</definedName>
    <definedName name="DESC127B_1">NA()</definedName>
    <definedName name="DESC127B_2">NA()</definedName>
    <definedName name="DESC127B_3">NA()</definedName>
    <definedName name="DESC127B_5">NA()</definedName>
    <definedName name="DESC127B_6">NA()</definedName>
    <definedName name="DESC127C">#N/A</definedName>
    <definedName name="DESC127C_1">NA()</definedName>
    <definedName name="DESC127C_2">NA()</definedName>
    <definedName name="DESC127C_3">NA()</definedName>
    <definedName name="DESC127C_5">NA()</definedName>
    <definedName name="DESC127C_6">NA()</definedName>
    <definedName name="DESC127D">#N/A</definedName>
    <definedName name="DESC127D_1">NA()</definedName>
    <definedName name="DESC127D_2">NA()</definedName>
    <definedName name="DESC127D_3">NA()</definedName>
    <definedName name="DESC127D_5">NA()</definedName>
    <definedName name="DESC127D_6">NA()</definedName>
    <definedName name="DESC127E">#N/A</definedName>
    <definedName name="DESC127E_1">NA()</definedName>
    <definedName name="DESC127E_2">NA()</definedName>
    <definedName name="DESC127E_3">NA()</definedName>
    <definedName name="DESC127E_5">NA()</definedName>
    <definedName name="DESC127E_6">NA()</definedName>
    <definedName name="DESC127F">#N/A</definedName>
    <definedName name="DESC127F_1">NA()</definedName>
    <definedName name="DESC127F_2">NA()</definedName>
    <definedName name="DESC127F_3">NA()</definedName>
    <definedName name="DESC127F_5">NA()</definedName>
    <definedName name="DESC127F_6">NA()</definedName>
    <definedName name="DESC127G">#N/A</definedName>
    <definedName name="DESC127G_1">NA()</definedName>
    <definedName name="DESC127G_2">NA()</definedName>
    <definedName name="DESC127G_3">NA()</definedName>
    <definedName name="DESC127G_5">NA()</definedName>
    <definedName name="DESC127G_6">NA()</definedName>
    <definedName name="DESC127H">#N/A</definedName>
    <definedName name="DESC127H_1">NA()</definedName>
    <definedName name="DESC127H_2">NA()</definedName>
    <definedName name="DESC127H_3">NA()</definedName>
    <definedName name="DESC127H_5">NA()</definedName>
    <definedName name="DESC127H_6">NA()</definedName>
    <definedName name="DESC127I">#N/A</definedName>
    <definedName name="DESC127I_1">NA()</definedName>
    <definedName name="DESC127I_2">NA()</definedName>
    <definedName name="DESC127I_3">NA()</definedName>
    <definedName name="DESC127I_5">NA()</definedName>
    <definedName name="DESC127I_6">NA()</definedName>
    <definedName name="DESC127J">#N/A</definedName>
    <definedName name="DESC127J_1">NA()</definedName>
    <definedName name="DESC127J_2">NA()</definedName>
    <definedName name="DESC127J_3">NA()</definedName>
    <definedName name="DESC127J_5">NA()</definedName>
    <definedName name="DESC127J_6">NA()</definedName>
    <definedName name="DESC128">#N/A</definedName>
    <definedName name="DESC128_1">NA()</definedName>
    <definedName name="DESC128_2">NA()</definedName>
    <definedName name="DESC128_3">NA()</definedName>
    <definedName name="DESC128_5">NA()</definedName>
    <definedName name="DESC128_6">NA()</definedName>
    <definedName name="DESC128A">#N/A</definedName>
    <definedName name="DESC128A_1">NA()</definedName>
    <definedName name="DESC128A_2">NA()</definedName>
    <definedName name="DESC128A_3">NA()</definedName>
    <definedName name="DESC128A_5">NA()</definedName>
    <definedName name="DESC128A_6">NA()</definedName>
    <definedName name="DESC128B">#N/A</definedName>
    <definedName name="DESC128B_1">NA()</definedName>
    <definedName name="DESC128B_2">NA()</definedName>
    <definedName name="DESC128B_3">NA()</definedName>
    <definedName name="DESC128B_5">NA()</definedName>
    <definedName name="DESC128B_6">NA()</definedName>
    <definedName name="DESC128C">#N/A</definedName>
    <definedName name="DESC128C_1">NA()</definedName>
    <definedName name="DESC128C_2">NA()</definedName>
    <definedName name="DESC128C_3">NA()</definedName>
    <definedName name="DESC128C_5">NA()</definedName>
    <definedName name="DESC128C_6">NA()</definedName>
    <definedName name="DESC128D">#N/A</definedName>
    <definedName name="DESC128D_1">NA()</definedName>
    <definedName name="DESC128D_2">NA()</definedName>
    <definedName name="DESC128D_3">NA()</definedName>
    <definedName name="DESC128D_5">NA()</definedName>
    <definedName name="DESC128D_6">NA()</definedName>
    <definedName name="DESC128E">#N/A</definedName>
    <definedName name="DESC128E_1">NA()</definedName>
    <definedName name="DESC128E_2">NA()</definedName>
    <definedName name="DESC128E_3">NA()</definedName>
    <definedName name="DESC128E_5">NA()</definedName>
    <definedName name="DESC128E_6">NA()</definedName>
    <definedName name="DESC128F">#N/A</definedName>
    <definedName name="DESC128F_1">NA()</definedName>
    <definedName name="DESC128F_2">NA()</definedName>
    <definedName name="DESC128F_3">NA()</definedName>
    <definedName name="DESC128F_5">NA()</definedName>
    <definedName name="DESC128F_6">NA()</definedName>
    <definedName name="DESC128G">#N/A</definedName>
    <definedName name="DESC128G_1">NA()</definedName>
    <definedName name="DESC128G_2">NA()</definedName>
    <definedName name="DESC128G_3">NA()</definedName>
    <definedName name="DESC128G_5">NA()</definedName>
    <definedName name="DESC128G_6">NA()</definedName>
    <definedName name="DESC129">#N/A</definedName>
    <definedName name="DESC129_1">NA()</definedName>
    <definedName name="DESC129_2">NA()</definedName>
    <definedName name="DESC129_3">NA()</definedName>
    <definedName name="DESC129_5">NA()</definedName>
    <definedName name="DESC129_6">NA()</definedName>
    <definedName name="DESC129A">#N/A</definedName>
    <definedName name="DESC129A_1">NA()</definedName>
    <definedName name="DESC129A_2">NA()</definedName>
    <definedName name="DESC129A_3">NA()</definedName>
    <definedName name="DESC129A_5">NA()</definedName>
    <definedName name="DESC129A_6">NA()</definedName>
    <definedName name="DESC129B">#N/A</definedName>
    <definedName name="DESC129B_1">NA()</definedName>
    <definedName name="DESC129B_2">NA()</definedName>
    <definedName name="DESC129B_3">NA()</definedName>
    <definedName name="DESC129B_5">NA()</definedName>
    <definedName name="DESC129B_6">NA()</definedName>
    <definedName name="DESC129C">#N/A</definedName>
    <definedName name="DESC129C_1">NA()</definedName>
    <definedName name="DESC129C_2">NA()</definedName>
    <definedName name="DESC129C_3">NA()</definedName>
    <definedName name="DESC129C_5">NA()</definedName>
    <definedName name="DESC129C_6">NA()</definedName>
    <definedName name="DESC129D">#N/A</definedName>
    <definedName name="DESC129D_1">NA()</definedName>
    <definedName name="DESC129D_2">NA()</definedName>
    <definedName name="DESC129D_3">NA()</definedName>
    <definedName name="DESC129D_5">NA()</definedName>
    <definedName name="DESC129D_6">NA()</definedName>
    <definedName name="DESC13">#REF!</definedName>
    <definedName name="DESC130">#N/A</definedName>
    <definedName name="DESC130_1">NA()</definedName>
    <definedName name="DESC130_2">NA()</definedName>
    <definedName name="DESC130_3">NA()</definedName>
    <definedName name="DESC130_5">NA()</definedName>
    <definedName name="DESC130_6">NA()</definedName>
    <definedName name="DESC130A">#N/A</definedName>
    <definedName name="DESC130A_1">NA()</definedName>
    <definedName name="DESC130A_2">NA()</definedName>
    <definedName name="DESC130A_3">NA()</definedName>
    <definedName name="DESC130A_5">NA()</definedName>
    <definedName name="DESC130A_6">NA()</definedName>
    <definedName name="DESC130B">#N/A</definedName>
    <definedName name="DESC130B_1">NA()</definedName>
    <definedName name="DESC130B_2">NA()</definedName>
    <definedName name="DESC130B_3">NA()</definedName>
    <definedName name="DESC130B_5">NA()</definedName>
    <definedName name="DESC130B_6">NA()</definedName>
    <definedName name="DESC131">#N/A</definedName>
    <definedName name="DESC131_1">NA()</definedName>
    <definedName name="DESC131_2">NA()</definedName>
    <definedName name="DESC131_3">NA()</definedName>
    <definedName name="DESC131_5">NA()</definedName>
    <definedName name="DESC131_6">NA()</definedName>
    <definedName name="DESC132">#N/A</definedName>
    <definedName name="DESC132_1">NA()</definedName>
    <definedName name="DESC132_2">NA()</definedName>
    <definedName name="DESC132_3">NA()</definedName>
    <definedName name="DESC132_5">NA()</definedName>
    <definedName name="DESC132_6">NA()</definedName>
    <definedName name="DESC133">#N/A</definedName>
    <definedName name="DESC133_1">NA()</definedName>
    <definedName name="DESC133_2">NA()</definedName>
    <definedName name="DESC133_3">NA()</definedName>
    <definedName name="DESC133_5">NA()</definedName>
    <definedName name="DESC133_6">NA()</definedName>
    <definedName name="DESC14">#N/A</definedName>
    <definedName name="DESC14_1">NA()</definedName>
    <definedName name="DESC14_2">NA()</definedName>
    <definedName name="DESC14_3">NA()</definedName>
    <definedName name="DESC14_5">NA()</definedName>
    <definedName name="DESC14_6">NA()</definedName>
    <definedName name="DESC143">#N/A</definedName>
    <definedName name="DESC143_1">NA()</definedName>
    <definedName name="DESC143_2">NA()</definedName>
    <definedName name="DESC143_3">NA()</definedName>
    <definedName name="DESC143_5">NA()</definedName>
    <definedName name="DESC143_6">NA()</definedName>
    <definedName name="DESC144">#N/A</definedName>
    <definedName name="DESC144_1">NA()</definedName>
    <definedName name="DESC144_2">NA()</definedName>
    <definedName name="DESC144_3">NA()</definedName>
    <definedName name="DESC144_5">NA()</definedName>
    <definedName name="DESC144_6">NA()</definedName>
    <definedName name="DESC145">#N/A</definedName>
    <definedName name="DESC145_1">NA()</definedName>
    <definedName name="DESC145_2">NA()</definedName>
    <definedName name="DESC145_3">NA()</definedName>
    <definedName name="DESC145_5">NA()</definedName>
    <definedName name="DESC145_6">NA()</definedName>
    <definedName name="DESC146">#N/A</definedName>
    <definedName name="DESC146_1">NA()</definedName>
    <definedName name="DESC146_2">NA()</definedName>
    <definedName name="DESC146_3">NA()</definedName>
    <definedName name="DESC146_5">NA()</definedName>
    <definedName name="DESC146_6">NA()</definedName>
    <definedName name="DESC147">#N/A</definedName>
    <definedName name="DESC147_1">NA()</definedName>
    <definedName name="DESC147_2">NA()</definedName>
    <definedName name="DESC147_3">NA()</definedName>
    <definedName name="DESC147_5">NA()</definedName>
    <definedName name="DESC147_6">NA()</definedName>
    <definedName name="DESC148">#N/A</definedName>
    <definedName name="DESC148_1">NA()</definedName>
    <definedName name="DESC148_2">NA()</definedName>
    <definedName name="DESC148_3">NA()</definedName>
    <definedName name="DESC148_5">NA()</definedName>
    <definedName name="DESC148_6">NA()</definedName>
    <definedName name="DESC149">#N/A</definedName>
    <definedName name="DESC149_1">NA()</definedName>
    <definedName name="DESC149_2">NA()</definedName>
    <definedName name="DESC149_3">NA()</definedName>
    <definedName name="DESC149_5">NA()</definedName>
    <definedName name="DESC149_6">NA()</definedName>
    <definedName name="DESC15">#REF!</definedName>
    <definedName name="DESC150">#N/A</definedName>
    <definedName name="DESC150_1">NA()</definedName>
    <definedName name="DESC150_2">NA()</definedName>
    <definedName name="DESC150_3">NA()</definedName>
    <definedName name="DESC150_5">NA()</definedName>
    <definedName name="DESC150_6">NA()</definedName>
    <definedName name="DESC151">#REF!</definedName>
    <definedName name="DESC151A">#N/A</definedName>
    <definedName name="DESC151A_1">NA()</definedName>
    <definedName name="DESC151A_2">NA()</definedName>
    <definedName name="DESC151A_3">NA()</definedName>
    <definedName name="DESC151A_5">NA()</definedName>
    <definedName name="DESC151A_6">NA()</definedName>
    <definedName name="DESC151B">#REF!</definedName>
    <definedName name="DESC151C">#REF!</definedName>
    <definedName name="DESC151D">#REF!</definedName>
    <definedName name="DESC152">#N/A</definedName>
    <definedName name="DESC152_1">NA()</definedName>
    <definedName name="DESC152_2">NA()</definedName>
    <definedName name="DESC152_3">NA()</definedName>
    <definedName name="DESC152_5">NA()</definedName>
    <definedName name="DESC152_6">NA()</definedName>
    <definedName name="DESC153">#N/A</definedName>
    <definedName name="DESC153_1">NA()</definedName>
    <definedName name="DESC153_2">NA()</definedName>
    <definedName name="DESC153_3">NA()</definedName>
    <definedName name="DESC153_5">NA()</definedName>
    <definedName name="DESC153_6">NA()</definedName>
    <definedName name="DESC154">#N/A</definedName>
    <definedName name="DESC154_1">NA()</definedName>
    <definedName name="DESC154_2">NA()</definedName>
    <definedName name="DESC154_3">NA()</definedName>
    <definedName name="DESC154_5">NA()</definedName>
    <definedName name="DESC154_6">NA()</definedName>
    <definedName name="DESC155">#N/A</definedName>
    <definedName name="DESC155_1">NA()</definedName>
    <definedName name="DESC155_2">NA()</definedName>
    <definedName name="DESC155_3">NA()</definedName>
    <definedName name="DESC155_5">NA()</definedName>
    <definedName name="DESC155_6">NA()</definedName>
    <definedName name="DESC156">#N/A</definedName>
    <definedName name="DESC156_1">NA()</definedName>
    <definedName name="DESC156_2">NA()</definedName>
    <definedName name="DESC156_3">NA()</definedName>
    <definedName name="DESC156_5">NA()</definedName>
    <definedName name="DESC156_6">NA()</definedName>
    <definedName name="DESC157">#N/A</definedName>
    <definedName name="DESC157_1">NA()</definedName>
    <definedName name="DESC157_2">NA()</definedName>
    <definedName name="DESC157_3">NA()</definedName>
    <definedName name="DESC157_5">NA()</definedName>
    <definedName name="DESC157_6">NA()</definedName>
    <definedName name="desc1571">#N/A</definedName>
    <definedName name="DESC158">#N/A</definedName>
    <definedName name="DESC158_1">NA()</definedName>
    <definedName name="DESC158_2">NA()</definedName>
    <definedName name="DESC158_3">NA()</definedName>
    <definedName name="DESC158_5">NA()</definedName>
    <definedName name="DESC158_6">NA()</definedName>
    <definedName name="DESC16">#N/A</definedName>
    <definedName name="DESC16_1">NA()</definedName>
    <definedName name="DESC16_2">NA()</definedName>
    <definedName name="DESC16_3">NA()</definedName>
    <definedName name="DESC16_5">NA()</definedName>
    <definedName name="DESC16_6">NA()</definedName>
    <definedName name="DESC17">#REF!</definedName>
    <definedName name="DESC18">#N/A</definedName>
    <definedName name="DESC18_1">NA()</definedName>
    <definedName name="DESC18_2">NA()</definedName>
    <definedName name="DESC18_3">NA()</definedName>
    <definedName name="DESC18_5">NA()</definedName>
    <definedName name="DESC18_6">NA()</definedName>
    <definedName name="DESC19">#N/A</definedName>
    <definedName name="DESC19_1">NA()</definedName>
    <definedName name="DESC19_2">NA()</definedName>
    <definedName name="DESC19_3">NA()</definedName>
    <definedName name="DESC19_5">NA()</definedName>
    <definedName name="DESC19_6">NA()</definedName>
    <definedName name="DESC2">#REF!</definedName>
    <definedName name="DESC20">#N/A</definedName>
    <definedName name="DESC20_1">NA()</definedName>
    <definedName name="DESC20_2">NA()</definedName>
    <definedName name="DESC20_3">NA()</definedName>
    <definedName name="DESC20_5">NA()</definedName>
    <definedName name="DESC20_6">NA()</definedName>
    <definedName name="DESC21">#N/A</definedName>
    <definedName name="DESC21_1">NA()</definedName>
    <definedName name="DESC21_2">NA()</definedName>
    <definedName name="DESC21_3">NA()</definedName>
    <definedName name="DESC21_5">NA()</definedName>
    <definedName name="DESC21_6">NA()</definedName>
    <definedName name="DESC22">#N/A</definedName>
    <definedName name="DESC22_1">NA()</definedName>
    <definedName name="DESC22_2">NA()</definedName>
    <definedName name="DESC22_3">NA()</definedName>
    <definedName name="DESC22_5">NA()</definedName>
    <definedName name="DESC22_6">NA()</definedName>
    <definedName name="DESC23">#N/A</definedName>
    <definedName name="DESC23_1">NA()</definedName>
    <definedName name="DESC23_2">NA()</definedName>
    <definedName name="DESC23_3">NA()</definedName>
    <definedName name="DESC23_5">NA()</definedName>
    <definedName name="DESC23_6">NA()</definedName>
    <definedName name="DESC24">#N/A</definedName>
    <definedName name="DESC24_1">NA()</definedName>
    <definedName name="DESC24_2">NA()</definedName>
    <definedName name="DESC24_3">NA()</definedName>
    <definedName name="DESC24_5">NA()</definedName>
    <definedName name="DESC24_6">NA()</definedName>
    <definedName name="DESC25">#REF!</definedName>
    <definedName name="DESC26">#N/A</definedName>
    <definedName name="DESC26_1">NA()</definedName>
    <definedName name="DESC26_2">NA()</definedName>
    <definedName name="DESC26_3">NA()</definedName>
    <definedName name="DESC26_5">NA()</definedName>
    <definedName name="DESC26_6">NA()</definedName>
    <definedName name="DESC27">#N/A</definedName>
    <definedName name="DESC27_1">NA()</definedName>
    <definedName name="DESC27_2">NA()</definedName>
    <definedName name="DESC27_3">NA()</definedName>
    <definedName name="DESC27_5">NA()</definedName>
    <definedName name="DESC27_6">NA()</definedName>
    <definedName name="DESC28">#REF!</definedName>
    <definedName name="DESC29">#N/A</definedName>
    <definedName name="DESC29_1">NA()</definedName>
    <definedName name="DESC29_2">NA()</definedName>
    <definedName name="DESC29_3">NA()</definedName>
    <definedName name="DESC29_5">NA()</definedName>
    <definedName name="DESC29_6">NA()</definedName>
    <definedName name="DESC3">#REF!</definedName>
    <definedName name="DESC30">#N/A</definedName>
    <definedName name="DESC30_1">NA()</definedName>
    <definedName name="DESC30_2">NA()</definedName>
    <definedName name="DESC30_3">NA()</definedName>
    <definedName name="DESC30_5">NA()</definedName>
    <definedName name="DESC30_6">NA()</definedName>
    <definedName name="DESC31">#N/A</definedName>
    <definedName name="DESC31_1">NA()</definedName>
    <definedName name="DESC31_2">NA()</definedName>
    <definedName name="DESC31_3">NA()</definedName>
    <definedName name="DESC31_5">NA()</definedName>
    <definedName name="DESC31_6">NA()</definedName>
    <definedName name="DESC32">#N/A</definedName>
    <definedName name="DESC32_1">NA()</definedName>
    <definedName name="DESC32_2">NA()</definedName>
    <definedName name="DESC32_3">NA()</definedName>
    <definedName name="DESC32_5">NA()</definedName>
    <definedName name="DESC32_6">NA()</definedName>
    <definedName name="DESC33">#N/A</definedName>
    <definedName name="DESC33_1">NA()</definedName>
    <definedName name="DESC33_2">NA()</definedName>
    <definedName name="DESC33_3">NA()</definedName>
    <definedName name="DESC33_5">NA()</definedName>
    <definedName name="DESC33_6">NA()</definedName>
    <definedName name="DESC34">#N/A</definedName>
    <definedName name="DESC34_1">NA()</definedName>
    <definedName name="DESC34_2">NA()</definedName>
    <definedName name="DESC34_3">NA()</definedName>
    <definedName name="DESC34_5">NA()</definedName>
    <definedName name="DESC34_6">NA()</definedName>
    <definedName name="DESC35">#N/A</definedName>
    <definedName name="DESC35_1">NA()</definedName>
    <definedName name="DESC35_2">NA()</definedName>
    <definedName name="DESC35_3">NA()</definedName>
    <definedName name="DESC35_5">NA()</definedName>
    <definedName name="DESC35_6">NA()</definedName>
    <definedName name="DESC36">#N/A</definedName>
    <definedName name="DESC36_1">NA()</definedName>
    <definedName name="DESC36_2">NA()</definedName>
    <definedName name="DESC36_3">NA()</definedName>
    <definedName name="DESC36_5">NA()</definedName>
    <definedName name="DESC36_6">NA()</definedName>
    <definedName name="DESC37">#N/A</definedName>
    <definedName name="DESC37_1">NA()</definedName>
    <definedName name="DESC37_2">NA()</definedName>
    <definedName name="DESC37_3">NA()</definedName>
    <definedName name="DESC37_5">NA()</definedName>
    <definedName name="DESC37_6">NA()</definedName>
    <definedName name="DESC38">#N/A</definedName>
    <definedName name="DESC38_1">NA()</definedName>
    <definedName name="DESC38_2">NA()</definedName>
    <definedName name="DESC38_3">NA()</definedName>
    <definedName name="DESC38_5">NA()</definedName>
    <definedName name="DESC38_6">NA()</definedName>
    <definedName name="DESC39">#N/A</definedName>
    <definedName name="DESC39_1">NA()</definedName>
    <definedName name="DESC39_2">NA()</definedName>
    <definedName name="DESC39_3">NA()</definedName>
    <definedName name="DESC39_5">NA()</definedName>
    <definedName name="DESC39_6">NA()</definedName>
    <definedName name="DESC4">#REF!</definedName>
    <definedName name="DESC40">#N/A</definedName>
    <definedName name="DESC40_1">NA()</definedName>
    <definedName name="DESC40_2">NA()</definedName>
    <definedName name="DESC40_3">NA()</definedName>
    <definedName name="DESC40_5">NA()</definedName>
    <definedName name="DESC40_6">NA()</definedName>
    <definedName name="DESC41">#N/A</definedName>
    <definedName name="DESC41_1">NA()</definedName>
    <definedName name="DESC41_2">NA()</definedName>
    <definedName name="DESC41_3">NA()</definedName>
    <definedName name="DESC41_5">NA()</definedName>
    <definedName name="DESC41_6">NA()</definedName>
    <definedName name="DESC42">#N/A</definedName>
    <definedName name="DESC42_1">NA()</definedName>
    <definedName name="DESC42_2">NA()</definedName>
    <definedName name="DESC42_3">NA()</definedName>
    <definedName name="DESC42_5">NA()</definedName>
    <definedName name="DESC42_6">NA()</definedName>
    <definedName name="DESC43">#N/A</definedName>
    <definedName name="DESC43_1">NA()</definedName>
    <definedName name="DESC43_2">NA()</definedName>
    <definedName name="DESC43_3">NA()</definedName>
    <definedName name="DESC43_5">NA()</definedName>
    <definedName name="DESC43_6">NA()</definedName>
    <definedName name="DESC44">#N/A</definedName>
    <definedName name="DESC44_1">NA()</definedName>
    <definedName name="DESC44_2">NA()</definedName>
    <definedName name="DESC44_3">NA()</definedName>
    <definedName name="DESC44_5">NA()</definedName>
    <definedName name="DESC44_6">NA()</definedName>
    <definedName name="DESC45">#N/A</definedName>
    <definedName name="DESC45_1">NA()</definedName>
    <definedName name="DESC45_2">NA()</definedName>
    <definedName name="DESC45_3">NA()</definedName>
    <definedName name="DESC45_5">NA()</definedName>
    <definedName name="DESC45_6">NA()</definedName>
    <definedName name="DESC46">#N/A</definedName>
    <definedName name="DESC46_1">NA()</definedName>
    <definedName name="DESC46_2">NA()</definedName>
    <definedName name="DESC46_3">NA()</definedName>
    <definedName name="DESC46_5">NA()</definedName>
    <definedName name="DESC46_6">NA()</definedName>
    <definedName name="DESC47">#N/A</definedName>
    <definedName name="DESC47_1">NA()</definedName>
    <definedName name="DESC47_2">NA()</definedName>
    <definedName name="DESC47_3">NA()</definedName>
    <definedName name="DESC47_5">NA()</definedName>
    <definedName name="DESC47_6">NA()</definedName>
    <definedName name="DESC48">#N/A</definedName>
    <definedName name="DESC48_1">NA()</definedName>
    <definedName name="DESC48_2">NA()</definedName>
    <definedName name="DESC48_3">NA()</definedName>
    <definedName name="DESC48_5">NA()</definedName>
    <definedName name="DESC48_6">NA()</definedName>
    <definedName name="DESC49">#N/A</definedName>
    <definedName name="DESC49_1">NA()</definedName>
    <definedName name="DESC49_2">NA()</definedName>
    <definedName name="DESC49_3">NA()</definedName>
    <definedName name="DESC49_5">NA()</definedName>
    <definedName name="DESC49_6">NA()</definedName>
    <definedName name="DESC5">#REF!</definedName>
    <definedName name="DESC50">#N/A</definedName>
    <definedName name="DESC50_1">NA()</definedName>
    <definedName name="DESC50_2">NA()</definedName>
    <definedName name="DESC50_3">NA()</definedName>
    <definedName name="DESC50_5">NA()</definedName>
    <definedName name="DESC50_6">NA()</definedName>
    <definedName name="DESC51">#N/A</definedName>
    <definedName name="DESC51_1">NA()</definedName>
    <definedName name="DESC51_2">NA()</definedName>
    <definedName name="DESC51_3">NA()</definedName>
    <definedName name="DESC51_5">NA()</definedName>
    <definedName name="DESC51_6">NA()</definedName>
    <definedName name="DESC52">#N/A</definedName>
    <definedName name="DESC52_1">NA()</definedName>
    <definedName name="DESC52_2">NA()</definedName>
    <definedName name="DESC52_3">NA()</definedName>
    <definedName name="DESC52_5">NA()</definedName>
    <definedName name="DESC52_6">NA()</definedName>
    <definedName name="DESC53">#REF!</definedName>
    <definedName name="DESC54">#N/A</definedName>
    <definedName name="DESC54_1">NA()</definedName>
    <definedName name="DESC54_2">NA()</definedName>
    <definedName name="DESC54_3">NA()</definedName>
    <definedName name="DESC54_5">NA()</definedName>
    <definedName name="DESC54_6">NA()</definedName>
    <definedName name="DESC55">#REF!</definedName>
    <definedName name="DESC56">#N/A</definedName>
    <definedName name="DESC56_1">NA()</definedName>
    <definedName name="DESC56_2">NA()</definedName>
    <definedName name="DESC56_3">NA()</definedName>
    <definedName name="DESC56_5">NA()</definedName>
    <definedName name="DESC56_6">NA()</definedName>
    <definedName name="DESC57">#N/A</definedName>
    <definedName name="DESC57_1">NA()</definedName>
    <definedName name="DESC57_2">NA()</definedName>
    <definedName name="DESC57_3">NA()</definedName>
    <definedName name="DESC57_5">NA()</definedName>
    <definedName name="DESC57_6">NA()</definedName>
    <definedName name="DESC58">#N/A</definedName>
    <definedName name="DESC58_1">NA()</definedName>
    <definedName name="DESC58_2">NA()</definedName>
    <definedName name="DESC58_3">NA()</definedName>
    <definedName name="DESC58_5">NA()</definedName>
    <definedName name="DESC58_6">NA()</definedName>
    <definedName name="DESC59">#N/A</definedName>
    <definedName name="DESC59_1">NA()</definedName>
    <definedName name="DESC59_2">NA()</definedName>
    <definedName name="DESC59_3">NA()</definedName>
    <definedName name="DESC59_5">NA()</definedName>
    <definedName name="DESC59_6">NA()</definedName>
    <definedName name="DESC6">#REF!</definedName>
    <definedName name="DESC60">#N/A</definedName>
    <definedName name="DESC60_1">NA()</definedName>
    <definedName name="DESC60_2">NA()</definedName>
    <definedName name="DESC60_3">NA()</definedName>
    <definedName name="DESC60_5">NA()</definedName>
    <definedName name="DESC60_6">NA()</definedName>
    <definedName name="DESC61">#N/A</definedName>
    <definedName name="DESC61_1">NA()</definedName>
    <definedName name="DESC61_2">NA()</definedName>
    <definedName name="DESC61_3">NA()</definedName>
    <definedName name="DESC61_5">NA()</definedName>
    <definedName name="DESC61_6">NA()</definedName>
    <definedName name="DESC62">#REF!</definedName>
    <definedName name="DESC63">#N/A</definedName>
    <definedName name="DESC63_1">NA()</definedName>
    <definedName name="DESC63_2">NA()</definedName>
    <definedName name="DESC63_3">NA()</definedName>
    <definedName name="DESC63_5">NA()</definedName>
    <definedName name="DESC63_6">NA()</definedName>
    <definedName name="DESC64">#N/A</definedName>
    <definedName name="DESC64_1">NA()</definedName>
    <definedName name="DESC64_2">NA()</definedName>
    <definedName name="DESC64_3">NA()</definedName>
    <definedName name="DESC64_5">NA()</definedName>
    <definedName name="DESC64_6">NA()</definedName>
    <definedName name="DESC65">#N/A</definedName>
    <definedName name="DESC65_1">NA()</definedName>
    <definedName name="DESC65_2">NA()</definedName>
    <definedName name="DESC65_3">NA()</definedName>
    <definedName name="DESC65_5">NA()</definedName>
    <definedName name="DESC65_6">NA()</definedName>
    <definedName name="DESC66">#N/A</definedName>
    <definedName name="DESC66_1">NA()</definedName>
    <definedName name="DESC66_2">NA()</definedName>
    <definedName name="DESC66_3">NA()</definedName>
    <definedName name="DESC66_5">NA()</definedName>
    <definedName name="DESC66_6">NA()</definedName>
    <definedName name="DESC67">#REF!</definedName>
    <definedName name="DESC68">#N/A</definedName>
    <definedName name="DESC68_1">NA()</definedName>
    <definedName name="DESC68_2">NA()</definedName>
    <definedName name="DESC68_3">NA()</definedName>
    <definedName name="DESC68_5">NA()</definedName>
    <definedName name="DESC68_6">NA()</definedName>
    <definedName name="DESC69">#N/A</definedName>
    <definedName name="DESC69_1">NA()</definedName>
    <definedName name="DESC69_2">NA()</definedName>
    <definedName name="DESC69_3">NA()</definedName>
    <definedName name="DESC69_5">NA()</definedName>
    <definedName name="DESC69_6">NA()</definedName>
    <definedName name="DESC7">#N/A</definedName>
    <definedName name="DESC7_1">NA()</definedName>
    <definedName name="DESC7_2">NA()</definedName>
    <definedName name="DESC7_3">NA()</definedName>
    <definedName name="DESC7_5">NA()</definedName>
    <definedName name="DESC7_6">NA()</definedName>
    <definedName name="DESC70">#N/A</definedName>
    <definedName name="DESC70_1">NA()</definedName>
    <definedName name="DESC70_2">NA()</definedName>
    <definedName name="DESC70_3">NA()</definedName>
    <definedName name="DESC70_5">NA()</definedName>
    <definedName name="DESC70_6">NA()</definedName>
    <definedName name="DESC71">#N/A</definedName>
    <definedName name="DESC71_1">NA()</definedName>
    <definedName name="DESC71_2">NA()</definedName>
    <definedName name="DESC71_3">NA()</definedName>
    <definedName name="DESC71_5">NA()</definedName>
    <definedName name="DESC71_6">NA()</definedName>
    <definedName name="DESC72">#N/A</definedName>
    <definedName name="DESC72_1">NA()</definedName>
    <definedName name="DESC72_2">NA()</definedName>
    <definedName name="DESC72_3">NA()</definedName>
    <definedName name="DESC72_5">NA()</definedName>
    <definedName name="DESC72_6">NA()</definedName>
    <definedName name="DESC73">#N/A</definedName>
    <definedName name="DESC73_1">NA()</definedName>
    <definedName name="DESC73_2">NA()</definedName>
    <definedName name="DESC73_3">NA()</definedName>
    <definedName name="DESC73_5">NA()</definedName>
    <definedName name="DESC73_6">NA()</definedName>
    <definedName name="DESC74">#N/A</definedName>
    <definedName name="DESC74_1">NA()</definedName>
    <definedName name="DESC74_2">NA()</definedName>
    <definedName name="DESC74_3">NA()</definedName>
    <definedName name="DESC74_5">NA()</definedName>
    <definedName name="DESC74_6">NA()</definedName>
    <definedName name="DESC75">#REF!</definedName>
    <definedName name="DESC76">#REF!</definedName>
    <definedName name="DESC77">#N/A</definedName>
    <definedName name="DESC77_1">NA()</definedName>
    <definedName name="DESC77_2">NA()</definedName>
    <definedName name="DESC77_3">NA()</definedName>
    <definedName name="DESC77_5">NA()</definedName>
    <definedName name="DESC77_6">NA()</definedName>
    <definedName name="DESC78">#N/A</definedName>
    <definedName name="DESC78_1">NA()</definedName>
    <definedName name="DESC78_2">NA()</definedName>
    <definedName name="DESC78_3">NA()</definedName>
    <definedName name="DESC78_5">NA()</definedName>
    <definedName name="DESC78_6">NA()</definedName>
    <definedName name="DESC79">#N/A</definedName>
    <definedName name="DESC79_1">NA()</definedName>
    <definedName name="DESC79_2">NA()</definedName>
    <definedName name="DESC79_3">NA()</definedName>
    <definedName name="DESC79_5">NA()</definedName>
    <definedName name="DESC79_6">NA()</definedName>
    <definedName name="DESC79A">#N/A</definedName>
    <definedName name="DESC79A_1">NA()</definedName>
    <definedName name="DESC79A_2">NA()</definedName>
    <definedName name="DESC79A_3">NA()</definedName>
    <definedName name="DESC79A_5">NA()</definedName>
    <definedName name="DESC79A_6">NA()</definedName>
    <definedName name="DESC79B">#N/A</definedName>
    <definedName name="DESC79B_1">NA()</definedName>
    <definedName name="DESC79B_2">NA()</definedName>
    <definedName name="DESC79B_3">NA()</definedName>
    <definedName name="DESC79B_5">NA()</definedName>
    <definedName name="DESC79B_6">NA()</definedName>
    <definedName name="DESC79C">#N/A</definedName>
    <definedName name="DESC79C_1">NA()</definedName>
    <definedName name="DESC79C_2">NA()</definedName>
    <definedName name="DESC79C_3">NA()</definedName>
    <definedName name="DESC79C_5">NA()</definedName>
    <definedName name="DESC79C_6">NA()</definedName>
    <definedName name="DESC8">#REF!</definedName>
    <definedName name="DESC80">#N/A</definedName>
    <definedName name="DESC80_1">NA()</definedName>
    <definedName name="DESC80_2">NA()</definedName>
    <definedName name="DESC80_3">NA()</definedName>
    <definedName name="DESC80_5">NA()</definedName>
    <definedName name="DESC80_6">NA()</definedName>
    <definedName name="DESC80A">#N/A</definedName>
    <definedName name="DESC80A_1">NA()</definedName>
    <definedName name="DESC80A_2">NA()</definedName>
    <definedName name="DESC80A_3">NA()</definedName>
    <definedName name="DESC80A_5">NA()</definedName>
    <definedName name="DESC80A_6">NA()</definedName>
    <definedName name="DESC80B">#N/A</definedName>
    <definedName name="DESC80B_1">NA()</definedName>
    <definedName name="DESC80B_2">NA()</definedName>
    <definedName name="DESC80B_3">NA()</definedName>
    <definedName name="DESC80B_5">NA()</definedName>
    <definedName name="DESC80B_6">NA()</definedName>
    <definedName name="DESC80C">#N/A</definedName>
    <definedName name="DESC80C_1">NA()</definedName>
    <definedName name="DESC80C_2">NA()</definedName>
    <definedName name="DESC80C_3">NA()</definedName>
    <definedName name="DESC80C_5">NA()</definedName>
    <definedName name="DESC80C_6">NA()</definedName>
    <definedName name="DESC81">#N/A</definedName>
    <definedName name="DESC81_1">NA()</definedName>
    <definedName name="DESC81_2">NA()</definedName>
    <definedName name="DESC81_3">NA()</definedName>
    <definedName name="DESC81_5">NA()</definedName>
    <definedName name="DESC81_6">NA()</definedName>
    <definedName name="DESC82">#N/A</definedName>
    <definedName name="DESC82_1">NA()</definedName>
    <definedName name="DESC82_2">NA()</definedName>
    <definedName name="DESC82_3">NA()</definedName>
    <definedName name="DESC82_5">NA()</definedName>
    <definedName name="DESC82_6">NA()</definedName>
    <definedName name="DESC83">#REF!</definedName>
    <definedName name="DESC84">#REF!</definedName>
    <definedName name="DESC85">#N/A</definedName>
    <definedName name="DESC85_1">NA()</definedName>
    <definedName name="DESC85_2">NA()</definedName>
    <definedName name="DESC85_3">NA()</definedName>
    <definedName name="DESC85_5">NA()</definedName>
    <definedName name="DESC85_6">NA()</definedName>
    <definedName name="DESC86">#N/A</definedName>
    <definedName name="DESC86_1">NA()</definedName>
    <definedName name="DESC86_2">NA()</definedName>
    <definedName name="DESC86_3">NA()</definedName>
    <definedName name="DESC86_5">NA()</definedName>
    <definedName name="DESC86_6">NA()</definedName>
    <definedName name="DESC87">#N/A</definedName>
    <definedName name="DESC87_1">NA()</definedName>
    <definedName name="DESC87_2">NA()</definedName>
    <definedName name="DESC87_3">NA()</definedName>
    <definedName name="DESC87_5">NA()</definedName>
    <definedName name="DESC87_6">NA()</definedName>
    <definedName name="DESC88">#N/A</definedName>
    <definedName name="DESC88_1">NA()</definedName>
    <definedName name="DESC88_2">NA()</definedName>
    <definedName name="DESC88_3">NA()</definedName>
    <definedName name="DESC88_5">NA()</definedName>
    <definedName name="DESC88_6">NA()</definedName>
    <definedName name="DESC89">#REF!</definedName>
    <definedName name="DESC9">#REF!</definedName>
    <definedName name="DESC90">#REF!</definedName>
    <definedName name="DESC91">#REF!</definedName>
    <definedName name="DESC92">#N/A</definedName>
    <definedName name="DESC92_1">NA()</definedName>
    <definedName name="DESC92_2">NA()</definedName>
    <definedName name="DESC92_3">NA()</definedName>
    <definedName name="DESC92_5">NA()</definedName>
    <definedName name="DESC92_6">NA()</definedName>
    <definedName name="DESC93">#N/A</definedName>
    <definedName name="DESC93_1">NA()</definedName>
    <definedName name="DESC93_2">NA()</definedName>
    <definedName name="DESC93_3">NA()</definedName>
    <definedName name="DESC93_5">NA()</definedName>
    <definedName name="DESC93_6">NA()</definedName>
    <definedName name="DESC94">#N/A</definedName>
    <definedName name="DESC94_1">NA()</definedName>
    <definedName name="DESC94_2">NA()</definedName>
    <definedName name="DESC94_3">NA()</definedName>
    <definedName name="DESC94_5">NA()</definedName>
    <definedName name="DESC94_6">NA()</definedName>
    <definedName name="DESC95">#N/A</definedName>
    <definedName name="DESC95_1">NA()</definedName>
    <definedName name="DESC95_2">NA()</definedName>
    <definedName name="DESC95_3">NA()</definedName>
    <definedName name="DESC95_5">NA()</definedName>
    <definedName name="DESC95_6">NA()</definedName>
    <definedName name="DESC96">#REF!</definedName>
    <definedName name="DESC97">#REF!</definedName>
    <definedName name="DESC98">#N/A</definedName>
    <definedName name="DESC98_1">NA()</definedName>
    <definedName name="DESC98_2">NA()</definedName>
    <definedName name="DESC98_3">NA()</definedName>
    <definedName name="DESC98_5">NA()</definedName>
    <definedName name="DESC98_6">NA()</definedName>
    <definedName name="DESC99">#N/A</definedName>
    <definedName name="DESC99_1">NA()</definedName>
    <definedName name="DESC99_2">NA()</definedName>
    <definedName name="DESC99_3">NA()</definedName>
    <definedName name="DESC99_5">NA()</definedName>
    <definedName name="DESC99_6">NA()</definedName>
    <definedName name="Description">#N/A</definedName>
    <definedName name="designed">#REF!</definedName>
    <definedName name="designed_1">NA()</definedName>
    <definedName name="designed_10">#REF!</definedName>
    <definedName name="designed_11">#REF!</definedName>
    <definedName name="designed_12">#REF!</definedName>
    <definedName name="designed_2">NA()</definedName>
    <definedName name="designed_20">#REF!</definedName>
    <definedName name="designed_21">#REF!</definedName>
    <definedName name="designed_24">#REF!</definedName>
    <definedName name="designed_25">#REF!</definedName>
    <definedName name="designed_26">#REF!</definedName>
    <definedName name="designed_27">#REF!</definedName>
    <definedName name="designed_28">#REF!</definedName>
    <definedName name="designed_29">#REF!</definedName>
    <definedName name="designed_3">NA()</definedName>
    <definedName name="designed_30">#REF!</definedName>
    <definedName name="designed_31">#REF!</definedName>
    <definedName name="designed_32">#REF!</definedName>
    <definedName name="designed_33">#REF!</definedName>
    <definedName name="designed_34">#REF!</definedName>
    <definedName name="designed_35">#REF!</definedName>
    <definedName name="designed_36">#REF!</definedName>
    <definedName name="designed_37">#REF!</definedName>
    <definedName name="designed_38">#REF!</definedName>
    <definedName name="designed_39">#REF!</definedName>
    <definedName name="designed_4">#REF!</definedName>
    <definedName name="designed_40">#REF!</definedName>
    <definedName name="designed_41">#REF!</definedName>
    <definedName name="designed_42">#REF!</definedName>
    <definedName name="designed_43">#REF!</definedName>
    <definedName name="designed_44">#REF!</definedName>
    <definedName name="designed_45">#REF!</definedName>
    <definedName name="designed_46">#REF!</definedName>
    <definedName name="designed_47">#REF!</definedName>
    <definedName name="designed_48">#REF!</definedName>
    <definedName name="designed_49">#REF!</definedName>
    <definedName name="designed_5">NA()</definedName>
    <definedName name="designed_50">#REF!</definedName>
    <definedName name="designed_51">#REF!</definedName>
    <definedName name="designed_52">#REF!</definedName>
    <definedName name="designed_53">#REF!</definedName>
    <definedName name="designed_55">#REF!</definedName>
    <definedName name="designed_56">#REF!</definedName>
    <definedName name="designed_57">#REF!</definedName>
    <definedName name="designed_61">#REF!</definedName>
    <definedName name="designed_62">#REF!</definedName>
    <definedName name="designed_63">#REF!</definedName>
    <definedName name="designed_64">#REF!</definedName>
    <definedName name="designed_65">#REF!</definedName>
    <definedName name="designed_66">#REF!</definedName>
    <definedName name="designed_8">#REF!</definedName>
    <definedName name="designed_9">#REF!</definedName>
    <definedName name="DesignPress">#REF!</definedName>
    <definedName name="DESILTING" localSheetId="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tail" hidden="1">{#N/A,#N/A,FALSE,"Kalk"}</definedName>
    <definedName name="detailed">#REF!</definedName>
    <definedName name="detailedfinal">#REF!</definedName>
    <definedName name="detailkalk1" hidden="1">{#N/A,#N/A,FALSE,"Kalk"}</definedName>
    <definedName name="DEVICE">#N/A</definedName>
    <definedName name="df">#REF!</definedName>
    <definedName name="df_1">NA()</definedName>
    <definedName name="df_10">#REF!</definedName>
    <definedName name="df_11">#REF!</definedName>
    <definedName name="df_12">#REF!</definedName>
    <definedName name="df_2">NA()</definedName>
    <definedName name="df_20">#REF!</definedName>
    <definedName name="df_21">#REF!</definedName>
    <definedName name="df_24">#REF!</definedName>
    <definedName name="df_25">#REF!</definedName>
    <definedName name="df_26">#REF!</definedName>
    <definedName name="df_27">#REF!</definedName>
    <definedName name="df_28">#REF!</definedName>
    <definedName name="df_29">#REF!</definedName>
    <definedName name="df_3">NA()</definedName>
    <definedName name="df_30">#REF!</definedName>
    <definedName name="df_31">#REF!</definedName>
    <definedName name="df_32">#REF!</definedName>
    <definedName name="df_33">#REF!</definedName>
    <definedName name="df_34">#REF!</definedName>
    <definedName name="df_35">#REF!</definedName>
    <definedName name="df_36">#REF!</definedName>
    <definedName name="df_37">#REF!</definedName>
    <definedName name="df_38">#REF!</definedName>
    <definedName name="df_39">#REF!</definedName>
    <definedName name="df_40">#REF!</definedName>
    <definedName name="df_41">#REF!</definedName>
    <definedName name="df_42">#REF!</definedName>
    <definedName name="df_43">#REF!</definedName>
    <definedName name="df_44">#REF!</definedName>
    <definedName name="df_45">#REF!</definedName>
    <definedName name="df_46">#REF!</definedName>
    <definedName name="df_47">#REF!</definedName>
    <definedName name="df_48">#REF!</definedName>
    <definedName name="df_49">#REF!</definedName>
    <definedName name="df_5">NA()</definedName>
    <definedName name="df_50">#REF!</definedName>
    <definedName name="df_51">#REF!</definedName>
    <definedName name="df_52">#REF!</definedName>
    <definedName name="df_53">#REF!</definedName>
    <definedName name="df_55">#REF!</definedName>
    <definedName name="df_56">#REF!</definedName>
    <definedName name="df_57">#REF!</definedName>
    <definedName name="df_61">#REF!</definedName>
    <definedName name="df_62">#REF!</definedName>
    <definedName name="df_63">#REF!</definedName>
    <definedName name="df_64">#REF!</definedName>
    <definedName name="df_65">#REF!</definedName>
    <definedName name="df_66">#REF!</definedName>
    <definedName name="df_8">#REF!</definedName>
    <definedName name="df_9">#REF!</definedName>
    <definedName name="DFADAD">#REF!</definedName>
    <definedName name="dfafdasdf">#REF!</definedName>
    <definedName name="dfd" localSheetId="1" hidden="1">{#N/A,#N/A,TRUE,"Front";#N/A,#N/A,TRUE,"Simple Letter";#N/A,#N/A,TRUE,"Inside";#N/A,#N/A,TRUE,"Contents";#N/A,#N/A,TRUE,"Basis";#N/A,#N/A,TRUE,"Inclusions";#N/A,#N/A,TRUE,"Exclusions";#N/A,#N/A,TRUE,"Areas";#N/A,#N/A,TRUE,"Summary";#N/A,#N/A,TRUE,"Detail"}</definedName>
    <definedName name="dfd" hidden="1">{#N/A,#N/A,TRUE,"Front";#N/A,#N/A,TRUE,"Simple Letter";#N/A,#N/A,TRUE,"Inside";#N/A,#N/A,TRUE,"Contents";#N/A,#N/A,TRUE,"Basis";#N/A,#N/A,TRUE,"Inclusions";#N/A,#N/A,TRUE,"Exclusions";#N/A,#N/A,TRUE,"Areas";#N/A,#N/A,TRUE,"Summary";#N/A,#N/A,TRUE,"Detail"}</definedName>
    <definedName name="DFDDA">#REF!</definedName>
    <definedName name="dfdf" hidden="1">{#N/A,#N/A,TRUE,"Front";#N/A,#N/A,TRUE,"Simple Letter";#N/A,#N/A,TRUE,"Inside";#N/A,#N/A,TRUE,"Contents";#N/A,#N/A,TRUE,"Basis";#N/A,#N/A,TRUE,"Inclusions";#N/A,#N/A,TRUE,"Exclusions";#N/A,#N/A,TRUE,"Areas";#N/A,#N/A,TRUE,"Summary";#N/A,#N/A,TRUE,"Detail"}</definedName>
    <definedName name="DFDFG">#REF!</definedName>
    <definedName name="DFDS" hidden="1">{#N/A,#N/A,TRUE,"Front";#N/A,#N/A,TRUE,"Simple Letter";#N/A,#N/A,TRUE,"Inside";#N/A,#N/A,TRUE,"Contents";#N/A,#N/A,TRUE,"Basis";#N/A,#N/A,TRUE,"Inclusions";#N/A,#N/A,TRUE,"Exclusions";#N/A,#N/A,TRUE,"Areas";#N/A,#N/A,TRUE,"Summary";#N/A,#N/A,TRUE,"Detail"}</definedName>
    <definedName name="Dfe">#REF!</definedName>
    <definedName name="Dfe_1">#REF!</definedName>
    <definedName name="Dfe_4">#REF!</definedName>
    <definedName name="dff"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fsd" hidden="1">#REF!</definedName>
    <definedName name="dfg" hidden="1">{#N/A,#N/A,FALSE,"gc (2)"}</definedName>
    <definedName name="DFGDF">#REF!</definedName>
    <definedName name="dfgdfee" hidden="1">{#N/A,#N/A,TRUE,"Front";#N/A,#N/A,TRUE,"Simple Letter";#N/A,#N/A,TRUE,"Inside";#N/A,#N/A,TRUE,"Contents";#N/A,#N/A,TRUE,"Basis";#N/A,#N/A,TRUE,"Inclusions";#N/A,#N/A,TRUE,"Exclusions";#N/A,#N/A,TRUE,"Areas";#N/A,#N/A,TRUE,"Summary";#N/A,#N/A,TRUE,"Detail"}</definedName>
    <definedName name="dfgdfsg">#REF!</definedName>
    <definedName name="dfgdsfg">#REF!</definedName>
    <definedName name="dfgg" hidden="1">{#N/A,#N/A,FALSE,"gc (2)"}</definedName>
    <definedName name="dfggfhdyjdytjds" hidden="1">{#N/A,#N/A,TRUE,"Front";#N/A,#N/A,TRUE,"Simple Letter";#N/A,#N/A,TRUE,"Inside";#N/A,#N/A,TRUE,"Contents";#N/A,#N/A,TRUE,"Basis";#N/A,#N/A,TRUE,"Inclusions";#N/A,#N/A,TRUE,"Exclusions";#N/A,#N/A,TRUE,"Areas";#N/A,#N/A,TRUE,"Summary";#N/A,#N/A,TRUE,"Detail"}</definedName>
    <definedName name="DFGGJHJHKKJLJKLHHJJJJJHJJ">#REF!</definedName>
    <definedName name="dfgh">#N/A</definedName>
    <definedName name="dfgsdg" hidden="1">{#N/A,#N/A,TRUE,"Krycí list"}</definedName>
    <definedName name="DFGWSDGFSDGSGDSDG">#REF!</definedName>
    <definedName name="DFHADAWEHYWER3WYEHRQH">#REF!</definedName>
    <definedName name="DFHF">#REF!</definedName>
    <definedName name="dfhfh" hidden="1">{#N/A,#N/A,TRUE,"Front";#N/A,#N/A,TRUE,"Simple Letter";#N/A,#N/A,TRUE,"Inside";#N/A,#N/A,TRUE,"Contents";#N/A,#N/A,TRUE,"Basis";#N/A,#N/A,TRUE,"Inclusions";#N/A,#N/A,TRUE,"Exclusions";#N/A,#N/A,TRUE,"Areas";#N/A,#N/A,TRUE,"Summary";#N/A,#N/A,TRUE,"Detail"}</definedName>
    <definedName name="DFSDF">#REF!</definedName>
    <definedName name="dfsdfds">#REF!</definedName>
    <definedName name="DFSDGFG">#REF!</definedName>
    <definedName name="dfw" hidden="1">{#N/A,#N/A,TRUE,"Krycí list"}</definedName>
    <definedName name="dfzc" hidden="1">#REF!</definedName>
    <definedName name="dg">#REF!</definedName>
    <definedName name="dg_1">NA()</definedName>
    <definedName name="dg_10">#REF!</definedName>
    <definedName name="dg_11">#REF!</definedName>
    <definedName name="dg_12">#REF!</definedName>
    <definedName name="dg_2">NA()</definedName>
    <definedName name="dg_20">#REF!</definedName>
    <definedName name="dg_21">#REF!</definedName>
    <definedName name="dg_24">#REF!</definedName>
    <definedName name="dg_25">#REF!</definedName>
    <definedName name="dg_26">#REF!</definedName>
    <definedName name="dg_27">#REF!</definedName>
    <definedName name="dg_28">#REF!</definedName>
    <definedName name="dg_29">#REF!</definedName>
    <definedName name="dg_3">NA()</definedName>
    <definedName name="dg_30">#REF!</definedName>
    <definedName name="dg_31">#REF!</definedName>
    <definedName name="dg_32">#REF!</definedName>
    <definedName name="dg_33">#REF!</definedName>
    <definedName name="dg_34">#REF!</definedName>
    <definedName name="dg_35">#REF!</definedName>
    <definedName name="dg_36">#REF!</definedName>
    <definedName name="dg_37">#REF!</definedName>
    <definedName name="dg_38">#REF!</definedName>
    <definedName name="dg_39">#REF!</definedName>
    <definedName name="dg_40">#REF!</definedName>
    <definedName name="dg_41">#REF!</definedName>
    <definedName name="dg_42">#REF!</definedName>
    <definedName name="dg_43">#REF!</definedName>
    <definedName name="dg_44">#REF!</definedName>
    <definedName name="dg_45">#REF!</definedName>
    <definedName name="dg_46">#REF!</definedName>
    <definedName name="dg_47">#REF!</definedName>
    <definedName name="dg_48">#REF!</definedName>
    <definedName name="dg_49">#REF!</definedName>
    <definedName name="dg_5">NA()</definedName>
    <definedName name="dg_50">#REF!</definedName>
    <definedName name="dg_51">#REF!</definedName>
    <definedName name="dg_52">#REF!</definedName>
    <definedName name="dg_53">#REF!</definedName>
    <definedName name="dg_55">#REF!</definedName>
    <definedName name="dg_56">#REF!</definedName>
    <definedName name="dg_57">#REF!</definedName>
    <definedName name="dg_61">#REF!</definedName>
    <definedName name="dg_62">#REF!</definedName>
    <definedName name="dg_63">#REF!</definedName>
    <definedName name="dg_64">#REF!</definedName>
    <definedName name="dg_65">#REF!</definedName>
    <definedName name="dg_66">#REF!</definedName>
    <definedName name="dg_8">#REF!</definedName>
    <definedName name="dg_9">#REF!</definedName>
    <definedName name="DGDF">#REF!</definedName>
    <definedName name="DGDFG">#REF!</definedName>
    <definedName name="dgfchhh">#REF!</definedName>
    <definedName name="dgfgfd" hidden="1">{#N/A,#N/A,FALSE,"COVER.XLS";#N/A,#N/A,FALSE,"RACT1.XLS";#N/A,#N/A,FALSE,"RACT2.XLS";#N/A,#N/A,FALSE,"ECCMP";#N/A,#N/A,FALSE,"WELDER.XLS"}</definedName>
    <definedName name="dghdd">#REF!</definedName>
    <definedName name="dghkl" hidden="1">{"'Bill No. 7'!$A$1:$G$32"}</definedName>
    <definedName name="dgk" hidden="1">{#N/A,#N/A,TRUE,"Front";#N/A,#N/A,TRUE,"Simple Letter";#N/A,#N/A,TRUE,"Inside";#N/A,#N/A,TRUE,"Contents";#N/A,#N/A,TRUE,"Basis";#N/A,#N/A,TRUE,"Inclusions";#N/A,#N/A,TRUE,"Exclusions";#N/A,#N/A,TRUE,"Areas";#N/A,#N/A,TRUE,"Summary";#N/A,#N/A,TRUE,"Detail"}</definedName>
    <definedName name="DGSSDGDSGFDS" hidden="1">{#N/A,#N/A,TRUE,"Front";#N/A,#N/A,TRUE,"Simple Letter";#N/A,#N/A,TRUE,"Inside";#N/A,#N/A,TRUE,"Contents";#N/A,#N/A,TRUE,"Basis";#N/A,#N/A,TRUE,"Inclusions";#N/A,#N/A,TRUE,"Exclusions";#N/A,#N/A,TRUE,"Areas";#N/A,#N/A,TRUE,"Summary";#N/A,#N/A,TRUE,"Detail"}</definedName>
    <definedName name="dhfd">#N/A</definedName>
    <definedName name="DHTML" hidden="1">{"'Sheet1'!$A$4386:$N$4591"}</definedName>
    <definedName name="dhzhgh">#REF!</definedName>
    <definedName name="Di">#REF!</definedName>
    <definedName name="Di_1">NA()</definedName>
    <definedName name="Di_2">NA()</definedName>
    <definedName name="Di_3">NA()</definedName>
    <definedName name="Di_5">NA()</definedName>
    <definedName name="dia" localSheetId="1" hidden="1">#REF!</definedName>
    <definedName name="dia" hidden="1">#REF!</definedName>
    <definedName name="DIAMETER">#REF!</definedName>
    <definedName name="dIESEL">#REF!</definedName>
    <definedName name="dim4e">#REF!</definedName>
    <definedName name="dimc">#REF!</definedName>
    <definedName name="DIns">#REF!</definedName>
    <definedName name="DIns_1">NA()</definedName>
    <definedName name="DIns_2">NA()</definedName>
    <definedName name="DIns_3">NA()</definedName>
    <definedName name="DIns_5">NA()</definedName>
    <definedName name="DIRECT1">#N/A</definedName>
    <definedName name="Discount" hidden="1">#REF!</definedName>
    <definedName name="discount_rate">15%</definedName>
    <definedName name="display_area_2" hidden="1">#REF!</definedName>
    <definedName name="div">#REF!</definedName>
    <definedName name="djb">#REF!</definedName>
    <definedName name="djfghf" hidden="1">{#N/A,#N/A,TRUE,"Front";#N/A,#N/A,TRUE,"Simple Letter";#N/A,#N/A,TRUE,"Inside";#N/A,#N/A,TRUE,"Contents";#N/A,#N/A,TRUE,"Basis";#N/A,#N/A,TRUE,"Inclusions";#N/A,#N/A,TRUE,"Exclusions";#N/A,#N/A,TRUE,"Areas";#N/A,#N/A,TRUE,"Summary";#N/A,#N/A,TRUE,"Detail"}</definedName>
    <definedName name="djkllnhjsnkjakjs">#REF!</definedName>
    <definedName name="dk">#REF!</definedName>
    <definedName name="dkdk" hidden="1">{#N/A,#N/A,FALSE,"COMPUTATION";#N/A,#N/A,FALSE,"CAPITAL ACCOUNT";#N/A,#N/A,FALSE,"CURRENT ACCOUNT";#N/A,#N/A,FALSE,"COMPANY_BAL_SHEET";#N/A,#N/A,FALSE,"TRADING &amp; P&amp;L ACT";#N/A,#N/A,FALSE,"SCHEDULE VIII, IX";#N/A,#N/A,FALSE,"SCHEDULES";#N/A,#N/A,FALSE,"FIXED ASSETS"}</definedName>
    <definedName name="DKKConversion">#REF!</definedName>
    <definedName name="dl">#REF!</definedName>
    <definedName name="dl___0">#REF!</definedName>
    <definedName name="dl___0_1">NA()</definedName>
    <definedName name="dl___0_2">NA()</definedName>
    <definedName name="dl___0_3">NA()</definedName>
    <definedName name="dl___0_5">NA()</definedName>
    <definedName name="dl___13">#REF!</definedName>
    <definedName name="dl___13_1">NA()</definedName>
    <definedName name="dl___13_2">NA()</definedName>
    <definedName name="dl___13_3">NA()</definedName>
    <definedName name="dl___13_5">NA()</definedName>
    <definedName name="dl_1">NA()</definedName>
    <definedName name="dl_2">NA()</definedName>
    <definedName name="dl_3">NA()</definedName>
    <definedName name="dl_5">NA()</definedName>
    <definedName name="DM">#REF!</definedName>
    <definedName name="DMRC_TOTAL">#REF!</definedName>
    <definedName name="dn" hidden="1">{#N/A,#N/A,FALSE,"COVER1.XLS ";#N/A,#N/A,FALSE,"RACT1.XLS";#N/A,#N/A,FALSE,"RACT2.XLS";#N/A,#N/A,FALSE,"ECCMP";#N/A,#N/A,FALSE,"WELDER.XLS"}</definedName>
    <definedName name="Do">#REF!</definedName>
    <definedName name="Do_1">NA()</definedName>
    <definedName name="Do_2">NA()</definedName>
    <definedName name="Do_3">NA()</definedName>
    <definedName name="Do_5">NA()</definedName>
    <definedName name="Doc">#N/A</definedName>
    <definedName name="Doc2002価格修正分">#REF!</definedName>
    <definedName name="docu">#REF!</definedName>
    <definedName name="docu_1">NA()</definedName>
    <definedName name="docu_10">#REF!</definedName>
    <definedName name="docu_11">#REF!</definedName>
    <definedName name="docu_12">#REF!</definedName>
    <definedName name="docu_2">NA()</definedName>
    <definedName name="docu_20">#REF!</definedName>
    <definedName name="docu_21">#REF!</definedName>
    <definedName name="docu_24">#REF!</definedName>
    <definedName name="docu_25">#REF!</definedName>
    <definedName name="docu_26">#REF!</definedName>
    <definedName name="docu_27">#REF!</definedName>
    <definedName name="docu_28">#REF!</definedName>
    <definedName name="docu_29">#REF!</definedName>
    <definedName name="docu_3">NA()</definedName>
    <definedName name="docu_30">#REF!</definedName>
    <definedName name="docu_31">#REF!</definedName>
    <definedName name="docu_32">#REF!</definedName>
    <definedName name="docu_33">#REF!</definedName>
    <definedName name="docu_34">#REF!</definedName>
    <definedName name="docu_35">#REF!</definedName>
    <definedName name="docu_36">#REF!</definedName>
    <definedName name="docu_37">#REF!</definedName>
    <definedName name="docu_38">#REF!</definedName>
    <definedName name="docu_39">#REF!</definedName>
    <definedName name="docu_4">#REF!</definedName>
    <definedName name="docu_40">#REF!</definedName>
    <definedName name="docu_41">#REF!</definedName>
    <definedName name="docu_42">#REF!</definedName>
    <definedName name="docu_43">#REF!</definedName>
    <definedName name="docu_44">#REF!</definedName>
    <definedName name="docu_45">#REF!</definedName>
    <definedName name="docu_46">#REF!</definedName>
    <definedName name="docu_47">#REF!</definedName>
    <definedName name="docu_48">#REF!</definedName>
    <definedName name="docu_49">#REF!</definedName>
    <definedName name="docu_5">NA()</definedName>
    <definedName name="docu_50">#REF!</definedName>
    <definedName name="docu_51">#REF!</definedName>
    <definedName name="docu_52">#REF!</definedName>
    <definedName name="docu_53">#REF!</definedName>
    <definedName name="docu_55">#REF!</definedName>
    <definedName name="docu_56">#REF!</definedName>
    <definedName name="docu_57">#REF!</definedName>
    <definedName name="docu_61">#REF!</definedName>
    <definedName name="docu_62">#REF!</definedName>
    <definedName name="docu_63">#REF!</definedName>
    <definedName name="docu_64">#REF!</definedName>
    <definedName name="docu_65">#REF!</definedName>
    <definedName name="docu_66">#REF!</definedName>
    <definedName name="docu_8">#REF!</definedName>
    <definedName name="docu_9">#REF!</definedName>
    <definedName name="DocumentName">""</definedName>
    <definedName name="DocumentNumber">""</definedName>
    <definedName name="Documents">#N/A</definedName>
    <definedName name="dog" hidden="1">{#N/A,#N/A,FALSE,"91NOLCB";#N/A,#N/A,FALSE,"92NOLCB";#N/A,#N/A,FALSE,"93NOLCB"}</definedName>
    <definedName name="doitg" hidden="1">{#N/A,#N/A,TRUE,"Front";#N/A,#N/A,TRUE,"Simple Letter";#N/A,#N/A,TRUE,"Inside";#N/A,#N/A,TRUE,"Contents";#N/A,#N/A,TRUE,"Basis";#N/A,#N/A,TRUE,"Inclusions";#N/A,#N/A,TRUE,"Exclusions";#N/A,#N/A,TRUE,"Areas";#N/A,#N/A,TRUE,"Summary";#N/A,#N/A,TRUE,"Detail"}</definedName>
    <definedName name="DOM_COS">#N/A</definedName>
    <definedName name="DOM_SALE">#N/A</definedName>
    <definedName name="DOMSALE">#N/A</definedName>
    <definedName name="door">#REF!</definedName>
    <definedName name="Doors">#REF!</definedName>
    <definedName name="DOW_CORNING_789_SILICONE_SEALANT">#REF!</definedName>
    <definedName name="DOW_CORNING_789_SILICONE_SEALANT_1">NA()</definedName>
    <definedName name="DOW_CORNING_789_SILICONE_SEALANT_1_1">NA()</definedName>
    <definedName name="DOW_CORNING_789_SILICONE_SEALANT_15">"$#REF!.$#REF!$#REF!"</definedName>
    <definedName name="DOW_CORNING_789_SILICONE_SEALANT_2">NA()</definedName>
    <definedName name="DOW_CORNING_789_SILICONE_SEALANT_2_1">NA()</definedName>
    <definedName name="DOW_CORNING_789_SILICONE_SEALANT_3">NA()</definedName>
    <definedName name="DOW_CORNING_789_SILICONE_SEALANT_3_1">"$#REF!.$#REF!$#REF!"</definedName>
    <definedName name="DOW_CORNING_789_SILICONE_SEALANT_4">"$#REF!.$#REF!$#REF!"</definedName>
    <definedName name="DOW_CORNING_789_SILICONE_SEALANT_5">NA()</definedName>
    <definedName name="DOW_CORNING_789_SILICONE_SEALANT_6">"$#REF!.$#REF!$#REF!"</definedName>
    <definedName name="DP">#REF!</definedName>
    <definedName name="DP_1">NA()</definedName>
    <definedName name="DP_2">NA()</definedName>
    <definedName name="DP_3">NA()</definedName>
    <definedName name="DP_5">NA()</definedName>
    <definedName name="dpr29.03.09" hidden="1">{#N/A,#N/A,FALSE,"MESURMENT BOOK OF 6 BILL";#N/A,#N/A,FALSE,"MESURMENT BOOK OF 6 BILL"}</definedName>
    <definedName name="dq">#REF!</definedName>
    <definedName name="dq_1">NA()</definedName>
    <definedName name="dq_10">#REF!</definedName>
    <definedName name="dq_11">#REF!</definedName>
    <definedName name="dq_12">#REF!</definedName>
    <definedName name="dq_2">NA()</definedName>
    <definedName name="dq_20">#REF!</definedName>
    <definedName name="dq_21">#REF!</definedName>
    <definedName name="dq_24">#REF!</definedName>
    <definedName name="dq_25">#REF!</definedName>
    <definedName name="dq_26">#REF!</definedName>
    <definedName name="dq_27">#REF!</definedName>
    <definedName name="dq_28">#REF!</definedName>
    <definedName name="dq_29">#REF!</definedName>
    <definedName name="dq_3">NA()</definedName>
    <definedName name="dq_30">#REF!</definedName>
    <definedName name="dq_31">#REF!</definedName>
    <definedName name="dq_32">#REF!</definedName>
    <definedName name="dq_33">#REF!</definedName>
    <definedName name="dq_34">#REF!</definedName>
    <definedName name="dq_35">#REF!</definedName>
    <definedName name="dq_36">#REF!</definedName>
    <definedName name="dq_37">#REF!</definedName>
    <definedName name="dq_38">#REF!</definedName>
    <definedName name="dq_39">#REF!</definedName>
    <definedName name="dq_40">#REF!</definedName>
    <definedName name="dq_41">#REF!</definedName>
    <definedName name="dq_42">#REF!</definedName>
    <definedName name="dq_43">#REF!</definedName>
    <definedName name="dq_44">#REF!</definedName>
    <definedName name="dq_45">#REF!</definedName>
    <definedName name="dq_46">#REF!</definedName>
    <definedName name="dq_47">#REF!</definedName>
    <definedName name="dq_48">#REF!</definedName>
    <definedName name="dq_49">#REF!</definedName>
    <definedName name="dq_5">NA()</definedName>
    <definedName name="dq_50">#REF!</definedName>
    <definedName name="dq_51">#REF!</definedName>
    <definedName name="dq_52">#REF!</definedName>
    <definedName name="dq_53">#REF!</definedName>
    <definedName name="dq_55">#REF!</definedName>
    <definedName name="dq_56">#REF!</definedName>
    <definedName name="dq_57">#REF!</definedName>
    <definedName name="dq_61">#REF!</definedName>
    <definedName name="dq_62">#REF!</definedName>
    <definedName name="dq_63">#REF!</definedName>
    <definedName name="dq_64">#REF!</definedName>
    <definedName name="dq_65">#REF!</definedName>
    <definedName name="dq_66">#REF!</definedName>
    <definedName name="dq_8">#REF!</definedName>
    <definedName name="dq_9">#REF!</definedName>
    <definedName name="dr" localSheetId="1" hidden="1">#REF!</definedName>
    <definedName name="dr" hidden="1">#REF!</definedName>
    <definedName name="DR.33">#REF!</definedName>
    <definedName name="DR.33_1">NA()</definedName>
    <definedName name="DR.33_2">NA()</definedName>
    <definedName name="DR.33_3">NA()</definedName>
    <definedName name="DR.33_5">NA()</definedName>
    <definedName name="DR.46">#REF!</definedName>
    <definedName name="DR.46_1">NA()</definedName>
    <definedName name="DR.46_2">NA()</definedName>
    <definedName name="DR.46_3">NA()</definedName>
    <definedName name="DR.46_5">NA()</definedName>
    <definedName name="DR.56">#REF!</definedName>
    <definedName name="DR.56_1">NA()</definedName>
    <definedName name="DR.56_2">NA()</definedName>
    <definedName name="DR.56_3">NA()</definedName>
    <definedName name="DR.56_5">NA()</definedName>
    <definedName name="Drain">#REF!</definedName>
    <definedName name="Drainage" hidden="1">{"'Typical Costs Estimates'!$C$158:$H$161"}</definedName>
    <definedName name="DRAWINGS">#REF!</definedName>
    <definedName name="DRAWINGS_I">#REF!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s">#REF!</definedName>
    <definedName name="Ds___0">#REF!</definedName>
    <definedName name="Ds___0_1">NA()</definedName>
    <definedName name="Ds___0_2">NA()</definedName>
    <definedName name="Ds___0_3">NA()</definedName>
    <definedName name="Ds___0_5">NA()</definedName>
    <definedName name="Ds___13">#REF!</definedName>
    <definedName name="Ds___13_1">NA()</definedName>
    <definedName name="Ds___13_2">NA()</definedName>
    <definedName name="Ds___13_3">NA()</definedName>
    <definedName name="Ds___13_5">NA()</definedName>
    <definedName name="Ds_1">NA()</definedName>
    <definedName name="Ds_2">NA()</definedName>
    <definedName name="Ds_3">NA()</definedName>
    <definedName name="Ds_5">NA()</definedName>
    <definedName name="dsadaD" hidden="1">{#N/A,#N/A,FALSE,"COVER1.XLS ";#N/A,#N/A,FALSE,"RACT1.XLS";#N/A,#N/A,FALSE,"RACT2.XLS";#N/A,#N/A,FALSE,"ECCMP";#N/A,#N/A,FALSE,"WELDER.XLS"}</definedName>
    <definedName name="dsaf">#REF!</definedName>
    <definedName name="DSAFSDA">#REF!</definedName>
    <definedName name="dscads">#N/A</definedName>
    <definedName name="dsds">#REF!</definedName>
    <definedName name="dsdsadasdas">#N/A</definedName>
    <definedName name="dsdud">#REF!</definedName>
    <definedName name="dsdud_15">"$#REF!.$#REF!$#REF!"</definedName>
    <definedName name="dsdud_3">"$#REF!.$#REF!$#REF!"</definedName>
    <definedName name="dsdud_4">"$#REF!.$#REF!$#REF!"</definedName>
    <definedName name="dsdud_5">NA()</definedName>
    <definedName name="dsdud_6">"$#REF!.$#REF!$#REF!"</definedName>
    <definedName name="dsfas" hidden="1">{#N/A,#N/A,TRUE,"Front";#N/A,#N/A,TRUE,"Simple Letter";#N/A,#N/A,TRUE,"Inside";#N/A,#N/A,TRUE,"Contents";#N/A,#N/A,TRUE,"Basis";#N/A,#N/A,TRUE,"Inclusions";#N/A,#N/A,TRUE,"Exclusions";#N/A,#N/A,TRUE,"Areas";#N/A,#N/A,TRUE,"Summary";#N/A,#N/A,TRUE,"Detail"}</definedName>
    <definedName name="dsfdsfdsfdasfdfs">#REF!</definedName>
    <definedName name="dsfgdsfgsgf">#REF!</definedName>
    <definedName name="dsfgsd">#REF!</definedName>
    <definedName name="dsfj" hidden="1">#REF!</definedName>
    <definedName name="dsgfhgj">#REF!</definedName>
    <definedName name="dty" hidden="1">{#N/A,#N/A,TRUE,"Front";#N/A,#N/A,TRUE,"Simple Letter";#N/A,#N/A,TRUE,"Inside";#N/A,#N/A,TRUE,"Contents";#N/A,#N/A,TRUE,"Basis";#N/A,#N/A,TRUE,"Inclusions";#N/A,#N/A,TRUE,"Exclusions";#N/A,#N/A,TRUE,"Areas";#N/A,#N/A,TRUE,"Summary";#N/A,#N/A,TRUE,"Detail"}</definedName>
    <definedName name="dvc" hidden="1">{#N/A,#N/A,TRUE,"Front";#N/A,#N/A,TRUE,"Simple Letter";#N/A,#N/A,TRUE,"Inside";#N/A,#N/A,TRUE,"Contents";#N/A,#N/A,TRUE,"Basis";#N/A,#N/A,TRUE,"Inclusions";#N/A,#N/A,TRUE,"Exclusions";#N/A,#N/A,TRUE,"Areas";#N/A,#N/A,TRUE,"Summary";#N/A,#N/A,TRUE,"Detail"}</definedName>
    <definedName name="dvsfdgdf" hidden="1">#REF!</definedName>
    <definedName name="dw">#REF!</definedName>
    <definedName name="dwgyg" hidden="1">{#N/A,#N/A,TRUE,"Front";#N/A,#N/A,TRUE,"Simple Letter";#N/A,#N/A,TRUE,"Inside";#N/A,#N/A,TRUE,"Contents";#N/A,#N/A,TRUE,"Basis";#N/A,#N/A,TRUE,"Inclusions";#N/A,#N/A,TRUE,"Exclusions";#N/A,#N/A,TRUE,"Areas";#N/A,#N/A,TRUE,"Summary";#N/A,#N/A,TRUE,"Detail"}</definedName>
    <definedName name="dxca">#N/A</definedName>
    <definedName name="dxs">#N/A</definedName>
    <definedName name="dy" hidden="1">{#N/A,#N/A,FALSE,"Kalk"}</definedName>
    <definedName name="E">#N/A</definedName>
    <definedName name="e.nos">#REF!</definedName>
    <definedName name="E_1">NA()</definedName>
    <definedName name="E_2">NA()</definedName>
    <definedName name="E_3">NA()</definedName>
    <definedName name="E_5">NA()</definedName>
    <definedName name="earth" hidden="1">{"'Sheet1'!$A$4386:$N$4591"}</definedName>
    <definedName name="earthing" hidden="1">{#N/A,#N/A,TRUE,"Front";#N/A,#N/A,TRUE,"Simple Letter";#N/A,#N/A,TRUE,"Inside";#N/A,#N/A,TRUE,"Contents";#N/A,#N/A,TRUE,"Basis";#N/A,#N/A,TRUE,"Inclusions";#N/A,#N/A,TRUE,"Exclusions";#N/A,#N/A,TRUE,"Areas";#N/A,#N/A,TRUE,"Summary";#N/A,#N/A,TRUE,"Detail"}</definedName>
    <definedName name="earthwork">#REF!</definedName>
    <definedName name="ED">#N/A</definedName>
    <definedName name="edf">#REF!</definedName>
    <definedName name="edited" hidden="1">{#N/A,#N/A,TRUE,"Front";#N/A,#N/A,TRUE,"Simple Letter";#N/A,#N/A,TRUE,"Inside";#N/A,#N/A,TRUE,"Contents";#N/A,#N/A,TRUE,"Basis";#N/A,#N/A,TRUE,"Inclusions";#N/A,#N/A,TRUE,"Exclusions";#N/A,#N/A,TRUE,"Areas";#N/A,#N/A,TRUE,"Summary";#N/A,#N/A,TRUE,"Detail"}</definedName>
    <definedName name="edited_1">{#N/A,#N/A,TRUE,"Front";#N/A,#N/A,TRUE,"Simple Letter";#N/A,#N/A,TRUE,"Inside";#N/A,#N/A,TRUE,"Contents";#N/A,#N/A,TRUE,"Basis";#N/A,#N/A,TRUE,"Inclusions";#N/A,#N/A,TRUE,"Exclusions";#N/A,#N/A,TRUE,"Areas";#N/A,#N/A,TRUE,"Summary";#N/A,#N/A,TRUE,"Detail"}</definedName>
    <definedName name="edited_1_1">{#N/A,#N/A,TRUE,"Front";#N/A,#N/A,TRUE,"Simple Letter";#N/A,#N/A,TRUE,"Inside";#N/A,#N/A,TRUE,"Contents";#N/A,#N/A,TRUE,"Basis";#N/A,#N/A,TRUE,"Inclusions";#N/A,#N/A,TRUE,"Exclusions";#N/A,#N/A,TRUE,"Areas";#N/A,#N/A,TRUE,"Summary";#N/A,#N/A,TRUE,"Detail"}</definedName>
    <definedName name="edited_2">{#N/A,#N/A,TRUE,"Front";#N/A,#N/A,TRUE,"Simple Letter";#N/A,#N/A,TRUE,"Inside";#N/A,#N/A,TRUE,"Contents";#N/A,#N/A,TRUE,"Basis";#N/A,#N/A,TRUE,"Inclusions";#N/A,#N/A,TRUE,"Exclusions";#N/A,#N/A,TRUE,"Areas";#N/A,#N/A,TRUE,"Summary";#N/A,#N/A,TRUE,"Detail"}</definedName>
    <definedName name="edited_2_1">{#N/A,#N/A,TRUE,"Front";#N/A,#N/A,TRUE,"Simple Letter";#N/A,#N/A,TRUE,"Inside";#N/A,#N/A,TRUE,"Contents";#N/A,#N/A,TRUE,"Basis";#N/A,#N/A,TRUE,"Inclusions";#N/A,#N/A,TRUE,"Exclusions";#N/A,#N/A,TRUE,"Areas";#N/A,#N/A,TRUE,"Summary";#N/A,#N/A,TRUE,"Detail"}</definedName>
    <definedName name="edited_3">{#N/A,#N/A,TRUE,"Front";#N/A,#N/A,TRUE,"Simple Letter";#N/A,#N/A,TRUE,"Inside";#N/A,#N/A,TRUE,"Contents";#N/A,#N/A,TRUE,"Basis";#N/A,#N/A,TRUE,"Inclusions";#N/A,#N/A,TRUE,"Exclusions";#N/A,#N/A,TRUE,"Areas";#N/A,#N/A,TRUE,"Summary";#N/A,#N/A,TRUE,"Detail"}</definedName>
    <definedName name="edited_3_1">{#N/A,#N/A,TRUE,"Front";#N/A,#N/A,TRUE,"Simple Letter";#N/A,#N/A,TRUE,"Inside";#N/A,#N/A,TRUE,"Contents";#N/A,#N/A,TRUE,"Basis";#N/A,#N/A,TRUE,"Inclusions";#N/A,#N/A,TRUE,"Exclusions";#N/A,#N/A,TRUE,"Areas";#N/A,#N/A,TRUE,"Summary";#N/A,#N/A,TRUE,"Detail"}</definedName>
    <definedName name="edited_4">{#N/A,#N/A,TRUE,"Front";#N/A,#N/A,TRUE,"Simple Letter";#N/A,#N/A,TRUE,"Inside";#N/A,#N/A,TRUE,"Contents";#N/A,#N/A,TRUE,"Basis";#N/A,#N/A,TRUE,"Inclusions";#N/A,#N/A,TRUE,"Exclusions";#N/A,#N/A,TRUE,"Areas";#N/A,#N/A,TRUE,"Summary";#N/A,#N/A,TRUE,"Detail"}</definedName>
    <definedName name="ee" localSheetId="1" hidden="1">{"form-D1",#N/A,FALSE,"FORM-D1";"form-D1_amt",#N/A,FALSE,"FORM-D1"}</definedName>
    <definedName name="ee" hidden="1">{"form-D1",#N/A,FALSE,"FORM-D1";"form-D1_amt",#N/A,FALSE,"FORM-D1"}</definedName>
    <definedName name="eee788989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ee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eeee" hidden="1">#REF!</definedName>
    <definedName name="eeeeeeeeeee">#REF!</definedName>
    <definedName name="ees">#REF!</definedName>
    <definedName name="efnjks">#N/A</definedName>
    <definedName name="eg" hidden="1">#REF!</definedName>
    <definedName name="egfuwehfuiwnhfrguirehjgienrjg">#N/A</definedName>
    <definedName name="EGP">3.8204629</definedName>
    <definedName name="egt301d">#REF!</definedName>
    <definedName name="egt301d_15">"$#REF!.$#REF!$#REF!"</definedName>
    <definedName name="egt301d_3">"$#REF!.$#REF!$#REF!"</definedName>
    <definedName name="egt301d_4">"$#REF!.$#REF!$#REF!"</definedName>
    <definedName name="egt301d_5">NA()</definedName>
    <definedName name="egt301d_6">"$#REF!.$#REF!$#REF!"</definedName>
    <definedName name="egt330d">#REF!</definedName>
    <definedName name="egt330d_15">"$#REF!.$#REF!$#REF!"</definedName>
    <definedName name="egt330d_3">"$#REF!.$#REF!$#REF!"</definedName>
    <definedName name="egt330d_4">"$#REF!.$#REF!$#REF!"</definedName>
    <definedName name="egt330d_5">NA()</definedName>
    <definedName name="egt330d_6">"$#REF!.$#REF!$#REF!"</definedName>
    <definedName name="ejl" hidden="1">{#N/A,#N/A,TRUE,"1? ????";#N/A,#N/A,TRUE,"1-2? ?????";#N/A,#N/A,TRUE,"2? ??";#N/A,#N/A,TRUE,"2??? ????";#N/A,#N/A,TRUE,"3(1)? ????";#N/A,#N/A,TRUE,"??????";#N/A,#N/A,TRUE,"3(1)?7 ????";#N/A,#N/A,TRUE,"5? ???";#N/A,#N/A,TRUE,"5?2 ???(?)";#N/A,#N/A,TRUE,"6? ????";#N/A,#N/A,TRUE,"6? ??(?)";#N/A,#N/A,TRUE,"6? ??(?)";#N/A,#N/A,TRUE,"????";#N/A,#N/A,TRUE,"6-6(3)? ??(??)";#N/A,#N/A,TRUE,"9? ???(?)";#N/A,#N/A,TRUE,"9? ???(?)";#N/A,#N/A,TRUE,"10(3)? ????";#N/A,#N/A,TRUE,"10(4)? ????"}</definedName>
    <definedName name="ele">0.015</definedName>
    <definedName name="ELECTRICAL">#REF!</definedName>
    <definedName name="electricpoles">#REF!</definedName>
    <definedName name="Em">#REF!</definedName>
    <definedName name="Em___0">#REF!</definedName>
    <definedName name="Em___0_1">NA()</definedName>
    <definedName name="Em___0_2">NA()</definedName>
    <definedName name="Em___0_3">NA()</definedName>
    <definedName name="Em___0_5">NA()</definedName>
    <definedName name="Em___13">#REF!</definedName>
    <definedName name="Em___13_1">NA()</definedName>
    <definedName name="Em___13_2">NA()</definedName>
    <definedName name="Em___13_3">NA()</definedName>
    <definedName name="Em___13_5">NA()</definedName>
    <definedName name="Em_1">NA()</definedName>
    <definedName name="Em_2">NA()</definedName>
    <definedName name="Em_3">NA()</definedName>
    <definedName name="Em_5">NA()</definedName>
    <definedName name="Email">#REF!</definedName>
    <definedName name="EMAS">#REF!</definedName>
    <definedName name="Emin" localSheetId="1" hidden="1">#REF!</definedName>
    <definedName name="Emin" hidden="1">#REF!</definedName>
    <definedName name="emulsion">#REF!</definedName>
    <definedName name="End_Bal">#REF!</definedName>
    <definedName name="EndBorder">#REF!</definedName>
    <definedName name="EngAddress">#REF!</definedName>
    <definedName name="EngAddress_4">#REF!</definedName>
    <definedName name="EngAddress_6">#REF!</definedName>
    <definedName name="EngCity">#REF!</definedName>
    <definedName name="EngCity_4">#REF!</definedName>
    <definedName name="EngCity_6">#REF!</definedName>
    <definedName name="EngName">#REF!</definedName>
    <definedName name="EngName_4">#REF!</definedName>
    <definedName name="EngName_6">#REF!</definedName>
    <definedName name="EngPostal">#REF!</definedName>
    <definedName name="EngPostal_4">#REF!</definedName>
    <definedName name="EngPostal_6">#REF!</definedName>
    <definedName name="EngPrio">#REF!</definedName>
    <definedName name="EngPrio_4">#REF!</definedName>
    <definedName name="EngPrio_6">#REF!</definedName>
    <definedName name="EngPrio_Text">#REF!</definedName>
    <definedName name="EngPrio_Text_4">#REF!</definedName>
    <definedName name="EngPrio_Text_6">#REF!</definedName>
    <definedName name="EngState">#REF!</definedName>
    <definedName name="EngState_4">#REF!</definedName>
    <definedName name="EngState_6">#REF!</definedName>
    <definedName name="enter">#REF!</definedName>
    <definedName name="entrencegate">#REF!</definedName>
    <definedName name="environmentalcost">#REF!</definedName>
    <definedName name="EOH">#N/A</definedName>
    <definedName name="EOH_UC">#N/A</definedName>
    <definedName name="EOHAMT">#N/A</definedName>
    <definedName name="EOHQTY">#N/A</definedName>
    <definedName name="eq" hidden="1">#REF!</definedName>
    <definedName name="eqjwd">#REF!</definedName>
    <definedName name="eqjwd_15">"$#REF!.$#REF!$#REF!"</definedName>
    <definedName name="eqjwd_3">"$#REF!.$#REF!$#REF!"</definedName>
    <definedName name="eqjwd_4">"$#REF!.$#REF!$#REF!"</definedName>
    <definedName name="eqjwd_5">NA()</definedName>
    <definedName name="eqjwd_6">"$#REF!.$#REF!$#REF!"</definedName>
    <definedName name="EQR2Q" hidden="1">{#N/A,#N/A,TRUE,"Front";#N/A,#N/A,TRUE,"Simple Letter";#N/A,#N/A,TRUE,"Inside";#N/A,#N/A,TRUE,"Contents";#N/A,#N/A,TRUE,"Basis";#N/A,#N/A,TRUE,"Inclusions";#N/A,#N/A,TRUE,"Exclusions";#N/A,#N/A,TRUE,"Areas";#N/A,#N/A,TRUE,"Summary";#N/A,#N/A,TRUE,"Detail"}</definedName>
    <definedName name="Equip">#REF!</definedName>
    <definedName name="er">#REF!</definedName>
    <definedName name="ere">#N/A</definedName>
    <definedName name="ereew">#N/A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er">#REF!</definedName>
    <definedName name="eret">#REF!</definedName>
    <definedName name="err">#N/A</definedName>
    <definedName name="erre">#N/A</definedName>
    <definedName name="erretr">#REF!</definedName>
    <definedName name="errght">#N/A</definedName>
    <definedName name="errrrt">#N/A</definedName>
    <definedName name="ertertertertyt" hidden="1">{#N/A,#N/A,TRUE,"Flooring "}</definedName>
    <definedName name="ERWEREWRE" hidden="1">{#N/A,#N/A,TRUE,"Front";#N/A,#N/A,TRUE,"Simple Letter";#N/A,#N/A,TRUE,"Inside";#N/A,#N/A,TRUE,"Contents";#N/A,#N/A,TRUE,"Basis";#N/A,#N/A,TRUE,"Inclusions";#N/A,#N/A,TRUE,"Exclusions";#N/A,#N/A,TRUE,"Areas";#N/A,#N/A,TRUE,"Summary";#N/A,#N/A,TRUE,"Detail"}</definedName>
    <definedName name="Es">#REF!</definedName>
    <definedName name="Es___0">#REF!</definedName>
    <definedName name="Es___0_1">NA()</definedName>
    <definedName name="Es___0_2">NA()</definedName>
    <definedName name="Es___0_3">NA()</definedName>
    <definedName name="Es___0_5">NA()</definedName>
    <definedName name="Es___13">#REF!</definedName>
    <definedName name="Es___13_1">NA()</definedName>
    <definedName name="Es___13_2">NA()</definedName>
    <definedName name="Es___13_3">NA()</definedName>
    <definedName name="Es___13_5">NA()</definedName>
    <definedName name="Es_1">NA()</definedName>
    <definedName name="Es_2">NA()</definedName>
    <definedName name="Es_3">NA()</definedName>
    <definedName name="Es_5">NA()</definedName>
    <definedName name="ESCALATION1" hidden="1">#REF!</definedName>
    <definedName name="eses">#N/A</definedName>
    <definedName name="essai">#REF!</definedName>
    <definedName name="ESSR1">#REF!</definedName>
    <definedName name="ESSR1_1">NA()</definedName>
    <definedName name="ESSR1_2">NA()</definedName>
    <definedName name="ESSR1_3">NA()</definedName>
    <definedName name="ESSR1_5">NA()</definedName>
    <definedName name="ESSR10">#REF!</definedName>
    <definedName name="ESSR10_1">NA()</definedName>
    <definedName name="ESSR10_2">NA()</definedName>
    <definedName name="ESSR10_3">NA()</definedName>
    <definedName name="ESSR10_5">NA()</definedName>
    <definedName name="ESSR11">#REF!</definedName>
    <definedName name="ESSR11_1">NA()</definedName>
    <definedName name="ESSR11_2">NA()</definedName>
    <definedName name="ESSR11_3">NA()</definedName>
    <definedName name="ESSR11_5">NA()</definedName>
    <definedName name="ESSR12">#REF!</definedName>
    <definedName name="ESSR12_1">NA()</definedName>
    <definedName name="ESSR12_2">NA()</definedName>
    <definedName name="ESSR12_3">NA()</definedName>
    <definedName name="ESSR12_5">NA()</definedName>
    <definedName name="ESSR13">#REF!</definedName>
    <definedName name="ESSR13_1">NA()</definedName>
    <definedName name="ESSR13_2">NA()</definedName>
    <definedName name="ESSR13_3">NA()</definedName>
    <definedName name="ESSR13_5">NA()</definedName>
    <definedName name="ESSR2">#REF!</definedName>
    <definedName name="ESSR2_1">NA()</definedName>
    <definedName name="ESSR2_2">NA()</definedName>
    <definedName name="ESSR2_3">NA()</definedName>
    <definedName name="ESSR2_5">NA()</definedName>
    <definedName name="ESSR3">#REF!</definedName>
    <definedName name="ESSR3_1">NA()</definedName>
    <definedName name="ESSR3_2">NA()</definedName>
    <definedName name="ESSR3_3">NA()</definedName>
    <definedName name="ESSR3_5">NA()</definedName>
    <definedName name="ESSR4">#REF!</definedName>
    <definedName name="ESSR4_1">NA()</definedName>
    <definedName name="ESSR4_2">NA()</definedName>
    <definedName name="ESSR4_3">NA()</definedName>
    <definedName name="ESSR4_5">NA()</definedName>
    <definedName name="ESSR5">#REF!</definedName>
    <definedName name="ESSR5_1">NA()</definedName>
    <definedName name="ESSR5_2">NA()</definedName>
    <definedName name="ESSR5_3">NA()</definedName>
    <definedName name="ESSR5_5">NA()</definedName>
    <definedName name="ESSR6">#REF!</definedName>
    <definedName name="ESSR6_1">NA()</definedName>
    <definedName name="ESSR6_2">NA()</definedName>
    <definedName name="ESSR6_3">NA()</definedName>
    <definedName name="ESSR6_5">NA()</definedName>
    <definedName name="ESSR7">#REF!</definedName>
    <definedName name="ESSR7_1">NA()</definedName>
    <definedName name="ESSR7_2">NA()</definedName>
    <definedName name="ESSR7_3">NA()</definedName>
    <definedName name="ESSR7_5">NA()</definedName>
    <definedName name="ESSR8">#REF!</definedName>
    <definedName name="ESSR8_1">NA()</definedName>
    <definedName name="ESSR8_2">NA()</definedName>
    <definedName name="ESSR8_3">NA()</definedName>
    <definedName name="ESSR8_5">NA()</definedName>
    <definedName name="ESSR9">#REF!</definedName>
    <definedName name="ESSR9_1">NA()</definedName>
    <definedName name="ESSR9_2">NA()</definedName>
    <definedName name="ESSR9_3">NA()</definedName>
    <definedName name="ESSR9_5">NA()</definedName>
    <definedName name="est">#N/A</definedName>
    <definedName name="EstCost">#REF!</definedName>
    <definedName name="EstCost_4">#REF!</definedName>
    <definedName name="EstCost_6">#REF!</definedName>
    <definedName name="estimate">#REF!</definedName>
    <definedName name="Estimation">#REF!</definedName>
    <definedName name="Et">#REF!</definedName>
    <definedName name="Et___0">#REF!</definedName>
    <definedName name="Et___0_1">NA()</definedName>
    <definedName name="Et___0_2">NA()</definedName>
    <definedName name="Et___0_3">NA()</definedName>
    <definedName name="Et___0_5">NA()</definedName>
    <definedName name="Et___13">#REF!</definedName>
    <definedName name="Et___13_1">NA()</definedName>
    <definedName name="Et___13_2">NA()</definedName>
    <definedName name="Et___13_3">NA()</definedName>
    <definedName name="Et___13_5">NA()</definedName>
    <definedName name="Et_1">NA()</definedName>
    <definedName name="Et_2">NA()</definedName>
    <definedName name="Et_3">NA()</definedName>
    <definedName name="Et_5">NA()</definedName>
    <definedName name="ETH" hidden="1">{#N/A,#N/A,TRUE,"Front";#N/A,#N/A,TRUE,"Simple Letter";#N/A,#N/A,TRUE,"Inside";#N/A,#N/A,TRUE,"Contents";#N/A,#N/A,TRUE,"Basis";#N/A,#N/A,TRUE,"Inclusions";#N/A,#N/A,TRUE,"Exclusions";#N/A,#N/A,TRUE,"Areas";#N/A,#N/A,TRUE,"Summary";#N/A,#N/A,TRUE,"Detail"}</definedName>
    <definedName name="ETREWTEWTEW" hidden="1">{#N/A,#N/A,TRUE,"Front";#N/A,#N/A,TRUE,"Simple Letter";#N/A,#N/A,TRUE,"Inside";#N/A,#N/A,TRUE,"Contents";#N/A,#N/A,TRUE,"Basis";#N/A,#N/A,TRUE,"Inclusions";#N/A,#N/A,TRUE,"Exclusions";#N/A,#N/A,TRUE,"Areas";#N/A,#N/A,TRUE,"Summary";#N/A,#N/A,TRUE,"Detail"}</definedName>
    <definedName name="ETWETEWTEW" hidden="1">{#N/A,#N/A,TRUE,"Front";#N/A,#N/A,TRUE,"Simple Letter";#N/A,#N/A,TRUE,"Inside";#N/A,#N/A,TRUE,"Contents";#N/A,#N/A,TRUE,"Basis";#N/A,#N/A,TRUE,"Inclusions";#N/A,#N/A,TRUE,"Exclusions";#N/A,#N/A,TRUE,"Areas";#N/A,#N/A,TRUE,"Summary";#N/A,#N/A,TRUE,"Detail"}</definedName>
    <definedName name="ETYREYRTYR" hidden="1">{#N/A,#N/A,TRUE,"Front";#N/A,#N/A,TRUE,"Simple Letter";#N/A,#N/A,TRUE,"Inside";#N/A,#N/A,TRUE,"Contents";#N/A,#N/A,TRUE,"Basis";#N/A,#N/A,TRUE,"Inclusions";#N/A,#N/A,TRUE,"Exclusions";#N/A,#N/A,TRUE,"Areas";#N/A,#N/A,TRUE,"Summary";#N/A,#N/A,TRUE,"Detail"}</definedName>
    <definedName name="eu">#REF!</definedName>
    <definedName name="eu_15">"$#REF!.$#REF!$#REF!"</definedName>
    <definedName name="eu_3">"$#REF!.$#REF!$#REF!"</definedName>
    <definedName name="eu_4">#REF!</definedName>
    <definedName name="eu_5">NA()</definedName>
    <definedName name="eu_6">#REF!</definedName>
    <definedName name="EUR">#REF!</definedName>
    <definedName name="euro" hidden="1">{#N/A,#N/A,TRUE,"Front";#N/A,#N/A,TRUE,"Simple Letter";#N/A,#N/A,TRUE,"Inside";#N/A,#N/A,TRUE,"Contents";#N/A,#N/A,TRUE,"Basis";#N/A,#N/A,TRUE,"Inclusions";#N/A,#N/A,TRUE,"Exclusions";#N/A,#N/A,TRUE,"Areas";#N/A,#N/A,TRUE,"Summary";#N/A,#N/A,TRUE,"Detail"}</definedName>
    <definedName name="EuroConversion">#REF!</definedName>
    <definedName name="euronet" localSheetId="1"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#REF!</definedName>
    <definedName name="EWTEWTEWTEW" hidden="1">{#N/A,#N/A,TRUE,"Front";#N/A,#N/A,TRUE,"Simple Letter";#N/A,#N/A,TRUE,"Inside";#N/A,#N/A,TRUE,"Contents";#N/A,#N/A,TRUE,"Basis";#N/A,#N/A,TRUE,"Inclusions";#N/A,#N/A,TRUE,"Exclusions";#N/A,#N/A,TRUE,"Areas";#N/A,#N/A,TRUE,"Summary";#N/A,#N/A,TRUE,"Detail"}</definedName>
    <definedName name="EX">"EXCAVATION"</definedName>
    <definedName name="Excavation">#REF!</definedName>
    <definedName name="Excavation_1">NA()</definedName>
    <definedName name="Excavation_2">NA()</definedName>
    <definedName name="Excavation_3">NA()</definedName>
    <definedName name="Excavation_5">NA()</definedName>
    <definedName name="excavationsheet">#REF!</definedName>
    <definedName name="Excel_BuiltIn__FilterDatabase">#N/A</definedName>
    <definedName name="Excel_BuiltIn__FilterDatabase_1">#N/A</definedName>
    <definedName name="Excel_BuiltIn__FilterDatabase_10">#REF!</definedName>
    <definedName name="Excel_BuiltIn__FilterDatabase_15">#REF!</definedName>
    <definedName name="Excel_BuiltIn__FilterDatabase_2">#REF!</definedName>
    <definedName name="Excel_BuiltIn__FilterDatabase_2_1">#REF!</definedName>
    <definedName name="Excel_BuiltIn__FilterDatabase_22">#REF!</definedName>
    <definedName name="Excel_BuiltIn__FilterDatabase_4">#REF!</definedName>
    <definedName name="Excel_BuiltIn__FilterDatabase_6">#REF!</definedName>
    <definedName name="Excel_BuiltIn__FilterDatabase_7">#REF!</definedName>
    <definedName name="Excel_BuiltIn__FilterDatabase_8">NA()</definedName>
    <definedName name="Excel_BuiltIn__FilterDatabase_9">#REF!</definedName>
    <definedName name="Excel_BuiltIn_Criteria">#REF!</definedName>
    <definedName name="Excel_BuiltIn_Database">#N/A</definedName>
    <definedName name="Excel_BuiltIn_Database_0">#REF!</definedName>
    <definedName name="Excel_BuiltIn_Database_1">#REF!</definedName>
    <definedName name="Excel_BuiltIn_Database_10">"'file:///media/MIT%20HOSTEL/Report%20for%20june10/RA%20BILL%2003%20As%2001/RA%20BILL%20NO%2004/RA%20BILL%2003%20As%2001/RA%20BILL%20NO%201%20Certified/DOCUME~1/gshankar/LOCALS~1/Temp/Rar$DI95.726/Food%20Court/Rate,Variation%20&amp;%20stocks/Rough-31.12.05.xls"</definedName>
    <definedName name="Excel_BuiltIn_Database_11">"'file:///C:/DOCUME~1/gshankar/LOCALS~1/Temp/Rar$DI95.726/Food%20Court/Rate,Variation%20&amp;%20stocks/Rough-31.12.05.xls'#$''.$A$3:$S$74"</definedName>
    <definedName name="Excel_BuiltIn_Database_12">"'file://Agni/SKYTOP%20BUILDERS/Documents%20and%20Settings/anpcpmc.ANPRAKASHPMC/Desktop/rab%25252525252525252525252525252525252525252525252525252525252525252525252525252525252525252525252525252525252525252525233%20final.xls'#$''.$A$4:$I$257"</definedName>
    <definedName name="Excel_BuiltIn_Database_2">"'file:///media/MIT%20HOSTEL/Report%20for%20june10/RA%20BILL%2003%20As%2001/RA%20BILL%20NO%2004/RA%20BILL%2003%20As%2001/RA%20BILL%20NO%201%20Certified/DOCUME~1/gshankar/LOCALS~1/Temp/Rar$DI95.726/Food%20Court/Rate,Variation%20&amp;%20stocks/Rough-31.12.05.xls"</definedName>
    <definedName name="Excel_BuiltIn_Database_20">#REF!</definedName>
    <definedName name="Excel_BuiltIn_Database_21">#REF!</definedName>
    <definedName name="Excel_BuiltIn_Database_24">#REF!</definedName>
    <definedName name="Excel_BuiltIn_Database_25">#REF!</definedName>
    <definedName name="Excel_BuiltIn_Database_26">#REF!</definedName>
    <definedName name="Excel_BuiltIn_Database_27">#REF!</definedName>
    <definedName name="Excel_BuiltIn_Database_28">#REF!</definedName>
    <definedName name="Excel_BuiltIn_Database_29">#REF!</definedName>
    <definedName name="Excel_BuiltIn_Database_3">"'file:///C:/DOCUME~1/gshankar/LOCALS~1/Temp/Rar$DI95.726/Food%20Court/Rate,Variation%20&amp;%20stocks/Rough-31.12.05.xls'#$''.$A$3:$S$74"</definedName>
    <definedName name="Excel_BuiltIn_Database_30">#REF!</definedName>
    <definedName name="Excel_BuiltIn_Database_31">#REF!</definedName>
    <definedName name="Excel_BuiltIn_Database_32">#REF!</definedName>
    <definedName name="Excel_BuiltIn_Database_33">#REF!</definedName>
    <definedName name="Excel_BuiltIn_Database_34">#REF!</definedName>
    <definedName name="Excel_BuiltIn_Database_35">#REF!</definedName>
    <definedName name="Excel_BuiltIn_Database_36">#REF!</definedName>
    <definedName name="Excel_BuiltIn_Database_37">#REF!</definedName>
    <definedName name="Excel_BuiltIn_Database_38">#REF!</definedName>
    <definedName name="Excel_BuiltIn_Database_39">#REF!</definedName>
    <definedName name="Excel_BuiltIn_Database_4">"'file:///media/MIT%20HOSTEL/Report%20for%20june10/RA%20BILL%2003%20As%2001/RA%20BILL%20NO%2004/DOCUME~1/gshankar/LOCALS~1/Temp/Rar$DI95.726/Food%20Court/Rate,Variation%20&amp;%20stocks/Rough-31.12.05.xls'#$''.$A$3:$S$74"</definedName>
    <definedName name="Excel_BuiltIn_Database_40">#REF!</definedName>
    <definedName name="Excel_BuiltIn_Database_41">#REF!</definedName>
    <definedName name="Excel_BuiltIn_Database_42">#REF!</definedName>
    <definedName name="Excel_BuiltIn_Database_43">#REF!</definedName>
    <definedName name="Excel_BuiltIn_Database_44">#REF!</definedName>
    <definedName name="Excel_BuiltIn_Database_45">#REF!</definedName>
    <definedName name="Excel_BuiltIn_Database_46">#REF!</definedName>
    <definedName name="Excel_BuiltIn_Database_47">#REF!</definedName>
    <definedName name="Excel_BuiltIn_Database_48">#REF!</definedName>
    <definedName name="Excel_BuiltIn_Database_49">#REF!</definedName>
    <definedName name="Excel_BuiltIn_Database_50">#REF!</definedName>
    <definedName name="Excel_BuiltIn_Database_51">#REF!</definedName>
    <definedName name="Excel_BuiltIn_Database_52">#REF!</definedName>
    <definedName name="Excel_BuiltIn_Database_53">#REF!</definedName>
    <definedName name="Excel_BuiltIn_Database_55">#REF!</definedName>
    <definedName name="Excel_BuiltIn_Database_56">#REF!</definedName>
    <definedName name="Excel_BuiltIn_Database_57">#REF!</definedName>
    <definedName name="Excel_BuiltIn_Database_61">#REF!</definedName>
    <definedName name="Excel_BuiltIn_Database_62">#REF!</definedName>
    <definedName name="Excel_BuiltIn_Database_63">#REF!</definedName>
    <definedName name="Excel_BuiltIn_Database_64">#REF!</definedName>
    <definedName name="Excel_BuiltIn_Database_65">#REF!</definedName>
    <definedName name="Excel_BuiltIn_Database_66">#REF!</definedName>
    <definedName name="Excel_BuiltIn_Database_8">"'file:///C:/DOCUME~1/gshankar/LOCALS~1/Temp/Rar$DI95.726/Food%20Court/Rate,Variation%20&amp;%20stocks/Rough-31.12.05.xls'#$''.$A$3:$S$74"</definedName>
    <definedName name="Excel_BuiltIn_Database_9">#REF!</definedName>
    <definedName name="Excel_BuiltIn_Print_Area">#REF!</definedName>
    <definedName name="Excel_BuiltIn_Print_Area_0">"$#REF!.$#REF!$#REF!:$#REF!$#REF!"</definedName>
    <definedName name="Excel_BuiltIn_Print_Area_0___0">"$#REF!.$#REF!$#REF!:$#REF!$#REF!"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(#REF!,#REF!)</definedName>
    <definedName name="Excel_BuiltIn_Print_Area_1_1_1_1_1_1_1">(#REF!,#REF!)</definedName>
    <definedName name="Excel_BuiltIn_Print_Area_1_1_1_1_1_1_1_1">NA()</definedName>
    <definedName name="Excel_BuiltIn_Print_Area_1_1_1_1_1_1_1_1_1">NA()</definedName>
    <definedName name="Excel_BuiltIn_Print_Area_1_1_1_15">"$#REF!.$#REF!$#REF!"</definedName>
    <definedName name="Excel_BuiltIn_Print_Area_1_1_1_2">(#REF!,#REF!)</definedName>
    <definedName name="Excel_BuiltIn_Print_Area_1_1_1_3">"$#REF!.$#REF!$#REF!"</definedName>
    <definedName name="Excel_BuiltIn_Print_Area_1_1_1_4">"$#REF!.$#REF!$#REF!"</definedName>
    <definedName name="Excel_BuiltIn_Print_Area_1_1_1_5">(#REF!,#REF!)</definedName>
    <definedName name="Excel_BuiltIn_Print_Area_1_1_1_6">"$#REF!.$#REF!$#REF!"</definedName>
    <definedName name="Excel_BuiltIn_Print_Area_1_1_1_7">(#REF!,#REF!)</definedName>
    <definedName name="Excel_BuiltIn_Print_Area_1_1_1_8">#REF!</definedName>
    <definedName name="Excel_BuiltIn_Print_Area_1_1_1_9">#REF!</definedName>
    <definedName name="Excel_BuiltIn_Print_Area_1_1_11">NA()</definedName>
    <definedName name="Excel_BuiltIn_Print_Area_1_1_12">NA()</definedName>
    <definedName name="Excel_BuiltIn_Print_Area_1_1_13">NA()</definedName>
    <definedName name="Excel_BuiltIn_Print_Area_1_1_14">NA()</definedName>
    <definedName name="Excel_BuiltIn_Print_Area_1_1_15">"$#REF!.$#REF!$#REF!"</definedName>
    <definedName name="Excel_BuiltIn_Print_Area_1_1_2">(#REF!,#REF!)</definedName>
    <definedName name="Excel_BuiltIn_Print_Area_1_1_2_1">(#REF!,#REF!)</definedName>
    <definedName name="Excel_BuiltIn_Print_Area_1_1_2_2">(#REF!,#REF!)</definedName>
    <definedName name="Excel_BuiltIn_Print_Area_1_1_2_3">(#REF!,#REF!)</definedName>
    <definedName name="Excel_BuiltIn_Print_Area_1_1_2_4">(#REF!,#REF!)</definedName>
    <definedName name="Excel_BuiltIn_Print_Area_1_1_2_5">(#REF!,#REF!)</definedName>
    <definedName name="Excel_BuiltIn_Print_Area_1_1_2_6">(#REF!,#REF!)</definedName>
    <definedName name="Excel_BuiltIn_Print_Area_1_1_2_7">(#REF!,#REF!)</definedName>
    <definedName name="Excel_BuiltIn_Print_Area_1_1_3">"$#REF!.$#REF!$#REF!"</definedName>
    <definedName name="Excel_BuiltIn_Print_Area_1_1_3_1">(#REF!,#REF!)</definedName>
    <definedName name="Excel_BuiltIn_Print_Area_1_1_3_2">(#REF!,#REF!)</definedName>
    <definedName name="Excel_BuiltIn_Print_Area_1_1_3_3">(#REF!,#REF!)</definedName>
    <definedName name="Excel_BuiltIn_Print_Area_1_1_3_4">(#REF!,#REF!)</definedName>
    <definedName name="Excel_BuiltIn_Print_Area_1_1_3_5">(#REF!,#REF!)</definedName>
    <definedName name="Excel_BuiltIn_Print_Area_1_1_3_6">(#REF!,#REF!)</definedName>
    <definedName name="Excel_BuiltIn_Print_Area_1_1_3_7">(#REF!,#REF!)</definedName>
    <definedName name="Excel_BuiltIn_Print_Area_1_1_30">NA()</definedName>
    <definedName name="Excel_BuiltIn_Print_Area_1_1_31">NA()</definedName>
    <definedName name="Excel_BuiltIn_Print_Area_1_1_32">NA()</definedName>
    <definedName name="Excel_BuiltIn_Print_Area_1_1_33">NA()</definedName>
    <definedName name="Excel_BuiltIn_Print_Area_1_1_34">NA()</definedName>
    <definedName name="Excel_BuiltIn_Print_Area_1_1_4">"$#REF!.$#REF!$#REF!"</definedName>
    <definedName name="Excel_BuiltIn_Print_Area_1_1_45">NA()</definedName>
    <definedName name="Excel_BuiltIn_Print_Area_1_1_46">NA()</definedName>
    <definedName name="Excel_BuiltIn_Print_Area_1_1_47">NA()</definedName>
    <definedName name="Excel_BuiltIn_Print_Area_1_1_48">NA()</definedName>
    <definedName name="Excel_BuiltIn_Print_Area_1_1_49">NA()</definedName>
    <definedName name="Excel_BuiltIn_Print_Area_1_1_5">NA()</definedName>
    <definedName name="Excel_BuiltIn_Print_Area_1_1_6">"$#REF!.$#REF!$#REF!"</definedName>
    <definedName name="Excel_BuiltIn_Print_Area_1_11">NA()</definedName>
    <definedName name="Excel_BuiltIn_Print_Area_1_12">NA()</definedName>
    <definedName name="Excel_BuiltIn_Print_Area_1_13">NA()</definedName>
    <definedName name="Excel_BuiltIn_Print_Area_1_14">NA()</definedName>
    <definedName name="Excel_BuiltIn_Print_Area_1_2">#REF!</definedName>
    <definedName name="Excel_BuiltIn_Print_Area_1_30">NA()</definedName>
    <definedName name="Excel_BuiltIn_Print_Area_1_31">NA()</definedName>
    <definedName name="Excel_BuiltIn_Print_Area_1_32">NA()</definedName>
    <definedName name="Excel_BuiltIn_Print_Area_1_33">NA()</definedName>
    <definedName name="Excel_BuiltIn_Print_Area_1_34">NA()</definedName>
    <definedName name="Excel_BuiltIn_Print_Area_1_45">NA()</definedName>
    <definedName name="Excel_BuiltIn_Print_Area_1_46">NA()</definedName>
    <definedName name="Excel_BuiltIn_Print_Area_1_47">NA()</definedName>
    <definedName name="Excel_BuiltIn_Print_Area_1_48">NA()</definedName>
    <definedName name="Excel_BuiltIn_Print_Area_1_49">NA()</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2">#REF!</definedName>
    <definedName name="Excel_BuiltIn_Print_Area_12_1">"$#REF!.$A$1:$F$59"</definedName>
    <definedName name="Excel_BuiltIn_Print_Area_15">#REF!</definedName>
    <definedName name="Excel_BuiltIn_Print_Area_2">#REF!</definedName>
    <definedName name="Excel_BuiltIn_Print_Area_2_1">#REF!</definedName>
    <definedName name="Excel_BuiltIn_Print_Area_2_1_1">"$#REF!.$A$4:$H$158"</definedName>
    <definedName name="Excel_BuiltIn_Print_Area_2_1_1_1">"$#REF!.$A$6:$D$107"</definedName>
    <definedName name="Excel_BuiltIn_Print_Area_2_1_1_1_1">"$#REF!.$A$9:$D$107"</definedName>
    <definedName name="Excel_BuiltIn_Print_Area_2_1_1_1_1_1">"$#REF!.$A$9:$G$688"</definedName>
    <definedName name="Excel_BuiltIn_Print_Area_2_1_1_1_1_1_1">#REF!</definedName>
    <definedName name="Excel_BuiltIn_Print_Area_2_11">NA()</definedName>
    <definedName name="Excel_BuiltIn_Print_Area_2_12">NA()</definedName>
    <definedName name="Excel_BuiltIn_Print_Area_2_13">NA()</definedName>
    <definedName name="Excel_BuiltIn_Print_Area_2_14">NA()</definedName>
    <definedName name="Excel_BuiltIn_Print_Area_2_30">NA()</definedName>
    <definedName name="Excel_BuiltIn_Print_Area_2_31">NA()</definedName>
    <definedName name="Excel_BuiltIn_Print_Area_2_32">NA()</definedName>
    <definedName name="Excel_BuiltIn_Print_Area_2_33">NA()</definedName>
    <definedName name="Excel_BuiltIn_Print_Area_2_34">NA()</definedName>
    <definedName name="Excel_BuiltIn_Print_Area_2_45">NA()</definedName>
    <definedName name="Excel_BuiltIn_Print_Area_2_46">NA()</definedName>
    <definedName name="Excel_BuiltIn_Print_Area_2_47">NA()</definedName>
    <definedName name="Excel_BuiltIn_Print_Area_2_48">NA()</definedName>
    <definedName name="Excel_BuiltIn_Print_Area_2_49">NA()</definedName>
    <definedName name="Excel_BuiltIn_Print_Area_20">#REF!</definedName>
    <definedName name="Excel_BuiltIn_Print_Area_25">#REF!</definedName>
    <definedName name="Excel_BuiltIn_Print_Area_3">#REF!</definedName>
    <definedName name="Excel_BuiltIn_Print_Area_3_1">"$#REF!.$A$9:$F$1039"</definedName>
    <definedName name="Excel_BuiltIn_Print_Area_3_1_1">"$#REF!.$A$109:$D$109"</definedName>
    <definedName name="Excel_BuiltIn_Print_Area_3_1_1_1">"$#REF!.$A$9:$F$729"</definedName>
    <definedName name="Excel_BuiltIn_Print_Area_3_1_1_1_1">"$#REF!.$A$6:$F$1039"</definedName>
    <definedName name="Excel_BuiltIn_Print_Area_3_2">#REF!</definedName>
    <definedName name="Excel_BuiltIn_Print_Area_37">#REF!</definedName>
    <definedName name="Excel_BuiltIn_Print_Area_4">#REF!</definedName>
    <definedName name="Excel_BuiltIn_Print_Area_4_1">#REF!</definedName>
    <definedName name="Excel_BuiltIn_Print_Area_4_1_1">#REF!</definedName>
    <definedName name="Excel_BuiltIn_Print_Area_4_1_1_1">"$#REF!.$A$6:$D$111"</definedName>
    <definedName name="Excel_BuiltIn_Print_Area_4_15">"$#REF!.$#REF!$#REF!"</definedName>
    <definedName name="Excel_BuiltIn_Print_Area_4_3">"$#REF!.$#REF!$#REF!"</definedName>
    <definedName name="Excel_BuiltIn_Print_Area_4_4">"$#REF!.$#REF!$#REF!"</definedName>
    <definedName name="Excel_BuiltIn_Print_Area_4_5">NA()</definedName>
    <definedName name="Excel_BuiltIn_Print_Area_4_6">"$#REF!.$#REF!$#REF!"</definedName>
    <definedName name="Excel_BuiltIn_Print_Area_5">#REF!</definedName>
    <definedName name="Excel_BuiltIn_Print_Area_5_1">#REF!</definedName>
    <definedName name="Excel_BuiltIn_Print_Area_5_1_1">"$#REF!.$A$9:$G$981"</definedName>
    <definedName name="Excel_BuiltIn_Print_Area_5_1_1_1">"$#REF!.$A$6:$G$981"</definedName>
    <definedName name="Excel_BuiltIn_Print_Area_6">#REF!</definedName>
    <definedName name="Excel_BuiltIn_Print_Area_6_1">"$#REF!.$A$4:$H$28"</definedName>
    <definedName name="Excel_BuiltIn_Print_Area_6_1_1">"$#REF!.$A$9:$D$107"</definedName>
    <definedName name="Excel_BuiltIn_Print_Area_6_1_1_1">#REF!</definedName>
    <definedName name="Excel_BuiltIn_Print_Area_6_1_1_10">#REF!</definedName>
    <definedName name="Excel_BuiltIn_Print_Area_6_1_1_11">#REF!</definedName>
    <definedName name="Excel_BuiltIn_Print_Area_6_1_1_12">#REF!</definedName>
    <definedName name="Excel_BuiltIn_Print_Area_6_1_1_13">#REF!</definedName>
    <definedName name="Excel_BuiltIn_Print_Area_6_1_1_2">#REF!</definedName>
    <definedName name="Excel_BuiltIn_Print_Area_6_1_1_3">#REF!</definedName>
    <definedName name="Excel_BuiltIn_Print_Area_6_1_1_4">#REF!</definedName>
    <definedName name="Excel_BuiltIn_Print_Area_6_1_1_5">#REF!</definedName>
    <definedName name="Excel_BuiltIn_Print_Area_6_1_1_6">#REF!</definedName>
    <definedName name="Excel_BuiltIn_Print_Area_6_1_1_7">#REF!</definedName>
    <definedName name="Excel_BuiltIn_Print_Area_6_1_1_8">#REF!</definedName>
    <definedName name="Excel_BuiltIn_Print_Area_6_1_1_9">#REF!</definedName>
    <definedName name="Excel_BuiltIn_Print_Area_6_10">#REF!</definedName>
    <definedName name="Excel_BuiltIn_Print_Area_6_10_1">#REF!</definedName>
    <definedName name="Excel_BuiltIn_Print_Area_6_10_10">#REF!</definedName>
    <definedName name="Excel_BuiltIn_Print_Area_6_10_11">#REF!</definedName>
    <definedName name="Excel_BuiltIn_Print_Area_6_10_12">#REF!</definedName>
    <definedName name="Excel_BuiltIn_Print_Area_6_10_2">#REF!</definedName>
    <definedName name="Excel_BuiltIn_Print_Area_6_10_3">#REF!</definedName>
    <definedName name="Excel_BuiltIn_Print_Area_6_10_4">#REF!</definedName>
    <definedName name="Excel_BuiltIn_Print_Area_6_10_5">#REF!</definedName>
    <definedName name="Excel_BuiltIn_Print_Area_6_10_6">#REF!</definedName>
    <definedName name="Excel_BuiltIn_Print_Area_6_10_7">#REF!</definedName>
    <definedName name="Excel_BuiltIn_Print_Area_6_10_8">#REF!</definedName>
    <definedName name="Excel_BuiltIn_Print_Area_6_10_9">#REF!</definedName>
    <definedName name="Excel_BuiltIn_Print_Area_7">#REF!</definedName>
    <definedName name="Excel_BuiltIn_Print_Area_7_1">"$#REF!.$A$4:$I$147"</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9">#REF!</definedName>
    <definedName name="Excel_BuiltIn_Print_Titles">#REF!,#REF!</definedName>
    <definedName name="Excel_BuiltIn_Print_Titles_1_1">#REF!</definedName>
    <definedName name="Excel_BuiltIn_Print_Titles_1_1_1">#REF!</definedName>
    <definedName name="Excel_BuiltIn_Print_Titles_1_1_1_1">#REF!</definedName>
    <definedName name="Excel_BuiltIn_Print_Titles_11">#REF!</definedName>
    <definedName name="Excel_BuiltIn_Print_Titles_2">#REF!</definedName>
    <definedName name="Excel_BuiltIn_Print_Titles_2_1">"$#REF!.$A$4:$IU$5"</definedName>
    <definedName name="Excel_BuiltIn_Print_Titles_2_1_1">#REF!</definedName>
    <definedName name="Excel_BuiltIn_Print_Titles_2_1_1_1_1">"$#REF!.$#REF!$#REF!:$#REF!$#REF!"</definedName>
    <definedName name="Excel_BuiltIn_Print_Titles_2_1_1_1_1_1">"$#REF!.$#REF!$#REF!:$#REF!$#REF!"</definedName>
    <definedName name="Excel_BuiltIn_Print_Titles_3">#REF!</definedName>
    <definedName name="Excel_BuiltIn_Print_Titles_3_1">#REF!</definedName>
    <definedName name="Excel_BuiltIn_Print_Titles_3_1_1">#REF!</definedName>
    <definedName name="Excel_BuiltIn_Print_Titles_3_1_1_1_1_1">"$#REF!.$#REF!$#REF!:$#REF!$#REF!"</definedName>
    <definedName name="Excel_BuiltIn_Print_Titles_3_1_1_1_1_1_1">"$#REF!.$#REF!$#REF!:$#REF!$#REF!"</definedName>
    <definedName name="Excel_BuiltIn_Print_Titles_4">#REF!</definedName>
    <definedName name="Excel_BuiltIn_Print_Titles_4_1">"$#REF!.$A$5:$IV$7"</definedName>
    <definedName name="Excel_BuiltIn_Print_Titles_4_2">NA()</definedName>
    <definedName name="Excel_BuiltIn_Print_Titles_4_5">NA()</definedName>
    <definedName name="Excel_BuiltIn_Print_Titles_4_6">NA()</definedName>
    <definedName name="Excel_BuiltIn_Print_Titles_5">#REF!</definedName>
    <definedName name="Excel_BuiltIn_Print_Titles_5_1_1">"$#REF!.$C$35:$IJ$36"</definedName>
    <definedName name="Excel_BuiltIn_Print_Titles_6">"$#REF!.$A$4:$IU$4"</definedName>
    <definedName name="Excel_BuiltIn_Print_Titles_7">"$#REF!.$A$4:$IU$4"</definedName>
    <definedName name="Excel_BuiltIn_Recorder">#REF!</definedName>
    <definedName name="Excelnew">#REF!</definedName>
    <definedName name="EXCEWL">#REF!</definedName>
    <definedName name="excf">#REF!</definedName>
    <definedName name="excf_1">NA()</definedName>
    <definedName name="excf_2">NA()</definedName>
    <definedName name="excf_3">NA()</definedName>
    <definedName name="excf_5">NA()</definedName>
    <definedName name="ExciseDuty">#REF!</definedName>
    <definedName name="EXIT">#REF!</definedName>
    <definedName name="EXIT_1">#REF!</definedName>
    <definedName name="EXIT_10">#REF!</definedName>
    <definedName name="EXIT_11">#REF!</definedName>
    <definedName name="EXIT_12">#REF!</definedName>
    <definedName name="EXIT_20">#REF!</definedName>
    <definedName name="EXIT_21">#REF!</definedName>
    <definedName name="EXIT_24">#REF!</definedName>
    <definedName name="EXIT_25">#REF!</definedName>
    <definedName name="EXIT_26">#REF!</definedName>
    <definedName name="EXIT_27">#REF!</definedName>
    <definedName name="EXIT_28">#REF!</definedName>
    <definedName name="EXIT_29">#REF!</definedName>
    <definedName name="EXIT_30">#REF!</definedName>
    <definedName name="EXIT_31">#REF!</definedName>
    <definedName name="EXIT_32">#REF!</definedName>
    <definedName name="EXIT_33">#REF!</definedName>
    <definedName name="EXIT_34">#REF!</definedName>
    <definedName name="EXIT_35">#REF!</definedName>
    <definedName name="EXIT_36">#REF!</definedName>
    <definedName name="EXIT_37">#REF!</definedName>
    <definedName name="EXIT_38">#REF!</definedName>
    <definedName name="EXIT_39">#REF!</definedName>
    <definedName name="EXIT_40">#REF!</definedName>
    <definedName name="EXIT_41">#REF!</definedName>
    <definedName name="EXIT_42">#REF!</definedName>
    <definedName name="EXIT_43">#REF!</definedName>
    <definedName name="EXIT_44">#REF!</definedName>
    <definedName name="EXIT_45">#REF!</definedName>
    <definedName name="EXIT_46">#REF!</definedName>
    <definedName name="EXIT_47">#REF!</definedName>
    <definedName name="EXIT_48">#REF!</definedName>
    <definedName name="EXIT_49">#REF!</definedName>
    <definedName name="EXIT_50">#REF!</definedName>
    <definedName name="EXIT_51">#REF!</definedName>
    <definedName name="EXIT_52">#REF!</definedName>
    <definedName name="EXIT_53">#REF!</definedName>
    <definedName name="EXIT_55">#REF!</definedName>
    <definedName name="EXIT_56">#REF!</definedName>
    <definedName name="EXIT_57">#REF!</definedName>
    <definedName name="EXIT_61">#REF!</definedName>
    <definedName name="EXIT_62">#REF!</definedName>
    <definedName name="EXIT_63">#REF!</definedName>
    <definedName name="EXIT_64">#REF!</definedName>
    <definedName name="EXIT_65">#REF!</definedName>
    <definedName name="EXIT_66">#REF!</definedName>
    <definedName name="EXIT_8">#REF!</definedName>
    <definedName name="EXIT_9">#REF!</definedName>
    <definedName name="EXL">#REF!</definedName>
    <definedName name="exp.joints">#REF!</definedName>
    <definedName name="EXP_COS">#N/A</definedName>
    <definedName name="EXP_SALE">#N/A</definedName>
    <definedName name="Expded">#REF!</definedName>
    <definedName name="Export">#REF!</definedName>
    <definedName name="EXPSALE">#N/A</definedName>
    <definedName name="ext">#REF!</definedName>
    <definedName name="external" hidden="1">{#N/A,#N/A,TRUE,"Front";#N/A,#N/A,TRUE,"Simple Letter";#N/A,#N/A,TRUE,"Inside";#N/A,#N/A,TRUE,"Contents";#N/A,#N/A,TRUE,"Basis";#N/A,#N/A,TRUE,"Inclusions";#N/A,#N/A,TRUE,"Exclusions";#N/A,#N/A,TRUE,"Areas";#N/A,#N/A,TRUE,"Summary";#N/A,#N/A,TRUE,"Detail"}</definedName>
    <definedName name="External_Plastering_in_CM_1_4__12mm_thk">#REF!</definedName>
    <definedName name="Extra_Pay">#REF!</definedName>
    <definedName name="_xlnm.Extract">#REF!</definedName>
    <definedName name="EXW">#REF!</definedName>
    <definedName name="eyrc">#REF!</definedName>
    <definedName name="eyrlp">#REF!</definedName>
    <definedName name="eyrlp_15">"$#REF!.$#REF!$#REF!"</definedName>
    <definedName name="eyrlp_3">"$#REF!.$#REF!$#REF!"</definedName>
    <definedName name="eyrlp_4">"$#REF!.$#REF!$#REF!"</definedName>
    <definedName name="eyrlp_5">NA()</definedName>
    <definedName name="eyrlp_6">"$#REF!.$#REF!$#REF!"</definedName>
    <definedName name="f">#REF!</definedName>
    <definedName name="f.nos">#REF!</definedName>
    <definedName name="f_1">NA()</definedName>
    <definedName name="F_1_1">NA()</definedName>
    <definedName name="F_15">"$#REF!.$#REF!$#REF!"</definedName>
    <definedName name="f_2">NA()</definedName>
    <definedName name="F_2_1">NA()</definedName>
    <definedName name="f_3">NA()</definedName>
    <definedName name="F_3_1">"$#REF!.$#REF!$#REF!"</definedName>
    <definedName name="F_4">"$#REF!.$#REF!$#REF!"</definedName>
    <definedName name="f_5">NA()</definedName>
    <definedName name="F_6">"$#REF!.$#REF!$#REF!"</definedName>
    <definedName name="f2_">#REF!</definedName>
    <definedName name="f534.">#REF!</definedName>
    <definedName name="FAB">#N/A</definedName>
    <definedName name="fac">#REF!</definedName>
    <definedName name="fac_1">NA()</definedName>
    <definedName name="fac_2">NA()</definedName>
    <definedName name="fac_3">NA()</definedName>
    <definedName name="fac_5">NA()</definedName>
    <definedName name="face">#N/A</definedName>
    <definedName name="fadsvcs">#N/A</definedName>
    <definedName name="FAFGAFAGFGG" hidden="1">{#N/A,#N/A,TRUE,"Front";#N/A,#N/A,TRUE,"Simple Letter";#N/A,#N/A,TRUE,"Inside";#N/A,#N/A,TRUE,"Contents";#N/A,#N/A,TRUE,"Basis";#N/A,#N/A,TRUE,"Inclusions";#N/A,#N/A,TRUE,"Exclusions";#N/A,#N/A,TRUE,"Areas";#N/A,#N/A,TRUE,"Summary";#N/A,#N/A,TRUE,"Detail"}</definedName>
    <definedName name="faktor">1</definedName>
    <definedName name="faktor2">1.317</definedName>
    <definedName name="faktor3">1</definedName>
    <definedName name="faktor7">1</definedName>
    <definedName name="fasdf">#REF!</definedName>
    <definedName name="Fax">#REF!</definedName>
    <definedName name="Fb">#REF!</definedName>
    <definedName name="Fb_1">NA()</definedName>
    <definedName name="Fb_2">NA()</definedName>
    <definedName name="Fb_3">NA()</definedName>
    <definedName name="Fb_5">NA()</definedName>
    <definedName name="fbeam">#REF!</definedName>
    <definedName name="FBEAM1">#REF!</definedName>
    <definedName name="fbeam10">#REF!</definedName>
    <definedName name="fbeam101">#REF!</definedName>
    <definedName name="FBEAM12">#REF!</definedName>
    <definedName name="FBEAM13">#REF!</definedName>
    <definedName name="fbeam2">#REF!</definedName>
    <definedName name="FBEAM23">#REF!</definedName>
    <definedName name="fbrick">#REF!</definedName>
    <definedName name="FC" hidden="1">{#N/A,#N/A,FALSE,"gc (2)"}</definedName>
    <definedName name="fcf">#REF!</definedName>
    <definedName name="fchk" hidden="1">{#N/A,#N/A,TRUE,"Front";#N/A,#N/A,TRUE,"Simple Letter";#N/A,#N/A,TRUE,"Inside";#N/A,#N/A,TRUE,"Contents";#N/A,#N/A,TRUE,"Basis";#N/A,#N/A,TRUE,"Inclusions";#N/A,#N/A,TRUE,"Exclusions";#N/A,#N/A,TRUE,"Areas";#N/A,#N/A,TRUE,"Summary";#N/A,#N/A,TRUE,"Detail"}</definedName>
    <definedName name="FCode" hidden="1">#REF!</definedName>
    <definedName name="fcompany">#REF!</definedName>
    <definedName name="Fcu">#REF!</definedName>
    <definedName name="fd" hidden="1">#REF!</definedName>
    <definedName name="FDAFD">#REF!</definedName>
    <definedName name="fdate">#REF!</definedName>
    <definedName name="fdd">#REF!</definedName>
    <definedName name="fdetails">#REF!</definedName>
    <definedName name="fdevise">#REF!</definedName>
    <definedName name="fdfd">#N/A</definedName>
    <definedName name="fdgd"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fd">#REF!</definedName>
    <definedName name="fdghdgfh">#REF!</definedName>
    <definedName name="fdhjfju">#REF!</definedName>
    <definedName name="fdrop">#REF!</definedName>
    <definedName name="fdrop1">#REF!</definedName>
    <definedName name="fdrop10">#REF!</definedName>
    <definedName name="fdrop101">#REF!</definedName>
    <definedName name="fdrop102">#REF!</definedName>
    <definedName name="FDROP11">#REF!</definedName>
    <definedName name="fdrop111">#REF!</definedName>
    <definedName name="fdrop12">#REF!</definedName>
    <definedName name="FDROP121">#REF!</definedName>
    <definedName name="FDROP13">#REF!</definedName>
    <definedName name="FDROP14">#REF!</definedName>
    <definedName name="FDROP15">#REF!</definedName>
    <definedName name="FDROP16">#REF!</definedName>
    <definedName name="FDROP17">#REF!</definedName>
    <definedName name="FDROP2">#REF!</definedName>
    <definedName name="fdrop3">#REF!</definedName>
    <definedName name="fds" hidden="1">#REF!</definedName>
    <definedName name="fdsdf">#REF!</definedName>
    <definedName name="FDSFD" hidden="1">{#N/A,#N/A,TRUE,"Front";#N/A,#N/A,TRUE,"Simple Letter";#N/A,#N/A,TRUE,"Inside";#N/A,#N/A,TRUE,"Contents";#N/A,#N/A,TRUE,"Basis";#N/A,#N/A,TRUE,"Inclusions";#N/A,#N/A,TRUE,"Exclusions";#N/A,#N/A,TRUE,"Areas";#N/A,#N/A,TRUE,"Summary";#N/A,#N/A,TRUE,"Detail"}</definedName>
    <definedName name="fdshdfhedre" hidden="1">#REF!</definedName>
    <definedName name="fe" hidden="1">#REF!</definedName>
    <definedName name="feb_qty_rev_3">#REF!</definedName>
    <definedName name="feb_qty_rev_3_15">"$#REF!.$#REF!$#REF!"</definedName>
    <definedName name="feb_qty_rev_3_3">"$#REF!.$#REF!$#REF!"</definedName>
    <definedName name="feb_qty_rev_3_4">"$#REF!.$#REF!$#REF!"</definedName>
    <definedName name="feb_qty_rev_3_5">NA()</definedName>
    <definedName name="feb_qty_rev_3_6">"$#REF!.$#REF!$#REF!"</definedName>
    <definedName name="feb_rev4_qty">#REF!</definedName>
    <definedName name="feb_rev4_qty_15">"$#REF!.$#REF!$#REF!"</definedName>
    <definedName name="feb_rev4_qty_3">"$#REF!.$#REF!$#REF!"</definedName>
    <definedName name="feb_rev4_qty_4">"$#REF!.$#REF!$#REF!"</definedName>
    <definedName name="feb_rev4_qty_5">NA()</definedName>
    <definedName name="feb_rev4_qty_6">"$#REF!.$#REF!$#REF!"</definedName>
    <definedName name="fedfed">#N/A</definedName>
    <definedName name="fere" hidden="1">{#N/A,#N/A,TRUE,"Front";#N/A,#N/A,TRUE,"Simple Letter";#N/A,#N/A,TRUE,"Inside";#N/A,#N/A,TRUE,"Contents";#N/A,#N/A,TRUE,"Basis";#N/A,#N/A,TRUE,"Inclusions";#N/A,#N/A,TRUE,"Exclusions";#N/A,#N/A,TRUE,"Areas";#N/A,#N/A,TRUE,"Summary";#N/A,#N/A,TRUE,"Detail"}</definedName>
    <definedName name="ff">#REF!</definedName>
    <definedName name="FF_1">#REF!</definedName>
    <definedName name="FF_4">#REF!</definedName>
    <definedName name="fff" hidden="1">{#N/A,#N/A,TRUE,"Front";#N/A,#N/A,TRUE,"Simple Letter";#N/A,#N/A,TRUE,"Inside";#N/A,#N/A,TRUE,"Contents";#N/A,#N/A,TRUE,"Basis";#N/A,#N/A,TRUE,"Inclusions";#N/A,#N/A,TRUE,"Exclusions";#N/A,#N/A,TRUE,"Areas";#N/A,#N/A,TRUE,"Summary";#N/A,#N/A,TRUE,"Detail"}</definedName>
    <definedName name="ffff" hidden="1">{#N/A,#N/A,TRUE,"Krycí list"}</definedName>
    <definedName name="fffff">#REF!</definedName>
    <definedName name="ffffffffffffffffff" hidden="1">{#N/A,#N/A,TRUE,"Krycí list"}</definedName>
    <definedName name="FFGB28">#REF!</definedName>
    <definedName name="FFGB5">#REF!</definedName>
    <definedName name="FFGB55">#REF!</definedName>
    <definedName name="FFGB56">#REF!</definedName>
    <definedName name="FFGB57">#REF!</definedName>
    <definedName name="FFGB58">#REF!</definedName>
    <definedName name="FFinishes">#REF!</definedName>
    <definedName name="ffjfjfjfj" hidden="1">#REF!</definedName>
    <definedName name="FFWW" hidden="1">{#N/A,#N/A,TRUE,"Front";#N/A,#N/A,TRUE,"Simple Letter";#N/A,#N/A,TRUE,"Inside";#N/A,#N/A,TRUE,"Contents";#N/A,#N/A,TRUE,"Basis";#N/A,#N/A,TRUE,"Inclusions";#N/A,#N/A,TRUE,"Exclusions";#N/A,#N/A,TRUE,"Areas";#N/A,#N/A,TRUE,"Summary";#N/A,#N/A,TRUE,"Detail"}</definedName>
    <definedName name="fg" hidden="1">{#N/A,#N/A,TRUE,"Front";#N/A,#N/A,TRUE,"Simple Letter";#N/A,#N/A,TRUE,"Inside";#N/A,#N/A,TRUE,"Contents";#N/A,#N/A,TRUE,"Basis";#N/A,#N/A,TRUE,"Inclusions";#N/A,#N/A,TRUE,"Exclusions";#N/A,#N/A,TRUE,"Areas";#N/A,#N/A,TRUE,"Summary";#N/A,#N/A,TRUE,"Detail"}</definedName>
    <definedName name="FGAGFGFGF" hidden="1">{#N/A,#N/A,TRUE,"Front";#N/A,#N/A,TRUE,"Simple Letter";#N/A,#N/A,TRUE,"Inside";#N/A,#N/A,TRUE,"Contents";#N/A,#N/A,TRUE,"Basis";#N/A,#N/A,TRUE,"Inclusions";#N/A,#N/A,TRUE,"Exclusions";#N/A,#N/A,TRUE,"Areas";#N/A,#N/A,TRUE,"Summary";#N/A,#N/A,TRUE,"Detail"}</definedName>
    <definedName name="FGDFH" hidden="1">{#N/A,#N/A,TRUE,"Krycí list"}</definedName>
    <definedName name="FGDSF" hidden="1">{#N/A,#N/A,TRUE,"Krycí list"}</definedName>
    <definedName name="fgececf">#REF!</definedName>
    <definedName name="fgf">#REF!</definedName>
    <definedName name="fgf_1">NA()</definedName>
    <definedName name="fgf_2">NA()</definedName>
    <definedName name="fgf_3">NA()</definedName>
    <definedName name="fgf_5">NA()</definedName>
    <definedName name="fgfdg" hidden="1">#REF!</definedName>
    <definedName name="fgfgbbggnfngfngf" hidden="1">{#N/A,#N/A,TRUE,"Front";#N/A,#N/A,TRUE,"Simple Letter";#N/A,#N/A,TRUE,"Inside";#N/A,#N/A,TRUE,"Contents";#N/A,#N/A,TRUE,"Basis";#N/A,#N/A,TRUE,"Inclusions";#N/A,#N/A,TRUE,"Exclusions";#N/A,#N/A,TRUE,"Areas";#N/A,#N/A,TRUE,"Summary";#N/A,#N/A,TRUE,"Detail"}</definedName>
    <definedName name="fgfgfgf">#N/A</definedName>
    <definedName name="FGFGFGFSDSSDGDS" hidden="1">{#N/A,#N/A,TRUE,"Front";#N/A,#N/A,TRUE,"Simple Letter";#N/A,#N/A,TRUE,"Inside";#N/A,#N/A,TRUE,"Contents";#N/A,#N/A,TRUE,"Basis";#N/A,#N/A,TRUE,"Inclusions";#N/A,#N/A,TRUE,"Exclusions";#N/A,#N/A,TRUE,"Areas";#N/A,#N/A,TRUE,"Summary";#N/A,#N/A,TRUE,"Detail"}</definedName>
    <definedName name="fgg">#N/A</definedName>
    <definedName name="fgh" hidden="1">#REF!</definedName>
    <definedName name="FGHGFH">#REF!</definedName>
    <definedName name="fghnjn" hidden="1">{#N/A,#N/A,TRUE,"Front";#N/A,#N/A,TRUE,"Simple Letter";#N/A,#N/A,TRUE,"Inside";#N/A,#N/A,TRUE,"Contents";#N/A,#N/A,TRUE,"Basis";#N/A,#N/A,TRUE,"Inclusions";#N/A,#N/A,TRUE,"Exclusions";#N/A,#N/A,TRUE,"Areas";#N/A,#N/A,TRUE,"Summary";#N/A,#N/A,TRUE,"Detail"}</definedName>
    <definedName name="fgsadgsgfd">#REF!</definedName>
    <definedName name="FGSOUTMP">#N/A</definedName>
    <definedName name="FGSOUTPP">#N/A</definedName>
    <definedName name="fgty">#REF!</definedName>
    <definedName name="fgvhgnjmj" hidden="1">{#N/A,#N/A,TRUE,"Front";#N/A,#N/A,TRUE,"Simple Letter";#N/A,#N/A,TRUE,"Inside";#N/A,#N/A,TRUE,"Contents";#N/A,#N/A,TRUE,"Basis";#N/A,#N/A,TRUE,"Inclusions";#N/A,#N/A,TRUE,"Exclusions";#N/A,#N/A,TRUE,"Areas";#N/A,#N/A,TRUE,"Summary";#N/A,#N/A,TRUE,"Detail"}</definedName>
    <definedName name="fgvsdhfj">#REF!</definedName>
    <definedName name="fgyhuj">#N/A</definedName>
    <definedName name="Fh">#REF!</definedName>
    <definedName name="Fh_1">NA()</definedName>
    <definedName name="Fh_2">NA()</definedName>
    <definedName name="Fh_3">NA()</definedName>
    <definedName name="Fh_5">NA()</definedName>
    <definedName name="fhdsgbh">#REF!</definedName>
    <definedName name="FHFGHFF">#REF!</definedName>
    <definedName name="FHFGHGFH">#REF!</definedName>
    <definedName name="FHFR" hidden="1">{#N/A,#N/A,TRUE,"Front";#N/A,#N/A,TRUE,"Simple Letter";#N/A,#N/A,TRUE,"Inside";#N/A,#N/A,TRUE,"Contents";#N/A,#N/A,TRUE,"Basis";#N/A,#N/A,TRUE,"Inclusions";#N/A,#N/A,TRUE,"Exclusions";#N/A,#N/A,TRUE,"Areas";#N/A,#N/A,TRUE,"Summary";#N/A,#N/A,TRUE,"Detail"}</definedName>
    <definedName name="fhg" hidden="1">{#N/A,#N/A,TRUE,"Front";#N/A,#N/A,TRUE,"Simple Letter";#N/A,#N/A,TRUE,"Inside";#N/A,#N/A,TRUE,"Contents";#N/A,#N/A,TRUE,"Basis";#N/A,#N/A,TRUE,"Inclusions";#N/A,#N/A,TRUE,"Exclusions";#N/A,#N/A,TRUE,"Areas";#N/A,#N/A,TRUE,"Summary";#N/A,#N/A,TRUE,"Detail"}</definedName>
    <definedName name="FHGFHFF">#REF!</definedName>
    <definedName name="fhgh" hidden="1">{#N/A,#N/A,TRUE,"Front";#N/A,#N/A,TRUE,"Simple Letter";#N/A,#N/A,TRUE,"Inside";#N/A,#N/A,TRUE,"Contents";#N/A,#N/A,TRUE,"Basis";#N/A,#N/A,TRUE,"Inclusions";#N/A,#N/A,TRUE,"Exclusions";#N/A,#N/A,TRUE,"Areas";#N/A,#N/A,TRUE,"Summary";#N/A,#N/A,TRUE,"Detail"}</definedName>
    <definedName name="fhgjghj"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fhhhh" hidden="1">{#N/A,#N/A,FALSE,"str_title";#N/A,#N/A,FALSE,"SUM";#N/A,#N/A,FALSE,"Scope";#N/A,#N/A,FALSE,"PIE-Jn";#N/A,#N/A,FALSE,"PIE-Jn_Hz";#N/A,#N/A,FALSE,"Liq_Plan";#N/A,#N/A,FALSE,"S_Curve";#N/A,#N/A,FALSE,"Liq_Prof";#N/A,#N/A,FALSE,"Man_Pwr";#N/A,#N/A,FALSE,"Man_Prof"}</definedName>
    <definedName name="FHJFHGFH">#REF!</definedName>
    <definedName name="FHNFHFHF">#REF!</definedName>
    <definedName name="fhryu">#REF!</definedName>
    <definedName name="Fhwl">#REF!</definedName>
    <definedName name="Fhwl_1">NA()</definedName>
    <definedName name="Fhwl_2">NA()</definedName>
    <definedName name="Fhwl_3">NA()</definedName>
    <definedName name="Fhwl_5">NA()</definedName>
    <definedName name="fid">#REF!</definedName>
    <definedName name="fifb">#REF!</definedName>
    <definedName name="FIFTH">#REF!</definedName>
    <definedName name="fil" hidden="1">#REF!</definedName>
    <definedName name="file" hidden="1">#REF!</definedName>
    <definedName name="File.Type" hidden="1">#REF!</definedName>
    <definedName name="fill" hidden="1">#REF!</definedName>
    <definedName name="fill." hidden="1">#REF!</definedName>
    <definedName name="filtermaterial">#REF!</definedName>
    <definedName name="fin">#REF!</definedName>
    <definedName name="Final" hidden="1">#REF!</definedName>
    <definedName name="FINAL_5">"'file:///g:/ra%20bill%20corrected%20at%20home/ra%20bill%20%252525252525252525252525252525252525252525252525252525252525252525252525252525252525252525252523%2010%20corrected%20(%20r%20p%20)/ibis%20hotel%20project-ra%20bills/ibis-ra-08(blk%20submit).xls'#$'"</definedName>
    <definedName name="FINAL_6">"'file:///g:/ra%20bill%20corrected%20at%20home/ra%20bill%20%252525252525252525252525252525252525252525252525252525252525252525252525252525252525252525252523%2010%20corrected%20(%20r%20p%20)/ibis%20hotel%20project-ra%20bills/ibis-ra-08(blk%20submit).xls'#$'"</definedName>
    <definedName name="final_report">#REF!</definedName>
    <definedName name="final_report1">#REF!</definedName>
    <definedName name="finalre">#REF!</definedName>
    <definedName name="finesand">#REF!</definedName>
    <definedName name="FINISH">#N/A</definedName>
    <definedName name="FINISHES">#REF!</definedName>
    <definedName name="finishesArea">#REF!</definedName>
    <definedName name="finishesPerimeter">#REF!</definedName>
    <definedName name="FINISHING">"$#REF!.#REF!$#REF!"</definedName>
    <definedName name="FINISHING_11">"'file:///c:/documents%20and%20settings/uma.r.anprakashpmc/desktop/bills/docume~1/admini~1/locals~1/temp/rar$di01.859/ra_bill___13_corrected_20100213%20at%20home.xls'#$''.di$28785"</definedName>
    <definedName name="FINISHING_5">"'file:///g:/ra%20bill%20corrected%20at%20home/ra%20bill%20%252525252525252525252525252525252525252525252525252525252525252525252525252525252525252525252523%2010%20corrected%20(%20r%20p%20)/ibis%20hotel%20project-ra%20bills/ibis-ra-08(blk%20submit).xls'#$'"</definedName>
    <definedName name="FINISHING_6">"'file:///g:/ra%20bill%20corrected%20at%20home/ra%20bill%20%252525252525252525252525252525252525252525252525252525252525252525252525252525252525252525252523%2010%20corrected%20(%20r%20p%20)/ibis%20hotel%20project-ra%20bills/ibis-ra-08(blk%20submit).xls'#$'"</definedName>
    <definedName name="FINISHING_8">"$#REF!.#REF!$#REF!"</definedName>
    <definedName name="FIRE">#REF!</definedName>
    <definedName name="first">#REF!</definedName>
    <definedName name="FIRST_ROW">#N/A</definedName>
    <definedName name="firstValve">#REF!</definedName>
    <definedName name="FiscalIDNum">#REF!</definedName>
    <definedName name="FiscalIDNum_6">#REF!</definedName>
    <definedName name="FIT">#REF!</definedName>
    <definedName name="FIT___0">#REF!</definedName>
    <definedName name="FIT___0_1">NA()</definedName>
    <definedName name="FIT___0_2">NA()</definedName>
    <definedName name="FIT___0_3">NA()</definedName>
    <definedName name="FIT___0_5">NA()</definedName>
    <definedName name="FIT___13">#REF!</definedName>
    <definedName name="FIT___13_1">NA()</definedName>
    <definedName name="FIT___13_2">NA()</definedName>
    <definedName name="FIT___13_3">NA()</definedName>
    <definedName name="FIT___13_5">NA()</definedName>
    <definedName name="FIT_1">NA()</definedName>
    <definedName name="FIT_2">NA()</definedName>
    <definedName name="FIT_3">NA()</definedName>
    <definedName name="FIT_5">NA()</definedName>
    <definedName name="fiw">#REF!</definedName>
    <definedName name="fixed">#REF!</definedName>
    <definedName name="fixed_asset">#REF!</definedName>
    <definedName name="Fixed_Lens">#REF!</definedName>
    <definedName name="fj_100">#REF!</definedName>
    <definedName name="fj_150">#REF!</definedName>
    <definedName name="fj_200">#REF!</definedName>
    <definedName name="fj_25">#REF!</definedName>
    <definedName name="fj_250">#REF!</definedName>
    <definedName name="fj_300">#REF!</definedName>
    <definedName name="fj_32">#REF!</definedName>
    <definedName name="fj_40">#REF!</definedName>
    <definedName name="fj_400">#REF!</definedName>
    <definedName name="fj_50">#REF!</definedName>
    <definedName name="fj_500">#REF!</definedName>
    <definedName name="fj_65">#REF!</definedName>
    <definedName name="fj_80">#REF!</definedName>
    <definedName name="fjkj">#N/A</definedName>
    <definedName name="fl">#REF!</definedName>
    <definedName name="Fl_1">NA()</definedName>
    <definedName name="Fl_2">NA()</definedName>
    <definedName name="Fl_3">NA()</definedName>
    <definedName name="Fl_5">NA()</definedName>
    <definedName name="flag1">#REF!</definedName>
    <definedName name="flatstone">#REF!</definedName>
    <definedName name="fld">#REF!</definedName>
    <definedName name="flg">#REF!</definedName>
    <definedName name="Floor">#REF!</definedName>
    <definedName name="Floor_1">NA()</definedName>
    <definedName name="Floor_2">NA()</definedName>
    <definedName name="Floor_3">NA()</definedName>
    <definedName name="Floor_5">NA()</definedName>
    <definedName name="Floor_Fin">#REF!</definedName>
    <definedName name="flooring" hidden="1">{#N/A,#N/A,TRUE,"Flooring "}</definedName>
    <definedName name="FLOORING_11">"'file:///c:/documents%20and%20settings/uma.r.anprakashpmc/desktop/bills/docume~1/admini~1/locals~1/temp/rar$di01.859/ra_bill___13_corrected_20100213%20at%20home.xls'#$''.$ab$6940"</definedName>
    <definedName name="FLOORING_5">"'file:///g:/ra%20bill%20corrected%20at%20home/ra%20bill%20%252525252525252525252525252525252525252525252525252525252525252525252525252525252525252525252523%2010%20corrected%20(%20r%20p%20)/ibis%20hotel%20project-ra%20bills/ibis-ra-08(blk%20submit).xls'#$'"</definedName>
    <definedName name="FLOORING_6">"'file:///g:/ra%20bill%20corrected%20at%20home/ra%20bill%20%252525252525252525252525252525252525252525252525252525252525252525252525252525252525252525252523%2010%20corrected%20(%20r%20p%20)/ibis%20hotel%20project-ra%20bills/ibis-ra-08(blk%20submit).xls'#$'"</definedName>
    <definedName name="FLOORING_8">"$#REF!.$#REF!$#REF!"</definedName>
    <definedName name="Floorsqty">#REF!</definedName>
    <definedName name="Flush_door___Country_wood_frame_and_38mm_thk_shutter">#REF!</definedName>
    <definedName name="fm">#REF!</definedName>
    <definedName name="Fmin" localSheetId="1" hidden="1">#REF!</definedName>
    <definedName name="Fmin" hidden="1">#REF!</definedName>
    <definedName name="fn">#REF!</definedName>
    <definedName name="fo">#REF!</definedName>
    <definedName name="fo_1">NA()</definedName>
    <definedName name="fo_2">NA()</definedName>
    <definedName name="fo_3">NA()</definedName>
    <definedName name="fo_5">NA()</definedName>
    <definedName name="Footings">#REF!</definedName>
    <definedName name="Footings_1">NA()</definedName>
    <definedName name="Footings_2">NA()</definedName>
    <definedName name="Footings_3">NA()</definedName>
    <definedName name="Footings_5">NA()</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#REF!</definedName>
    <definedName name="FormTitle">#REF!</definedName>
    <definedName name="FormTitle_6">#REF!</definedName>
    <definedName name="Formula1">#REF!</definedName>
    <definedName name="Formula1_1">NA()</definedName>
    <definedName name="Formula1_2">NA()</definedName>
    <definedName name="Formula1_3">NA()</definedName>
    <definedName name="Formula1_5">NA()</definedName>
    <definedName name="Formula2">#REF!</definedName>
    <definedName name="Formula2_1">NA()</definedName>
    <definedName name="Formula2_2">NA()</definedName>
    <definedName name="Formula2_3">NA()</definedName>
    <definedName name="Formula2_5">NA()</definedName>
    <definedName name="FORMWORK_AREA_CALCULATION_ODC_II">#REF!</definedName>
    <definedName name="formworkl" hidden="1">{#N/A,#N/A,TRUE,"Front";#N/A,#N/A,TRUE,"Simple Letter";#N/A,#N/A,TRUE,"Inside";#N/A,#N/A,TRUE,"Contents";#N/A,#N/A,TRUE,"Basis";#N/A,#N/A,TRUE,"Inclusions";#N/A,#N/A,TRUE,"Exclusions";#N/A,#N/A,TRUE,"Areas";#N/A,#N/A,TRUE,"Summary";#N/A,#N/A,TRUE,"Detail"}</definedName>
    <definedName name="Foundation">#REF!</definedName>
    <definedName name="FOXC" hidden="1">{#N/A,#N/A,TRUE,"Front";#N/A,#N/A,TRUE,"Simple Letter";#N/A,#N/A,TRUE,"Inside";#N/A,#N/A,TRUE,"Contents";#N/A,#N/A,TRUE,"Basis";#N/A,#N/A,TRUE,"Inclusions";#N/A,#N/A,TRUE,"Exclusions";#N/A,#N/A,TRUE,"Areas";#N/A,#N/A,TRUE,"Summary";#N/A,#N/A,TRUE,"Detail"}</definedName>
    <definedName name="Fp">#REF!</definedName>
    <definedName name="Fp_1">NA()</definedName>
    <definedName name="fp_1_1">NA()</definedName>
    <definedName name="fp_15">"$#REF!.$#REF!$#REF!"</definedName>
    <definedName name="Fp_2">NA()</definedName>
    <definedName name="fp_2_1">NA()</definedName>
    <definedName name="Fp_3">NA()</definedName>
    <definedName name="fp_3_1">"$#REF!.$#REF!$#REF!"</definedName>
    <definedName name="fp_4">"$#REF!.$#REF!$#REF!"</definedName>
    <definedName name="Fp_5">NA()</definedName>
    <definedName name="fp_6">"$#REF!.$#REF!$#REF!"</definedName>
    <definedName name="FQAQ">#REF!</definedName>
    <definedName name="fr">#REF!</definedName>
    <definedName name="FRA">#REF!</definedName>
    <definedName name="fRANCIS">#REF!</definedName>
    <definedName name="Francis.">#REF!</definedName>
    <definedName name="fRANCU">#REF!</definedName>
    <definedName name="freee" hidden="1">{#N/A,#N/A,TRUE,"Krycí list"}</definedName>
    <definedName name="frgrr" hidden="1">{#N/A,#N/A,TRUE,"Front";#N/A,#N/A,TRUE,"Simple Letter";#N/A,#N/A,TRUE,"Inside";#N/A,#N/A,TRUE,"Contents";#N/A,#N/A,TRUE,"Basis";#N/A,#N/A,TRUE,"Inclusions";#N/A,#N/A,TRUE,"Exclusions";#N/A,#N/A,TRUE,"Areas";#N/A,#N/A,TRUE,"Summary";#N/A,#N/A,TRUE,"Detail"}</definedName>
    <definedName name="frncis">#REF!</definedName>
    <definedName name="frncis_10">"'file:///media/MIT%20HOSTEL/Report%20for%20june10/RA%20BILL%2003%20As%2001/RA%20BILL%20NO%2004/RA%20BILL%2003%20As%2001/RA%20BILL%20NO%201%20Certified/DOCUME~1/gshankar/LOCALS~1/Temp/Rar$DI95.726/Food%20Court/Rate,Variation%20&amp;%20stocks/Rough-31.12.05.xls"</definedName>
    <definedName name="frncis_11">"'file:///C:/DOCUME~1/gshankar/LOCALS~1/Temp/Rar$DI95.726/Food%20Court/Rate,Variation%20&amp;%20stocks/Rough-31.12.05.xls'#$''.$A$20:$AMJ$20"</definedName>
    <definedName name="frncis_12">"'file:///media/MIT%20HOSTEL/Report%20for%20june10/RA%20BILL%2003%20As%2001/RA%20BILL%20NO%2004/DOCUME~1/gshankar/LOCALS~1/Temp/Rar$DI95.726/Food%20Court/Rate,Variation%20&amp;%20stocks/Rough-31.12.05.xls'#$''.$A$20:$AMJ$20"</definedName>
    <definedName name="frncis_2">"'file:///media/MIT%20HOSTEL/Report%20for%20june10/RA%20BILL%2003%20As%2001/RA%20BILL%20NO%2004/RA%20BILL%2003%20As%2001/RA%20BILL%20NO%201%20Certified/DOCUME~1/gshankar/LOCALS~1/Temp/Rar$DI95.726/Food%20Court/Rate,Variation%20&amp;%20stocks/Rough-31.12.05.xls"</definedName>
    <definedName name="frncis_3">"'file:///C:/DOCUME~1/gshankar/LOCALS~1/Temp/Rar$DI95.726/Food%20Court/Rate,Variation%20&amp;%20stocks/Rough-31.12.05.xls'#$''.$A$20:$AMJ$20"</definedName>
    <definedName name="frncis_4">"'file:///media/MIT%20HOSTEL/Report%20for%20june10/RA%20BILL%2003%20As%2001/RA%20BILL%20NO%2004/DOCUME~1/gshankar/LOCALS~1/Temp/Rar$DI95.726/Food%20Court/Rate,Variation%20&amp;%20stocks/Rough-31.12.05.xls'#$''.$A$20:$AMJ$20"</definedName>
    <definedName name="frncis_8">"'file:///C:/DOCUME~1/gshankar/LOCALS~1/Temp/Rar$DI95.726/Food%20Court/Rate,Variation%20&amp;%20stocks/Rough-31.12.05.xls'#$''.$A$20:$AMJ$20"</definedName>
    <definedName name="FRNN">#REF!</definedName>
    <definedName name="from" hidden="1">{"'Typical Costs Estimates'!$C$158:$H$161"}</definedName>
    <definedName name="frt">#REF!</definedName>
    <definedName name="frucis">#REF!</definedName>
    <definedName name="FS" hidden="1">{#N/A,#N/A,TRUE,"Front";#N/A,#N/A,TRUE,"Simple Letter";#N/A,#N/A,TRUE,"Inside";#N/A,#N/A,TRUE,"Contents";#N/A,#N/A,TRUE,"Basis";#N/A,#N/A,TRUE,"Inclusions";#N/A,#N/A,TRUE,"Exclusions";#N/A,#N/A,TRUE,"Areas";#N/A,#N/A,TRUE,"Summary";#N/A,#N/A,TRUE,"Detail"}</definedName>
    <definedName name="Fs_1">NA()</definedName>
    <definedName name="Fs_2">NA()</definedName>
    <definedName name="Fs_3">NA()</definedName>
    <definedName name="Fs_5">NA()</definedName>
    <definedName name="fsa" hidden="1">{#N/A,#N/A,TRUE,"Front";#N/A,#N/A,TRUE,"Simple Letter";#N/A,#N/A,TRUE,"Inside";#N/A,#N/A,TRUE,"Contents";#N/A,#N/A,TRUE,"Basis";#N/A,#N/A,TRUE,"Inclusions";#N/A,#N/A,TRUE,"Exclusions";#N/A,#N/A,TRUE,"Areas";#N/A,#N/A,TRUE,"Summary";#N/A,#N/A,TRUE,"Detail"}</definedName>
    <definedName name="FSAAAG" hidden="1">{#N/A,#N/A,TRUE,"Front";#N/A,#N/A,TRUE,"Simple Letter";#N/A,#N/A,TRUE,"Inside";#N/A,#N/A,TRUE,"Contents";#N/A,#N/A,TRUE,"Basis";#N/A,#N/A,TRUE,"Inclusions";#N/A,#N/A,TRUE,"Exclusions";#N/A,#N/A,TRUE,"Areas";#N/A,#N/A,TRUE,"Summary";#N/A,#N/A,TRUE,"Detail"}</definedName>
    <definedName name="fsdag" hidden="1">#REF!</definedName>
    <definedName name="fsdd" hidden="1">#REF!</definedName>
    <definedName name="fsds">#REF!</definedName>
    <definedName name="fsdsdf">#REF!</definedName>
    <definedName name="fsfs" hidden="1">#REF!</definedName>
    <definedName name="fsg">#REF!</definedName>
    <definedName name="fsg_1">NA()</definedName>
    <definedName name="fsg_2">NA()</definedName>
    <definedName name="fsg_3">NA()</definedName>
    <definedName name="fsg_5">NA()</definedName>
    <definedName name="fsgd">#N/A</definedName>
    <definedName name="fslab">#REF!</definedName>
    <definedName name="FSLAB1">#REF!</definedName>
    <definedName name="fslab10">#REF!</definedName>
    <definedName name="fslab11">#REF!</definedName>
    <definedName name="FSLAB12">#REF!</definedName>
    <definedName name="FSLAB13">#REF!</definedName>
    <definedName name="fslab2">#REF!</definedName>
    <definedName name="FSLAB23">#REF!</definedName>
    <definedName name="FSRVRFR">#REF!</definedName>
    <definedName name="fssd">#N/A</definedName>
    <definedName name="FSSDD">#REF!</definedName>
    <definedName name="FT">#REF!</definedName>
    <definedName name="ftfh">#REF!</definedName>
    <definedName name="full" hidden="1">{#N/A,#N/A,TRUE,"Front";#N/A,#N/A,TRUE,"Simple Letter";#N/A,#N/A,TRUE,"Inside";#N/A,#N/A,TRUE,"Contents";#N/A,#N/A,TRUE,"Basis";#N/A,#N/A,TRUE,"Inclusions";#N/A,#N/A,TRUE,"Exclusions";#N/A,#N/A,TRUE,"Areas";#N/A,#N/A,TRUE,"Summary";#N/A,#N/A,TRUE,"Detail"}</definedName>
    <definedName name="Full_Print">#REF!</definedName>
    <definedName name="furn">#REF!</definedName>
    <definedName name="furniture">#REF!</definedName>
    <definedName name="Fv">#REF!</definedName>
    <definedName name="Fv_1">NA()</definedName>
    <definedName name="Fv_2">NA()</definedName>
    <definedName name="Fv_3">NA()</definedName>
    <definedName name="Fv_5">NA()</definedName>
    <definedName name="fvg">#N/A</definedName>
    <definedName name="fw">#REF!</definedName>
    <definedName name="fwl">#REF!</definedName>
    <definedName name="fwld">#REF!</definedName>
    <definedName name="fww">#REF!</definedName>
    <definedName name="FX_US_INR">#REF!</definedName>
    <definedName name="g">#REF!</definedName>
    <definedName name="g_1">NA()</definedName>
    <definedName name="g_10">#REF!</definedName>
    <definedName name="g_11">#REF!</definedName>
    <definedName name="g_12">#REF!</definedName>
    <definedName name="g_2">NA()</definedName>
    <definedName name="g_20">#REF!</definedName>
    <definedName name="g_21">#REF!</definedName>
    <definedName name="g_24">#REF!</definedName>
    <definedName name="g_25">#REF!</definedName>
    <definedName name="g_26">#REF!</definedName>
    <definedName name="g_27">#REF!</definedName>
    <definedName name="g_28">#REF!</definedName>
    <definedName name="g_29">#REF!</definedName>
    <definedName name="g_3">NA()</definedName>
    <definedName name="g_30">#REF!</definedName>
    <definedName name="g_31">#REF!</definedName>
    <definedName name="g_32">#REF!</definedName>
    <definedName name="g_33">#REF!</definedName>
    <definedName name="g_34">#REF!</definedName>
    <definedName name="g_35">#REF!</definedName>
    <definedName name="g_36">#REF!</definedName>
    <definedName name="g_37">#REF!</definedName>
    <definedName name="g_38">#REF!</definedName>
    <definedName name="g_39">#REF!</definedName>
    <definedName name="g_40">#REF!</definedName>
    <definedName name="g_41">#REF!</definedName>
    <definedName name="g_42">#REF!</definedName>
    <definedName name="g_43">#REF!</definedName>
    <definedName name="g_44">#REF!</definedName>
    <definedName name="g_45">#REF!</definedName>
    <definedName name="g_46">#REF!</definedName>
    <definedName name="g_47">#REF!</definedName>
    <definedName name="g_48">#REF!</definedName>
    <definedName name="g_49">#REF!</definedName>
    <definedName name="g_5">NA()</definedName>
    <definedName name="g_50">#REF!</definedName>
    <definedName name="g_51">#REF!</definedName>
    <definedName name="g_52">#REF!</definedName>
    <definedName name="g_53">#REF!</definedName>
    <definedName name="g_55">#REF!</definedName>
    <definedName name="g_56">#REF!</definedName>
    <definedName name="g_57">#REF!</definedName>
    <definedName name="g_61">#REF!</definedName>
    <definedName name="g_62">#REF!</definedName>
    <definedName name="g_63">#REF!</definedName>
    <definedName name="g_64">#REF!</definedName>
    <definedName name="g_65">#REF!</definedName>
    <definedName name="g_66">#REF!</definedName>
    <definedName name="g_8">#REF!</definedName>
    <definedName name="g_9">#REF!</definedName>
    <definedName name="G12782663">#N/A</definedName>
    <definedName name="G31j1620">#REF!</definedName>
    <definedName name="GAGSDFGSFGASDF" hidden="1">{#N/A,#N/A,TRUE,"Front";#N/A,#N/A,TRUE,"Simple Letter";#N/A,#N/A,TRUE,"Inside";#N/A,#N/A,TRUE,"Contents";#N/A,#N/A,TRUE,"Basis";#N/A,#N/A,TRUE,"Inclusions";#N/A,#N/A,TRUE,"Exclusions";#N/A,#N/A,TRUE,"Areas";#N/A,#N/A,TRUE,"Summary";#N/A,#N/A,TRUE,"Detail"}</definedName>
    <definedName name="gajsdfuasfk">#REF!</definedName>
    <definedName name="gama">#REF!</definedName>
    <definedName name="gama_1">NA()</definedName>
    <definedName name="gama_2">NA()</definedName>
    <definedName name="gama_3">NA()</definedName>
    <definedName name="gama_5">NA()</definedName>
    <definedName name="gamah">#REF!</definedName>
    <definedName name="gamah_1">NA()</definedName>
    <definedName name="gamah_2">NA()</definedName>
    <definedName name="gamah_3">NA()</definedName>
    <definedName name="gamah_5">NA()</definedName>
    <definedName name="gas">#REF!</definedName>
    <definedName name="gate">#REF!</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cl">#REF!</definedName>
    <definedName name="GDF" hidden="1">{#N/A,#N/A,TRUE,"Front";#N/A,#N/A,TRUE,"Simple Letter";#N/A,#N/A,TRUE,"Inside";#N/A,#N/A,TRUE,"Contents";#N/A,#N/A,TRUE,"Basis";#N/A,#N/A,TRUE,"Inclusions";#N/A,#N/A,TRUE,"Exclusions";#N/A,#N/A,TRUE,"Areas";#N/A,#N/A,TRUE,"Summary";#N/A,#N/A,TRUE,"Detail"}</definedName>
    <definedName name="GDFGDS" hidden="1">{#N/A,#N/A,TRUE,"Front";#N/A,#N/A,TRUE,"Simple Letter";#N/A,#N/A,TRUE,"Inside";#N/A,#N/A,TRUE,"Contents";#N/A,#N/A,TRUE,"Basis";#N/A,#N/A,TRUE,"Inclusions";#N/A,#N/A,TRUE,"Exclusions";#N/A,#N/A,TRUE,"Areas";#N/A,#N/A,TRUE,"Summary";#N/A,#N/A,TRUE,"Detail"}</definedName>
    <definedName name="GDHDSSSS" hidden="1">{#N/A,#N/A,TRUE,"Front";#N/A,#N/A,TRUE,"Simple Letter";#N/A,#N/A,TRUE,"Inside";#N/A,#N/A,TRUE,"Contents";#N/A,#N/A,TRUE,"Basis";#N/A,#N/A,TRUE,"Inclusions";#N/A,#N/A,TRUE,"Exclusions";#N/A,#N/A,TRUE,"Areas";#N/A,#N/A,TRUE,"Summary";#N/A,#N/A,TRUE,"Detail"}</definedName>
    <definedName name="gen">1</definedName>
    <definedName name="general">#REF!</definedName>
    <definedName name="ger">#REF!</definedName>
    <definedName name="Geschäftsbereich">#REF!</definedName>
    <definedName name="gf" hidden="1">{#N/A,#N/A,TRUE,"Front";#N/A,#N/A,TRUE,"Simple Letter";#N/A,#N/A,TRUE,"Inside";#N/A,#N/A,TRUE,"Contents";#N/A,#N/A,TRUE,"Basis";#N/A,#N/A,TRUE,"Inclusions";#N/A,#N/A,TRUE,"Exclusions";#N/A,#N/A,TRUE,"Areas";#N/A,#N/A,TRUE,"Summary";#N/A,#N/A,TRUE,"Detail"}</definedName>
    <definedName name="GFAArea">#REF!</definedName>
    <definedName name="GFAPerimeter">#REF!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g">#REF!</definedName>
    <definedName name="gfgfgf" hidden="1">#REF!</definedName>
    <definedName name="GFHFH" hidden="1">{#N/A,#N/A,TRUE,"Front";#N/A,#N/A,TRUE,"Simple Letter";#N/A,#N/A,TRUE,"Inside";#N/A,#N/A,TRUE,"Contents";#N/A,#N/A,TRUE,"Basis";#N/A,#N/A,TRUE,"Inclusions";#N/A,#N/A,TRUE,"Exclusions";#N/A,#N/A,TRUE,"Areas";#N/A,#N/A,TRUE,"Summary";#N/A,#N/A,TRUE,"Detail"}</definedName>
    <definedName name="GFHGFGDH" hidden="1">{#N/A,#N/A,TRUE,"Front";#N/A,#N/A,TRUE,"Simple Letter";#N/A,#N/A,TRUE,"Inside";#N/A,#N/A,TRUE,"Contents";#N/A,#N/A,TRUE,"Basis";#N/A,#N/A,TRUE,"Inclusions";#N/A,#N/A,TRUE,"Exclusions";#N/A,#N/A,TRUE,"Areas";#N/A,#N/A,TRUE,"Summary";#N/A,#N/A,TRUE,"Detail"}</definedName>
    <definedName name="gfrg" hidden="1">#REF!</definedName>
    <definedName name="gg">#N/A</definedName>
    <definedName name="ggg" localSheetId="1" hidden="1">#REF!</definedName>
    <definedName name="ggg" hidden="1">#REF!</definedName>
    <definedName name="gggg"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ggggfg" hidden="1">#REF!</definedName>
    <definedName name="ggggg">#REF!</definedName>
    <definedName name="ggggggg" hidden="1">{#N/A,#N/A,TRUE,"Krycí list"}</definedName>
    <definedName name="ggggggggggg">#REF!</definedName>
    <definedName name="ggtev" hidden="1">{#N/A,#N/A,TRUE,"Front";#N/A,#N/A,TRUE,"Simple Letter";#N/A,#N/A,TRUE,"Inside";#N/A,#N/A,TRUE,"Contents";#N/A,#N/A,TRUE,"Basis";#N/A,#N/A,TRUE,"Inclusions";#N/A,#N/A,TRUE,"Exclusions";#N/A,#N/A,TRUE,"Areas";#N/A,#N/A,TRUE,"Summary";#N/A,#N/A,TRUE,"Detail"}</definedName>
    <definedName name="gh">#REF!</definedName>
    <definedName name="GHC" hidden="1">{#N/A,#N/A,TRUE,"Front";#N/A,#N/A,TRUE,"Simple Letter";#N/A,#N/A,TRUE,"Inside";#N/A,#N/A,TRUE,"Contents";#N/A,#N/A,TRUE,"Basis";#N/A,#N/A,TRUE,"Inclusions";#N/A,#N/A,TRUE,"Exclusions";#N/A,#N/A,TRUE,"Areas";#N/A,#N/A,TRUE,"Summary";#N/A,#N/A,TRUE,"Detail"}</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gfjfjgfjgfjgf" hidden="1">#REF!</definedName>
    <definedName name="GHGFHGFJGJ" hidden="1">{#N/A,#N/A,TRUE,"Front";#N/A,#N/A,TRUE,"Simple Letter";#N/A,#N/A,TRUE,"Inside";#N/A,#N/A,TRUE,"Contents";#N/A,#N/A,TRUE,"Basis";#N/A,#N/A,TRUE,"Inclusions";#N/A,#N/A,TRUE,"Exclusions";#N/A,#N/A,TRUE,"Areas";#N/A,#N/A,TRUE,"Summary";#N/A,#N/A,TRUE,"Detail"}</definedName>
    <definedName name="ghgghgh">#N/A</definedName>
    <definedName name="ghghgh">#REF!</definedName>
    <definedName name="ghghj.ghg"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HHGHHH" hidden="1">{#N/A,#N/A,TRUE,"Front";#N/A,#N/A,TRUE,"Simple Letter";#N/A,#N/A,TRUE,"Inside";#N/A,#N/A,TRUE,"Contents";#N/A,#N/A,TRUE,"Basis";#N/A,#N/A,TRUE,"Inclusions";#N/A,#N/A,TRUE,"Exclusions";#N/A,#N/A,TRUE,"Areas";#N/A,#N/A,TRUE,"Summary";#N/A,#N/A,TRUE,"Detail"}</definedName>
    <definedName name="ghj" hidden="1">{#N/A,#N/A,FALSE,"gc (2)"}</definedName>
    <definedName name="ghjfhfhl">#REF!</definedName>
    <definedName name="GHJT">#REF!</definedName>
    <definedName name="GHJT_1">NA()</definedName>
    <definedName name="GHJT_2">NA()</definedName>
    <definedName name="GHJT_3">NA()</definedName>
    <definedName name="GHJT_5">NA()</definedName>
    <definedName name="ghnjgf" hidden="1">{#N/A,#N/A,TRUE,"Front";#N/A,#N/A,TRUE,"Simple Letter";#N/A,#N/A,TRUE,"Inside";#N/A,#N/A,TRUE,"Contents";#N/A,#N/A,TRUE,"Basis";#N/A,#N/A,TRUE,"Inclusions";#N/A,#N/A,TRUE,"Exclusions";#N/A,#N/A,TRUE,"Areas";#N/A,#N/A,TRUE,"Summary";#N/A,#N/A,TRUE,"Detail"}</definedName>
    <definedName name="ghs">#REF!</definedName>
    <definedName name="gi_100">#REF!</definedName>
    <definedName name="gi_150">#REF!</definedName>
    <definedName name="gi_200">#REF!</definedName>
    <definedName name="gi_25">#REF!</definedName>
    <definedName name="gi_250">#REF!</definedName>
    <definedName name="gi_300">#REF!</definedName>
    <definedName name="gi_32">#REF!</definedName>
    <definedName name="gi_40">#REF!</definedName>
    <definedName name="gi_400">#REF!</definedName>
    <definedName name="gi_50">#REF!</definedName>
    <definedName name="gi_500">#REF!</definedName>
    <definedName name="gi_600">#REF!</definedName>
    <definedName name="gi_65">#REF!</definedName>
    <definedName name="gi_80">#REF!</definedName>
    <definedName name="gif">#REF!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hg" hidden="1">#REF!</definedName>
    <definedName name="gjjgjgjh">#REF!</definedName>
    <definedName name="gl">#REF!</definedName>
    <definedName name="GLAND">#REF!</definedName>
    <definedName name="glb_100">#REF!</definedName>
    <definedName name="glb_150">#REF!</definedName>
    <definedName name="glb_200">#REF!</definedName>
    <definedName name="glb_25">#REF!</definedName>
    <definedName name="glb_250">#REF!</definedName>
    <definedName name="glb_300">#REF!</definedName>
    <definedName name="glb_32">#REF!</definedName>
    <definedName name="glb_40">#REF!</definedName>
    <definedName name="glb_50">#REF!</definedName>
    <definedName name="glb_65">#REF!</definedName>
    <definedName name="glb_80">#REF!</definedName>
    <definedName name="gLmetal20">#REF!</definedName>
    <definedName name="GLs">#REF!</definedName>
    <definedName name="GMAmount">#REF!</definedName>
    <definedName name="GMAmount_4">#REF!</definedName>
    <definedName name="GMAmount_6">#REF!</definedName>
    <definedName name="GMN" hidden="1">{"'Sheet1'!$A$4386:$N$4591"}</definedName>
    <definedName name="GMPercent">#REF!</definedName>
    <definedName name="GMPercent_4">#REF!</definedName>
    <definedName name="GMPercent_6">#REF!</definedName>
    <definedName name="GNHJDFHJGF" hidden="1">{#N/A,#N/A,TRUE,"Krycí list"}</definedName>
    <definedName name="gopi">#REF!</definedName>
    <definedName name="GP">#REF!</definedName>
    <definedName name="GrandSuiteArea">#REF!</definedName>
    <definedName name="GrandSuitePerimeter">#REF!</definedName>
    <definedName name="graph" hidden="1">#REF!</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E" hidden="1">#REF!</definedName>
    <definedName name="groove" hidden="1">{#N/A,#N/A,TRUE,"Front";#N/A,#N/A,TRUE,"Simple Letter";#N/A,#N/A,TRUE,"Inside";#N/A,#N/A,TRUE,"Contents";#N/A,#N/A,TRUE,"Basis";#N/A,#N/A,TRUE,"Inclusions";#N/A,#N/A,TRUE,"Exclusions";#N/A,#N/A,TRUE,"Areas";#N/A,#N/A,TRUE,"Summary";#N/A,#N/A,TRUE,"Detail"}</definedName>
    <definedName name="groove_1">{#N/A,#N/A,TRUE,"Front";#N/A,#N/A,TRUE,"Simple Letter";#N/A,#N/A,TRUE,"Inside";#N/A,#N/A,TRUE,"Contents";#N/A,#N/A,TRUE,"Basis";#N/A,#N/A,TRUE,"Inclusions";#N/A,#N/A,TRUE,"Exclusions";#N/A,#N/A,TRUE,"Areas";#N/A,#N/A,TRUE,"Summary";#N/A,#N/A,TRUE,"Detail"}</definedName>
    <definedName name="groove_1_1">{#N/A,#N/A,TRUE,"Front";#N/A,#N/A,TRUE,"Simple Letter";#N/A,#N/A,TRUE,"Inside";#N/A,#N/A,TRUE,"Contents";#N/A,#N/A,TRUE,"Basis";#N/A,#N/A,TRUE,"Inclusions";#N/A,#N/A,TRUE,"Exclusions";#N/A,#N/A,TRUE,"Areas";#N/A,#N/A,TRUE,"Summary";#N/A,#N/A,TRUE,"Detail"}</definedName>
    <definedName name="groove_2">{#N/A,#N/A,TRUE,"Front";#N/A,#N/A,TRUE,"Simple Letter";#N/A,#N/A,TRUE,"Inside";#N/A,#N/A,TRUE,"Contents";#N/A,#N/A,TRUE,"Basis";#N/A,#N/A,TRUE,"Inclusions";#N/A,#N/A,TRUE,"Exclusions";#N/A,#N/A,TRUE,"Areas";#N/A,#N/A,TRUE,"Summary";#N/A,#N/A,TRUE,"Detail"}</definedName>
    <definedName name="groove_2_1">{#N/A,#N/A,TRUE,"Front";#N/A,#N/A,TRUE,"Simple Letter";#N/A,#N/A,TRUE,"Inside";#N/A,#N/A,TRUE,"Contents";#N/A,#N/A,TRUE,"Basis";#N/A,#N/A,TRUE,"Inclusions";#N/A,#N/A,TRUE,"Exclusions";#N/A,#N/A,TRUE,"Areas";#N/A,#N/A,TRUE,"Summary";#N/A,#N/A,TRUE,"Detail"}</definedName>
    <definedName name="groove_3">{#N/A,#N/A,TRUE,"Front";#N/A,#N/A,TRUE,"Simple Letter";#N/A,#N/A,TRUE,"Inside";#N/A,#N/A,TRUE,"Contents";#N/A,#N/A,TRUE,"Basis";#N/A,#N/A,TRUE,"Inclusions";#N/A,#N/A,TRUE,"Exclusions";#N/A,#N/A,TRUE,"Areas";#N/A,#N/A,TRUE,"Summary";#N/A,#N/A,TRUE,"Detail"}</definedName>
    <definedName name="groove_3_1">{#N/A,#N/A,TRUE,"Front";#N/A,#N/A,TRUE,"Simple Letter";#N/A,#N/A,TRUE,"Inside";#N/A,#N/A,TRUE,"Contents";#N/A,#N/A,TRUE,"Basis";#N/A,#N/A,TRUE,"Inclusions";#N/A,#N/A,TRUE,"Exclusions";#N/A,#N/A,TRUE,"Areas";#N/A,#N/A,TRUE,"Summary";#N/A,#N/A,TRUE,"Detail"}</definedName>
    <definedName name="groove_4">{#N/A,#N/A,TRUE,"Front";#N/A,#N/A,TRUE,"Simple Letter";#N/A,#N/A,TRUE,"Inside";#N/A,#N/A,TRUE,"Contents";#N/A,#N/A,TRUE,"Basis";#N/A,#N/A,TRUE,"Inclusions";#N/A,#N/A,TRUE,"Exclusions";#N/A,#N/A,TRUE,"Areas";#N/A,#N/A,TRUE,"Summary";#N/A,#N/A,TRUE,"Detail"}</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#REF!</definedName>
    <definedName name="Group1_1">NA()</definedName>
    <definedName name="Group1_2">NA()</definedName>
    <definedName name="Group1_3">NA()</definedName>
    <definedName name="Group1_5">NA()</definedName>
    <definedName name="Group2">#REF!</definedName>
    <definedName name="Group2_1">NA()</definedName>
    <definedName name="Group2_2">NA()</definedName>
    <definedName name="Group2_3">NA()</definedName>
    <definedName name="Group2_5">NA()</definedName>
    <definedName name="Group3">#REF!</definedName>
    <definedName name="Group3_1">NA()</definedName>
    <definedName name="Group3_2">NA()</definedName>
    <definedName name="Group3_3">NA()</definedName>
    <definedName name="Group3_5">NA()</definedName>
    <definedName name="Group4">#REF!</definedName>
    <definedName name="Group4_1">NA()</definedName>
    <definedName name="Group4_2">NA()</definedName>
    <definedName name="Group4_3">NA()</definedName>
    <definedName name="Group4_5">NA()</definedName>
    <definedName name="grr">#REF!</definedName>
    <definedName name="grre" hidden="1">#REF!</definedName>
    <definedName name="grtr" hidden="1">{#N/A,#N/A,TRUE,"Front";#N/A,#N/A,TRUE,"Simple Letter";#N/A,#N/A,TRUE,"Inside";#N/A,#N/A,TRUE,"Contents";#N/A,#N/A,TRUE,"Basis";#N/A,#N/A,TRUE,"Inclusions";#N/A,#N/A,TRUE,"Exclusions";#N/A,#N/A,TRUE,"Areas";#N/A,#N/A,TRUE,"Summary";#N/A,#N/A,TRUE,"Detail"}</definedName>
    <definedName name="gs">#REF!</definedName>
    <definedName name="gs_1">NA()</definedName>
    <definedName name="gs_10">#REF!</definedName>
    <definedName name="gs_11">#REF!</definedName>
    <definedName name="gs_12">#REF!</definedName>
    <definedName name="gs_2">NA()</definedName>
    <definedName name="gs_20">#REF!</definedName>
    <definedName name="gs_21">#REF!</definedName>
    <definedName name="gs_24">#REF!</definedName>
    <definedName name="gs_25">#REF!</definedName>
    <definedName name="gs_26">#REF!</definedName>
    <definedName name="gs_27">#REF!</definedName>
    <definedName name="gs_28">#REF!</definedName>
    <definedName name="gs_29">#REF!</definedName>
    <definedName name="gs_3">NA()</definedName>
    <definedName name="gs_30">#REF!</definedName>
    <definedName name="gs_31">#REF!</definedName>
    <definedName name="gs_32">#REF!</definedName>
    <definedName name="gs_33">#REF!</definedName>
    <definedName name="gs_34">#REF!</definedName>
    <definedName name="gs_35">#REF!</definedName>
    <definedName name="gs_36">#REF!</definedName>
    <definedName name="gs_37">#REF!</definedName>
    <definedName name="gs_38">#REF!</definedName>
    <definedName name="gs_39">#REF!</definedName>
    <definedName name="gs_40">#REF!</definedName>
    <definedName name="gs_41">#REF!</definedName>
    <definedName name="gs_42">#REF!</definedName>
    <definedName name="gs_43">#REF!</definedName>
    <definedName name="gs_44">#REF!</definedName>
    <definedName name="gs_45">#REF!</definedName>
    <definedName name="gs_46">#REF!</definedName>
    <definedName name="gs_47">#REF!</definedName>
    <definedName name="gs_48">#REF!</definedName>
    <definedName name="gs_49">#REF!</definedName>
    <definedName name="gs_5">NA()</definedName>
    <definedName name="gs_50">#REF!</definedName>
    <definedName name="gs_51">#REF!</definedName>
    <definedName name="gs_52">#REF!</definedName>
    <definedName name="gs_53">#REF!</definedName>
    <definedName name="gs_55">#REF!</definedName>
    <definedName name="gs_56">#REF!</definedName>
    <definedName name="gs_57">#REF!</definedName>
    <definedName name="gs_61">#REF!</definedName>
    <definedName name="gs_62">#REF!</definedName>
    <definedName name="gs_63">#REF!</definedName>
    <definedName name="gs_64">#REF!</definedName>
    <definedName name="gs_65">#REF!</definedName>
    <definedName name="gs_66">#REF!</definedName>
    <definedName name="gs_8">#REF!</definedName>
    <definedName name="gs_9">#REF!</definedName>
    <definedName name="GSDFSDF">#REF!</definedName>
    <definedName name="gthh" hidden="1">{#N/A,#N/A,TRUE,"Front";#N/A,#N/A,TRUE,"Simple Letter";#N/A,#N/A,TRUE,"Inside";#N/A,#N/A,TRUE,"Contents";#N/A,#N/A,TRUE,"Basis";#N/A,#N/A,TRUE,"Inclusions";#N/A,#N/A,TRUE,"Exclusions";#N/A,#N/A,TRUE,"Areas";#N/A,#N/A,TRUE,"Summary";#N/A,#N/A,TRUE,"Detail"}</definedName>
    <definedName name="GTOT">#REF!</definedName>
    <definedName name="gtre" hidden="1">{#N/A,#N/A,TRUE,"Krycí list"}</definedName>
    <definedName name="gty">#REF!</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00">#REF!</definedName>
    <definedName name="gv_150">#REF!</definedName>
    <definedName name="gv_200">#REF!</definedName>
    <definedName name="gv_25">#REF!</definedName>
    <definedName name="gv_250">#REF!</definedName>
    <definedName name="gv_300">#REF!</definedName>
    <definedName name="gv_32">#REF!</definedName>
    <definedName name="gv_40">#REF!</definedName>
    <definedName name="gv_400">#REF!</definedName>
    <definedName name="gv_50">#REF!</definedName>
    <definedName name="gv_500">#REF!</definedName>
    <definedName name="gv_65">#REF!</definedName>
    <definedName name="gv_80">#REF!</definedName>
    <definedName name="gvgfvgf">#REF!</definedName>
    <definedName name="gvuftui" hidden="1">#REF!</definedName>
    <definedName name="gw" hidden="1">#REF!</definedName>
    <definedName name="Gypsum_Plaster_of_3mm_thk">#REF!</definedName>
    <definedName name="gyt" hidden="1">{#N/A,#N/A,TRUE,"Front";#N/A,#N/A,TRUE,"Simple Letter";#N/A,#N/A,TRUE,"Inside";#N/A,#N/A,TRUE,"Contents";#N/A,#N/A,TRUE,"Basis";#N/A,#N/A,TRUE,"Inclusions";#N/A,#N/A,TRUE,"Exclusions";#N/A,#N/A,TRUE,"Areas";#N/A,#N/A,TRUE,"Summary";#N/A,#N/A,TRUE,"Detail"}</definedName>
    <definedName name="H">#REF!</definedName>
    <definedName name="H___0">#REF!</definedName>
    <definedName name="H___0_1">NA()</definedName>
    <definedName name="H___0_2">NA()</definedName>
    <definedName name="H___0_3">NA()</definedName>
    <definedName name="H___0_5">NA()</definedName>
    <definedName name="H___13">#REF!</definedName>
    <definedName name="H___13_1">NA()</definedName>
    <definedName name="H___13_2">NA()</definedName>
    <definedName name="H___13_3">NA()</definedName>
    <definedName name="H___13_5">NA()</definedName>
    <definedName name="H_1">NA()</definedName>
    <definedName name="H_2">NA()</definedName>
    <definedName name="H_3">NA()</definedName>
    <definedName name="H_5">NA()</definedName>
    <definedName name="H0">#REF!</definedName>
    <definedName name="H0___0">#REF!</definedName>
    <definedName name="H0___0_1">NA()</definedName>
    <definedName name="H0___0_2">NA()</definedName>
    <definedName name="H0___0_3">NA()</definedName>
    <definedName name="H0___0_5">NA()</definedName>
    <definedName name="H0___13">#REF!</definedName>
    <definedName name="H0___13_1">NA()</definedName>
    <definedName name="H0___13_2">NA()</definedName>
    <definedName name="H0___13_3">NA()</definedName>
    <definedName name="H0___13_5">NA()</definedName>
    <definedName name="H0_1">NA()</definedName>
    <definedName name="H0_2">NA()</definedName>
    <definedName name="H0_3">NA()</definedName>
    <definedName name="H0_5">NA()</definedName>
    <definedName name="Hafeez">#REF!</definedName>
    <definedName name="hahha">#N/A</definedName>
    <definedName name="handling">#REF!</definedName>
    <definedName name="hap" hidden="1">{#N/A,#N/A,FALSE,"COVER1.XLS ";#N/A,#N/A,FALSE,"RACT1.XLS";#N/A,#N/A,FALSE,"RACT2.XLS";#N/A,#N/A,FALSE,"ECCMP";#N/A,#N/A,FALSE,"WELDER.XLS"}</definedName>
    <definedName name="HARDCRETE">#REF!</definedName>
    <definedName name="HARI">#REF!</definedName>
    <definedName name="HARI_1">NA()</definedName>
    <definedName name="HARI_2">NA()</definedName>
    <definedName name="HARI_3">NA()</definedName>
    <definedName name="HARI_5">NA()</definedName>
    <definedName name="HBGHGFGH" hidden="1">{#N/A,#N/A,TRUE,"Front";#N/A,#N/A,TRUE,"Simple Letter";#N/A,#N/A,TRUE,"Inside";#N/A,#N/A,TRUE,"Contents";#N/A,#N/A,TRUE,"Basis";#N/A,#N/A,TRUE,"Inclusions";#N/A,#N/A,TRUE,"Exclusions";#N/A,#N/A,TRUE,"Areas";#N/A,#N/A,TRUE,"Summary";#N/A,#N/A,TRUE,"Detail"}</definedName>
    <definedName name="hCONE">#REF!</definedName>
    <definedName name="HCYL">#REF!</definedName>
    <definedName name="HDD">#REF!</definedName>
    <definedName name="hdhgjs">#N/A</definedName>
    <definedName name="Header_Row">ROW(#REF!)</definedName>
    <definedName name="heew" hidden="1">{#N/A,#N/A,TRUE,"Krycí list"}</definedName>
    <definedName name="Height">#N/A</definedName>
    <definedName name="Height_1">#N/A</definedName>
    <definedName name="herygf893e" hidden="1">#REF!</definedName>
    <definedName name="hf">#REF!</definedName>
    <definedName name="hf_1">NA()</definedName>
    <definedName name="hf_10">#REF!</definedName>
    <definedName name="hf_11">#REF!</definedName>
    <definedName name="hf_12">#REF!</definedName>
    <definedName name="hf_2">NA()</definedName>
    <definedName name="hf_20">#REF!</definedName>
    <definedName name="hf_21">#REF!</definedName>
    <definedName name="hf_24">#REF!</definedName>
    <definedName name="hf_25">#REF!</definedName>
    <definedName name="hf_26">#REF!</definedName>
    <definedName name="hf_27">#REF!</definedName>
    <definedName name="hf_28">#REF!</definedName>
    <definedName name="hf_29">#REF!</definedName>
    <definedName name="hf_3">NA()</definedName>
    <definedName name="hf_30">#REF!</definedName>
    <definedName name="hf_31">#REF!</definedName>
    <definedName name="hf_32">#REF!</definedName>
    <definedName name="hf_33">#REF!</definedName>
    <definedName name="hf_34">#REF!</definedName>
    <definedName name="hf_35">#REF!</definedName>
    <definedName name="hf_36">#REF!</definedName>
    <definedName name="hf_37">#REF!</definedName>
    <definedName name="hf_38">#REF!</definedName>
    <definedName name="hf_39">#REF!</definedName>
    <definedName name="hf_4">#REF!</definedName>
    <definedName name="hf_40">#REF!</definedName>
    <definedName name="hf_41">#REF!</definedName>
    <definedName name="hf_42">#REF!</definedName>
    <definedName name="hf_43">#REF!</definedName>
    <definedName name="hf_44">#REF!</definedName>
    <definedName name="hf_45">#REF!</definedName>
    <definedName name="hf_46">#REF!</definedName>
    <definedName name="hf_47">#REF!</definedName>
    <definedName name="hf_48">#REF!</definedName>
    <definedName name="hf_49">#REF!</definedName>
    <definedName name="hf_5">NA()</definedName>
    <definedName name="hf_50">#REF!</definedName>
    <definedName name="hf_51">#REF!</definedName>
    <definedName name="hf_52">#REF!</definedName>
    <definedName name="hf_53">#REF!</definedName>
    <definedName name="hf_55">#REF!</definedName>
    <definedName name="hf_56">#REF!</definedName>
    <definedName name="hf_57">#REF!</definedName>
    <definedName name="hf_61">#REF!</definedName>
    <definedName name="hf_62">#REF!</definedName>
    <definedName name="hf_63">#REF!</definedName>
    <definedName name="hf_64">#REF!</definedName>
    <definedName name="hf_65">#REF!</definedName>
    <definedName name="hf_66">#REF!</definedName>
    <definedName name="hf_8">#REF!</definedName>
    <definedName name="hf_9">#REF!</definedName>
    <definedName name="hgbkh">#N/A</definedName>
    <definedName name="HGFHGFHG" hidden="1">{#N/A,#N/A,TRUE,"Front";#N/A,#N/A,TRUE,"Simple Letter";#N/A,#N/A,TRUE,"Inside";#N/A,#N/A,TRUE,"Contents";#N/A,#N/A,TRUE,"Basis";#N/A,#N/A,TRUE,"Inclusions";#N/A,#N/A,TRUE,"Exclusions";#N/A,#N/A,TRUE,"Areas";#N/A,#N/A,TRUE,"Summary";#N/A,#N/A,TRUE,"Detail"}</definedName>
    <definedName name="hggs">#N/A</definedName>
    <definedName name="HGJGGSAF" hidden="1">{#N/A,#N/A,TRUE,"Front";#N/A,#N/A,TRUE,"Simple Letter";#N/A,#N/A,TRUE,"Inside";#N/A,#N/A,TRUE,"Contents";#N/A,#N/A,TRUE,"Basis";#N/A,#N/A,TRUE,"Inclusions";#N/A,#N/A,TRUE,"Exclusions";#N/A,#N/A,TRUE,"Areas";#N/A,#N/A,TRUE,"Summary";#N/A,#N/A,TRUE,"Detail"}</definedName>
    <definedName name="hh">#REF!</definedName>
    <definedName name="hh___0">#REF!</definedName>
    <definedName name="hh___0_1">NA()</definedName>
    <definedName name="hh___0_2">NA()</definedName>
    <definedName name="hh___0_3">NA()</definedName>
    <definedName name="hh___0_5">NA()</definedName>
    <definedName name="hh___13">#REF!</definedName>
    <definedName name="hh___13_1">NA()</definedName>
    <definedName name="hh___13_2">NA()</definedName>
    <definedName name="hh___13_3">NA()</definedName>
    <definedName name="hh___13_5">NA()</definedName>
    <definedName name="hh_1">NA()</definedName>
    <definedName name="hh_2">NA()</definedName>
    <definedName name="hh_3">NA()</definedName>
    <definedName name="hh_5">NA()</definedName>
    <definedName name="hhh">#N/A</definedName>
    <definedName name="hhhh" hidden="1">{#N/A,#N/A,TRUE,"Krycí list"}</definedName>
    <definedName name="hhhhhh" hidden="1">#REF!</definedName>
    <definedName name="hhhhhhhhh" hidden="1">{#N/A,#N/A,TRUE,"Front";#N/A,#N/A,TRUE,"Simple Letter";#N/A,#N/A,TRUE,"Inside";#N/A,#N/A,TRUE,"Contents";#N/A,#N/A,TRUE,"Basis";#N/A,#N/A,TRUE,"Inclusions";#N/A,#N/A,TRUE,"Exclusions";#N/A,#N/A,TRUE,"Areas";#N/A,#N/A,TRUE,"Summary";#N/A,#N/A,TRUE,"Detail"}</definedName>
    <definedName name="hhjh" hidden="1">#REF!</definedName>
    <definedName name="hhppp" localSheetId="1" hidden="1">#REF!</definedName>
    <definedName name="hhppp" hidden="1">#REF!</definedName>
    <definedName name="hi">#REF!</definedName>
    <definedName name="hi_1">NA()</definedName>
    <definedName name="hi_2">NA()</definedName>
    <definedName name="hi_3">NA()</definedName>
    <definedName name="hi_5">NA()</definedName>
    <definedName name="HICOUT">#N/A</definedName>
    <definedName name="HiddenRows" hidden="1">#REF!</definedName>
    <definedName name="HINDHUSTAN">#REF!</definedName>
    <definedName name="HINDHUSTAN_1">NA()</definedName>
    <definedName name="HINDHUSTAN_2">NA()</definedName>
    <definedName name="HINDHUSTAN_3">NA()</definedName>
    <definedName name="HINDHUSTAN_5">NA()</definedName>
    <definedName name="HIns">#REF!</definedName>
    <definedName name="HIns_1">NA()</definedName>
    <definedName name="HIns_2">NA()</definedName>
    <definedName name="HIns_3">NA()</definedName>
    <definedName name="HIns_5">NA()</definedName>
    <definedName name="histogram_data">#REF!</definedName>
    <definedName name="hj">#N/A</definedName>
    <definedName name="HJGFJSDGHJ">#N/A</definedName>
    <definedName name="HJGHJK" hidden="1">{#N/A,#N/A,TRUE,"Krycí list"}</definedName>
    <definedName name="hjikjg">#N/A</definedName>
    <definedName name="hjk">#REF!</definedName>
    <definedName name="hjkhjk">#REF!</definedName>
    <definedName name="hjuj" hidden="1">#REF!</definedName>
    <definedName name="hjyyrt">#N/A</definedName>
    <definedName name="hkjhkjl"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kjjhkhkhk" hidden="1">{#N/A,#N/A,TRUE,"Front";#N/A,#N/A,TRUE,"Simple Letter";#N/A,#N/A,TRUE,"Inside";#N/A,#N/A,TRUE,"Contents";#N/A,#N/A,TRUE,"Basis";#N/A,#N/A,TRUE,"Inclusions";#N/A,#N/A,TRUE,"Exclusions";#N/A,#N/A,TRUE,"Areas";#N/A,#N/A,TRUE,"Summary";#N/A,#N/A,TRUE,"Detail"}</definedName>
    <definedName name="ho">#REF!</definedName>
    <definedName name="ho___0">#REF!</definedName>
    <definedName name="ho___0_1">NA()</definedName>
    <definedName name="ho___0_2">NA()</definedName>
    <definedName name="ho___0_3">NA()</definedName>
    <definedName name="ho___0_5">NA()</definedName>
    <definedName name="ho___13">#REF!</definedName>
    <definedName name="ho___13_1">NA()</definedName>
    <definedName name="ho___13_2">NA()</definedName>
    <definedName name="ho___13_3">NA()</definedName>
    <definedName name="ho___13_5">NA()</definedName>
    <definedName name="ho_1">NA()</definedName>
    <definedName name="ho_2">NA()</definedName>
    <definedName name="ho_3">NA()</definedName>
    <definedName name="ho_5">NA()</definedName>
    <definedName name="hoi">#REF!</definedName>
    <definedName name="hoi_1">NA()</definedName>
    <definedName name="hoi_2">NA()</definedName>
    <definedName name="hoi_3">NA()</definedName>
    <definedName name="hoi_5">NA()</definedName>
    <definedName name="HOLIDAY" hidden="1">{#N/A,#N/A,FALSE,"abs";#N/A,#N/A,FALSE,"Annex-I";#N/A,#N/A,FALSE,"Annex-II";#N/A,#N/A,FALSE,"Annex-III";#N/A,#N/A,FALSE,"Annex-IV";#N/A,#N/A,FALSE,"Annex-V";#N/A,#N/A,FALSE,"Annex-VI"}</definedName>
    <definedName name="HollywoodTwinArea">#REF!</definedName>
    <definedName name="HollywoodTwinPerimeter">#REF!</definedName>
    <definedName name="Horn_Speaker">#REF!</definedName>
    <definedName name="Hospitals">#REF!</definedName>
    <definedName name="hostel">#REF!</definedName>
    <definedName name="Hotel">#REF!</definedName>
    <definedName name="How_many_floors">#N/A</definedName>
    <definedName name="HRGHRRERE" hidden="1">{#N/A,#N/A,TRUE,"Front";#N/A,#N/A,TRUE,"Simple Letter";#N/A,#N/A,TRUE,"Inside";#N/A,#N/A,TRUE,"Contents";#N/A,#N/A,TRUE,"Basis";#N/A,#N/A,TRUE,"Inclusions";#N/A,#N/A,TRUE,"Exclusions";#N/A,#N/A,TRUE,"Areas";#N/A,#N/A,TRUE,"Summary";#N/A,#N/A,TRUE,"Detail"}</definedName>
    <definedName name="hrhd">#REF!</definedName>
    <definedName name="hrtjh" hidden="1">{#N/A,#N/A,TRUE,"Front";#N/A,#N/A,TRUE,"Simple Letter";#N/A,#N/A,TRUE,"Inside";#N/A,#N/A,TRUE,"Contents";#N/A,#N/A,TRUE,"Basis";#N/A,#N/A,TRUE,"Inclusions";#N/A,#N/A,TRUE,"Exclusions";#N/A,#N/A,TRUE,"Areas";#N/A,#N/A,TRUE,"Summary";#N/A,#N/A,TRUE,"Detail"}</definedName>
    <definedName name="hS">#REF!</definedName>
    <definedName name="hS___0">#REF!</definedName>
    <definedName name="hS___0_1">NA()</definedName>
    <definedName name="hS___0_2">NA()</definedName>
    <definedName name="hS___0_3">NA()</definedName>
    <definedName name="hS___0_5">NA()</definedName>
    <definedName name="hS___13">#REF!</definedName>
    <definedName name="hS___13_1">NA()</definedName>
    <definedName name="hS___13_2">NA()</definedName>
    <definedName name="hS___13_3">NA()</definedName>
    <definedName name="hS___13_5">NA()</definedName>
    <definedName name="hS_1">NA()</definedName>
    <definedName name="hS_2">NA()</definedName>
    <definedName name="hS_3">NA()</definedName>
    <definedName name="hS_5">NA()</definedName>
    <definedName name="HTML_CodePage" hidden="1">1252</definedName>
    <definedName name="HTML_Control" hidden="1">{"'Sheet1'!$A$4386:$N$4591"}</definedName>
    <definedName name="HTML_control2"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u">#REF!</definedName>
    <definedName name="Hu___0">#REF!</definedName>
    <definedName name="Hu___0_1">NA()</definedName>
    <definedName name="Hu___0_2">NA()</definedName>
    <definedName name="Hu___0_3">NA()</definedName>
    <definedName name="Hu___0_5">NA()</definedName>
    <definedName name="Hu___13">#REF!</definedName>
    <definedName name="Hu___13_1">NA()</definedName>
    <definedName name="Hu___13_2">NA()</definedName>
    <definedName name="Hu___13_3">NA()</definedName>
    <definedName name="Hu___13_5">NA()</definedName>
    <definedName name="Hu_1">NA()</definedName>
    <definedName name="Hu_2">NA()</definedName>
    <definedName name="Hu_3">NA()</definedName>
    <definedName name="Hu_5">NA()</definedName>
    <definedName name="HV">#REF!</definedName>
    <definedName name="hvacrates">#REF!</definedName>
    <definedName name="hxb">#REF!</definedName>
    <definedName name="hxb_1">NA()</definedName>
    <definedName name="hxb_2">NA()</definedName>
    <definedName name="hxb_3">NA()</definedName>
    <definedName name="hxb_5">NA()</definedName>
    <definedName name="hxi">#REF!</definedName>
    <definedName name="hxi_1">NA()</definedName>
    <definedName name="hxi_2">NA()</definedName>
    <definedName name="hxi_3">NA()</definedName>
    <definedName name="hxi_5">NA()</definedName>
    <definedName name="hy" localSheetId="1"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_1">{#N/A,#N/A,TRUE,"Front";#N/A,#N/A,TRUE,"Simple Letter";#N/A,#N/A,TRUE,"Inside";#N/A,#N/A,TRUE,"Contents";#N/A,#N/A,TRUE,"Basis";#N/A,#N/A,TRUE,"Inclusions";#N/A,#N/A,TRUE,"Exclusions";#N/A,#N/A,TRUE,"Areas";#N/A,#N/A,TRUE,"Summary";#N/A,#N/A,TRUE,"Detail"}</definedName>
    <definedName name="hy_1_1">{#N/A,#N/A,TRUE,"Front";#N/A,#N/A,TRUE,"Simple Letter";#N/A,#N/A,TRUE,"Inside";#N/A,#N/A,TRUE,"Contents";#N/A,#N/A,TRUE,"Basis";#N/A,#N/A,TRUE,"Inclusions";#N/A,#N/A,TRUE,"Exclusions";#N/A,#N/A,TRUE,"Areas";#N/A,#N/A,TRUE,"Summary";#N/A,#N/A,TRUE,"Detail"}</definedName>
    <definedName name="hy_2">{#N/A,#N/A,TRUE,"Front";#N/A,#N/A,TRUE,"Simple Letter";#N/A,#N/A,TRUE,"Inside";#N/A,#N/A,TRUE,"Contents";#N/A,#N/A,TRUE,"Basis";#N/A,#N/A,TRUE,"Inclusions";#N/A,#N/A,TRUE,"Exclusions";#N/A,#N/A,TRUE,"Areas";#N/A,#N/A,TRUE,"Summary";#N/A,#N/A,TRUE,"Detail"}</definedName>
    <definedName name="hy_2_1">{#N/A,#N/A,TRUE,"Front";#N/A,#N/A,TRUE,"Simple Letter";#N/A,#N/A,TRUE,"Inside";#N/A,#N/A,TRUE,"Contents";#N/A,#N/A,TRUE,"Basis";#N/A,#N/A,TRUE,"Inclusions";#N/A,#N/A,TRUE,"Exclusions";#N/A,#N/A,TRUE,"Areas";#N/A,#N/A,TRUE,"Summary";#N/A,#N/A,TRUE,"Detail"}</definedName>
    <definedName name="hy_3">{#N/A,#N/A,TRUE,"Front";#N/A,#N/A,TRUE,"Simple Letter";#N/A,#N/A,TRUE,"Inside";#N/A,#N/A,TRUE,"Contents";#N/A,#N/A,TRUE,"Basis";#N/A,#N/A,TRUE,"Inclusions";#N/A,#N/A,TRUE,"Exclusions";#N/A,#N/A,TRUE,"Areas";#N/A,#N/A,TRUE,"Summary";#N/A,#N/A,TRUE,"Detail"}</definedName>
    <definedName name="hy_3_1">{#N/A,#N/A,TRUE,"Front";#N/A,#N/A,TRUE,"Simple Letter";#N/A,#N/A,TRUE,"Inside";#N/A,#N/A,TRUE,"Contents";#N/A,#N/A,TRUE,"Basis";#N/A,#N/A,TRUE,"Inclusions";#N/A,#N/A,TRUE,"Exclusions";#N/A,#N/A,TRUE,"Areas";#N/A,#N/A,TRUE,"Summary";#N/A,#N/A,TRUE,"Detail"}</definedName>
    <definedName name="hyjy" hidden="1">{#N/A,#N/A,TRUE,"Front";#N/A,#N/A,TRUE,"Simple Letter";#N/A,#N/A,TRUE,"Inside";#N/A,#N/A,TRUE,"Contents";#N/A,#N/A,TRUE,"Basis";#N/A,#N/A,TRUE,"Inclusions";#N/A,#N/A,TRUE,"Exclusions";#N/A,#N/A,TRUE,"Areas";#N/A,#N/A,TRUE,"Summary";#N/A,#N/A,TRUE,"Detail"}</definedName>
    <definedName name="hyjy_1">{#N/A,#N/A,TRUE,"Front";#N/A,#N/A,TRUE,"Simple Letter";#N/A,#N/A,TRUE,"Inside";#N/A,#N/A,TRUE,"Contents";#N/A,#N/A,TRUE,"Basis";#N/A,#N/A,TRUE,"Inclusions";#N/A,#N/A,TRUE,"Exclusions";#N/A,#N/A,TRUE,"Areas";#N/A,#N/A,TRUE,"Summary";#N/A,#N/A,TRUE,"Detail"}</definedName>
    <definedName name="hyjy_1_1">{#N/A,#N/A,TRUE,"Front";#N/A,#N/A,TRUE,"Simple Letter";#N/A,#N/A,TRUE,"Inside";#N/A,#N/A,TRUE,"Contents";#N/A,#N/A,TRUE,"Basis";#N/A,#N/A,TRUE,"Inclusions";#N/A,#N/A,TRUE,"Exclusions";#N/A,#N/A,TRUE,"Areas";#N/A,#N/A,TRUE,"Summary";#N/A,#N/A,TRUE,"Detail"}</definedName>
    <definedName name="hyjy_2">{#N/A,#N/A,TRUE,"Front";#N/A,#N/A,TRUE,"Simple Letter";#N/A,#N/A,TRUE,"Inside";#N/A,#N/A,TRUE,"Contents";#N/A,#N/A,TRUE,"Basis";#N/A,#N/A,TRUE,"Inclusions";#N/A,#N/A,TRUE,"Exclusions";#N/A,#N/A,TRUE,"Areas";#N/A,#N/A,TRUE,"Summary";#N/A,#N/A,TRUE,"Detail"}</definedName>
    <definedName name="hyjy_2_1">{#N/A,#N/A,TRUE,"Front";#N/A,#N/A,TRUE,"Simple Letter";#N/A,#N/A,TRUE,"Inside";#N/A,#N/A,TRUE,"Contents";#N/A,#N/A,TRUE,"Basis";#N/A,#N/A,TRUE,"Inclusions";#N/A,#N/A,TRUE,"Exclusions";#N/A,#N/A,TRUE,"Areas";#N/A,#N/A,TRUE,"Summary";#N/A,#N/A,TRUE,"Detail"}</definedName>
    <definedName name="hyjy_3">{#N/A,#N/A,TRUE,"Front";#N/A,#N/A,TRUE,"Simple Letter";#N/A,#N/A,TRUE,"Inside";#N/A,#N/A,TRUE,"Contents";#N/A,#N/A,TRUE,"Basis";#N/A,#N/A,TRUE,"Inclusions";#N/A,#N/A,TRUE,"Exclusions";#N/A,#N/A,TRUE,"Areas";#N/A,#N/A,TRUE,"Summary";#N/A,#N/A,TRUE,"Detail"}</definedName>
    <definedName name="hyjy_3_1">{#N/A,#N/A,TRUE,"Front";#N/A,#N/A,TRUE,"Simple Letter";#N/A,#N/A,TRUE,"Inside";#N/A,#N/A,TRUE,"Contents";#N/A,#N/A,TRUE,"Basis";#N/A,#N/A,TRUE,"Inclusions";#N/A,#N/A,TRUE,"Exclusions";#N/A,#N/A,TRUE,"Areas";#N/A,#N/A,TRUE,"Summary";#N/A,#N/A,TRUE,"Detail"}</definedName>
    <definedName name="hyjy_4">{#N/A,#N/A,TRUE,"Front";#N/A,#N/A,TRUE,"Simple Letter";#N/A,#N/A,TRUE,"Inside";#N/A,#N/A,TRUE,"Contents";#N/A,#N/A,TRUE,"Basis";#N/A,#N/A,TRUE,"Inclusions";#N/A,#N/A,TRUE,"Exclusions";#N/A,#N/A,TRUE,"Areas";#N/A,#N/A,TRUE,"Summary";#N/A,#N/A,TRUE,"Detail"}</definedName>
    <definedName name="hysd">#REF!</definedName>
    <definedName name="hyy">#N/A</definedName>
    <definedName name="I" hidden="1">#REF!</definedName>
    <definedName name="I.WALLLength">#REF!</definedName>
    <definedName name="I___0">#REF!</definedName>
    <definedName name="I___0_1">NA()</definedName>
    <definedName name="I___0_2">NA()</definedName>
    <definedName name="I___0_3">NA()</definedName>
    <definedName name="I___0_5">NA()</definedName>
    <definedName name="I___13">#REF!</definedName>
    <definedName name="I___13_1">NA()</definedName>
    <definedName name="I___13_2">NA()</definedName>
    <definedName name="I___13_3">NA()</definedName>
    <definedName name="I___13_5">NA()</definedName>
    <definedName name="I_1">NA()</definedName>
    <definedName name="I_2">NA()</definedName>
    <definedName name="I_3">NA()</definedName>
    <definedName name="I_5">NA()</definedName>
    <definedName name="IC4D">#N/A</definedName>
    <definedName name="idc" hidden="1">{#N/A,#N/A,TRUE,"Front";#N/A,#N/A,TRUE,"Simple Letter";#N/A,#N/A,TRUE,"Inside";#N/A,#N/A,TRUE,"Contents";#N/A,#N/A,TRUE,"Basis";#N/A,#N/A,TRUE,"Inclusions";#N/A,#N/A,TRUE,"Exclusions";#N/A,#N/A,TRUE,"Areas";#N/A,#N/A,TRUE,"Summary";#N/A,#N/A,TRUE,"Detail"}</definedName>
    <definedName name="idcgh">#N/A</definedName>
    <definedName name="idcghjj">#N/A</definedName>
    <definedName name="IDCGK">#N/A</definedName>
    <definedName name="idch">#N/A</definedName>
    <definedName name="idcjc">#N/A</definedName>
    <definedName name="IDCT">#REF!</definedName>
    <definedName name="idctb">#N/A</definedName>
    <definedName name="idctb1">#N/A</definedName>
    <definedName name="IDGK">#N/A</definedName>
    <definedName name="idiot" hidden="1">{"dep. full detail",#N/A,FALSE,"annex";"3cd annex",#N/A,FALSE,"annex";"co. dep.",#N/A,FALSE,"annex"}</definedName>
    <definedName name="If">#REF!</definedName>
    <definedName name="If_1">NA()</definedName>
    <definedName name="If_2">NA()</definedName>
    <definedName name="If_3">NA()</definedName>
    <definedName name="If_5">NA()</definedName>
    <definedName name="Ig">#REF!</definedName>
    <definedName name="Ig___0">#REF!</definedName>
    <definedName name="Ig___0_1">NA()</definedName>
    <definedName name="Ig___0_2">NA()</definedName>
    <definedName name="Ig___0_3">NA()</definedName>
    <definedName name="Ig___0_5">NA()</definedName>
    <definedName name="Ig___13">#REF!</definedName>
    <definedName name="Ig___13_1">NA()</definedName>
    <definedName name="Ig___13_2">NA()</definedName>
    <definedName name="Ig___13_3">NA()</definedName>
    <definedName name="Ig___13_5">NA()</definedName>
    <definedName name="Ig_1">NA()</definedName>
    <definedName name="Ig_2">NA()</definedName>
    <definedName name="Ig_3">NA()</definedName>
    <definedName name="Ig_5">NA()</definedName>
    <definedName name="ii" hidden="1">{#N/A,#N/A,TRUE,"Front";#N/A,#N/A,TRUE,"Simple Letter";#N/A,#N/A,TRUE,"Inside";#N/A,#N/A,TRUE,"Contents";#N/A,#N/A,TRUE,"Basis";#N/A,#N/A,TRUE,"Inclusions";#N/A,#N/A,TRUE,"Exclusions";#N/A,#N/A,TRUE,"Areas";#N/A,#N/A,TRUE,"Summary";#N/A,#N/A,TRUE,"Detail"}</definedName>
    <definedName name="iii">#REF!</definedName>
    <definedName name="iiiiiiiii" hidden="1">{#N/A,#N/A,TRUE,"Krycí list"}</definedName>
    <definedName name="iiiiiiiiiii">#REF!</definedName>
    <definedName name="iio">#REF!</definedName>
    <definedName name="iju">#REF!</definedName>
    <definedName name="in_100">#REF!</definedName>
    <definedName name="in_150">#REF!</definedName>
    <definedName name="in_200">#REF!</definedName>
    <definedName name="in_25">#REF!</definedName>
    <definedName name="in_250">#REF!</definedName>
    <definedName name="in_300">#REF!</definedName>
    <definedName name="in_32">#REF!</definedName>
    <definedName name="in_40">#REF!</definedName>
    <definedName name="in_400">#REF!</definedName>
    <definedName name="in_50">#REF!</definedName>
    <definedName name="in_500">#REF!</definedName>
    <definedName name="in_600">#REF!</definedName>
    <definedName name="in_65">#REF!</definedName>
    <definedName name="in_80">#REF!</definedName>
    <definedName name="IN_TAMT">#N/A</definedName>
    <definedName name="IN_TOTAL">#N/A</definedName>
    <definedName name="IN_TQTY">#N/A</definedName>
    <definedName name="IN_UC">#N/A</definedName>
    <definedName name="INAMT">#N/A</definedName>
    <definedName name="income">#REF!</definedName>
    <definedName name="Incurr" hidden="1">{#N/A,#N/A,FALSE,"gc (2)"}</definedName>
    <definedName name="ind">#REF!</definedName>
    <definedName name="index">#N/A</definedName>
    <definedName name="indf">#REF!</definedName>
    <definedName name="indf_15">"$#REF!.$#REF!$#REF!"</definedName>
    <definedName name="indf_3">"$#REF!.$#REF!$#REF!"</definedName>
    <definedName name="indf_4">#REF!</definedName>
    <definedName name="indf_5">NA()</definedName>
    <definedName name="indf_6">#REF!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u">#REF!</definedName>
    <definedName name="InfoDialog">"Dialogfeldrahmen 1"</definedName>
    <definedName name="infr_old_budget" hidden="1">#REF!</definedName>
    <definedName name="INFRASTRUCTURE_ENTRY">#REF!</definedName>
    <definedName name="ING" hidden="1">{#N/A,#N/A,TRUE,"Front";#N/A,#N/A,TRUE,"Simple Letter";#N/A,#N/A,TRUE,"Inside";#N/A,#N/A,TRUE,"Contents";#N/A,#N/A,TRUE,"Basis";#N/A,#N/A,TRUE,"Inclusions";#N/A,#N/A,TRUE,"Exclusions";#N/A,#N/A,TRUE,"Areas";#N/A,#N/A,TRUE,"Summary";#N/A,#N/A,TRUE,"Detail"}</definedName>
    <definedName name="InitialUse">0</definedName>
    <definedName name="INQTY">#N/A</definedName>
    <definedName name="INR_Conv">#REF!</definedName>
    <definedName name="insert_rows_1_1">NA()</definedName>
    <definedName name="insert_rows_1_2">NA()</definedName>
    <definedName name="insert_rows_1_3">NA()</definedName>
    <definedName name="insert_rows_1_5">NA()</definedName>
    <definedName name="insert_rows_1_6">NA()</definedName>
    <definedName name="insertplate_and_exp_joint">#REF!</definedName>
    <definedName name="insertplate_and_exp_joint_15">"$#REF!.$#REF!$#REF!"</definedName>
    <definedName name="insertplate_and_exp_joint_3">"$#REF!.$#REF!$#REF!"</definedName>
    <definedName name="insertplate_and_exp_joint_4">"$#REF!.$#REF!$#REF!"</definedName>
    <definedName name="insertplate_and_exp_joint_5">NA()</definedName>
    <definedName name="insertplate_and_exp_joint_6">"$#REF!.$#REF!$#REF!"</definedName>
    <definedName name="inspbg">#REF!</definedName>
    <definedName name="inspbgcharges">#REF!</definedName>
    <definedName name="InstBillingMethod">#REF!</definedName>
    <definedName name="InstBillingMethod_6">#REF!</definedName>
    <definedName name="InstCap" hidden="1">#REF!,#REF!,#REF!,#REF!,#REF!,#REF!,#REF!,#REF!</definedName>
    <definedName name="instf_15">"$#REF!.$#REF!$#REF!"</definedName>
    <definedName name="instf_3">"$#REF!.$#REF!$#REF!"</definedName>
    <definedName name="instf_4">"$#REF!.$#REF!$#REF!"</definedName>
    <definedName name="instf_5">NA()</definedName>
    <definedName name="instf_6">"$#REF!.$#REF!$#REF!"</definedName>
    <definedName name="Insulation">#REF!</definedName>
    <definedName name="Int">#REF!</definedName>
    <definedName name="Interest_Rate">#REF!</definedName>
    <definedName name="Interior">#REF!</definedName>
    <definedName name="Interior_12">"'file://Agni/SKYTOP%20BUILDERS/Documents%20and%20Settings/anpcpmc.ANPRAKASHPMC/Desktop/rab%25252525252525252525252525252525252525252525252525252525252525252525252525252525252525252525252525252525252525252525233%20final.xls'#$''.$A$146:$H$506"</definedName>
    <definedName name="Internal" hidden="1">{#N/A,#N/A,TRUE,"Front";#N/A,#N/A,TRUE,"Simple Letter";#N/A,#N/A,TRUE,"Inside";#N/A,#N/A,TRUE,"Contents";#N/A,#N/A,TRUE,"Basis";#N/A,#N/A,TRUE,"Inclusions";#N/A,#N/A,TRUE,"Exclusions";#N/A,#N/A,TRUE,"Areas";#N/A,#N/A,TRUE,"Summary";#N/A,#N/A,TRUE,"Detail"}</definedName>
    <definedName name="INV_SCH">#REF!</definedName>
    <definedName name="invert">#REF!</definedName>
    <definedName name="investment">#REF!</definedName>
    <definedName name="Invoice_CO">#REF!</definedName>
    <definedName name="Invvalue">#REF!</definedName>
    <definedName name="io" hidden="1">{#N/A,#N/A,TRUE,"Front";#N/A,#N/A,TRUE,"Simple Letter";#N/A,#N/A,TRUE,"Inside";#N/A,#N/A,TRUE,"Contents";#N/A,#N/A,TRUE,"Basis";#N/A,#N/A,TRUE,"Inclusions";#N/A,#N/A,TRUE,"Exclusions";#N/A,#N/A,TRUE,"Areas";#N/A,#N/A,TRUE,"Summary";#N/A,#N/A,TRUE,"Detail"}</definedName>
    <definedName name="iocl">#REF!</definedName>
    <definedName name="ioio">#REF!</definedName>
    <definedName name="ioioioo">#REF!</definedName>
    <definedName name="iop">#REF!</definedName>
    <definedName name="iosdugbouiv">#REF!</definedName>
    <definedName name="ipu">#REF!</definedName>
    <definedName name="ipu___0">#REF!</definedName>
    <definedName name="ipu___0_1">NA()</definedName>
    <definedName name="ipu___0_2">NA()</definedName>
    <definedName name="ipu___0_3">NA()</definedName>
    <definedName name="ipu___0_5">NA()</definedName>
    <definedName name="ipu___13">#REF!</definedName>
    <definedName name="ipu___13_1">NA()</definedName>
    <definedName name="ipu___13_2">NA()</definedName>
    <definedName name="ipu___13_3">NA()</definedName>
    <definedName name="ipu___13_5">NA()</definedName>
    <definedName name="ipu_1">NA()</definedName>
    <definedName name="ipu_2">NA()</definedName>
    <definedName name="ipu_3">NA()</definedName>
    <definedName name="ipu_5">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38987.6875462963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i">#REF!</definedName>
    <definedName name="iris">#REF!</definedName>
    <definedName name="Is">#REF!</definedName>
    <definedName name="Is_1">NA()</definedName>
    <definedName name="Is_2">NA()</definedName>
    <definedName name="Is_3">NA()</definedName>
    <definedName name="Is_5">NA()</definedName>
    <definedName name="isec12">#REF!</definedName>
    <definedName name="ISEC22">#REF!</definedName>
    <definedName name="ISEC7">#REF!</definedName>
    <definedName name="isec71">#REF!</definedName>
    <definedName name="ISEC72">#REF!</definedName>
    <definedName name="ISEC77">#REF!</definedName>
    <definedName name="ISEC78">#REF!</definedName>
    <definedName name="isec8">#REF!</definedName>
    <definedName name="IT">#REF!</definedName>
    <definedName name="IT_1">#REF!</definedName>
    <definedName name="IT_10">#REF!</definedName>
    <definedName name="IT_11">#REF!</definedName>
    <definedName name="IT_12">#REF!</definedName>
    <definedName name="IT_20">#REF!</definedName>
    <definedName name="IT_21">#REF!</definedName>
    <definedName name="IT_24">#REF!</definedName>
    <definedName name="IT_25">#REF!</definedName>
    <definedName name="IT_26">#REF!</definedName>
    <definedName name="IT_27">#REF!</definedName>
    <definedName name="IT_28">#REF!</definedName>
    <definedName name="IT_29">#REF!</definedName>
    <definedName name="IT_30">#REF!</definedName>
    <definedName name="IT_31">#REF!</definedName>
    <definedName name="IT_32">#REF!</definedName>
    <definedName name="IT_33">#REF!</definedName>
    <definedName name="IT_34">#REF!</definedName>
    <definedName name="IT_35">#REF!</definedName>
    <definedName name="IT_36">#REF!</definedName>
    <definedName name="IT_37">#REF!</definedName>
    <definedName name="IT_38">#REF!</definedName>
    <definedName name="IT_39">#REF!</definedName>
    <definedName name="IT_4">#REF!</definedName>
    <definedName name="IT_40">#REF!</definedName>
    <definedName name="IT_41">#REF!</definedName>
    <definedName name="IT_42">#REF!</definedName>
    <definedName name="IT_43">#REF!</definedName>
    <definedName name="IT_44">#REF!</definedName>
    <definedName name="IT_45">#REF!</definedName>
    <definedName name="IT_46">#REF!</definedName>
    <definedName name="IT_47">#REF!</definedName>
    <definedName name="IT_48">#REF!</definedName>
    <definedName name="IT_49">#REF!</definedName>
    <definedName name="IT_50">#REF!</definedName>
    <definedName name="IT_51">#REF!</definedName>
    <definedName name="IT_52">#REF!</definedName>
    <definedName name="IT_53">#REF!</definedName>
    <definedName name="IT_55">#REF!</definedName>
    <definedName name="IT_56">#REF!</definedName>
    <definedName name="IT_57">#REF!</definedName>
    <definedName name="IT_61">#REF!</definedName>
    <definedName name="IT_62">#REF!</definedName>
    <definedName name="IT_63">#REF!</definedName>
    <definedName name="IT_64">#REF!</definedName>
    <definedName name="IT_65">#REF!</definedName>
    <definedName name="IT_66">#REF!</definedName>
    <definedName name="IT_8">#REF!</definedName>
    <definedName name="IT_9">#REF!</definedName>
    <definedName name="itb">#N/A</definedName>
    <definedName name="ItemNum">#REF!</definedName>
    <definedName name="iu" hidden="1">{#N/A,#N/A,TRUE,"Front";#N/A,#N/A,TRUE,"Simple Letter";#N/A,#N/A,TRUE,"Inside";#N/A,#N/A,TRUE,"Contents";#N/A,#N/A,TRUE,"Basis";#N/A,#N/A,TRUE,"Inclusions";#N/A,#N/A,TRUE,"Exclusions";#N/A,#N/A,TRUE,"Areas";#N/A,#N/A,TRUE,"Summary";#N/A,#N/A,TRUE,"Detail"}</definedName>
    <definedName name="iv">#REF!</definedName>
    <definedName name="J">#REF!</definedName>
    <definedName name="J_1">NA()</definedName>
    <definedName name="J_1_1">NA()</definedName>
    <definedName name="J_15">"$#REF!.$#REF!$#REF!"</definedName>
    <definedName name="J_2">NA()</definedName>
    <definedName name="J_2_1">NA()</definedName>
    <definedName name="J_3">NA()</definedName>
    <definedName name="J_3_1">"$#REF!.$#REF!$#REF!"</definedName>
    <definedName name="J_4">"$#REF!.$#REF!$#REF!"</definedName>
    <definedName name="J_5">NA()</definedName>
    <definedName name="J_6">"$#REF!.$#REF!$#REF!"</definedName>
    <definedName name="jaghsdjas" hidden="1">#REF!</definedName>
    <definedName name="jai" hidden="1">{#N/A,#N/A,TRUE,"Front";#N/A,#N/A,TRUE,"Simple Letter";#N/A,#N/A,TRUE,"Inside";#N/A,#N/A,TRUE,"Contents";#N/A,#N/A,TRUE,"Basis";#N/A,#N/A,TRUE,"Inclusions";#N/A,#N/A,TRUE,"Exclusions";#N/A,#N/A,TRUE,"Areas";#N/A,#N/A,TRUE,"Summary";#N/A,#N/A,TRUE,"Detail"}</definedName>
    <definedName name="jas">#REF!</definedName>
    <definedName name="jaspre">#REF!</definedName>
    <definedName name="jawe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we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y" hidden="1">{#N/A,#N/A,FALSE,"gc (2)"}</definedName>
    <definedName name="jbhjb">#REF!</definedName>
    <definedName name="jbvhbvh">#REF!</definedName>
    <definedName name="jc" hidden="1">{#N/A,#N/A,TRUE,"Flooring "}</definedName>
    <definedName name="JEJS">#REF!</definedName>
    <definedName name="JEJS___0">#REF!</definedName>
    <definedName name="JEJS___0_1">NA()</definedName>
    <definedName name="JEJS___0_2">NA()</definedName>
    <definedName name="JEJS___0_3">NA()</definedName>
    <definedName name="JEJS___0_5">NA()</definedName>
    <definedName name="JEJS___11">#REF!</definedName>
    <definedName name="JEJS___11_1">NA()</definedName>
    <definedName name="JEJS___11_2">NA()</definedName>
    <definedName name="JEJS___11_3">NA()</definedName>
    <definedName name="JEJS___11_5">NA()</definedName>
    <definedName name="JEJS___12">#REF!</definedName>
    <definedName name="JEJS___12_1">NA()</definedName>
    <definedName name="JEJS___12_2">NA()</definedName>
    <definedName name="JEJS___12_3">NA()</definedName>
    <definedName name="JEJS___12_5">NA()</definedName>
    <definedName name="JEJS___13">#REF!</definedName>
    <definedName name="JEJS___13_1">NA()</definedName>
    <definedName name="JEJS___13_2">NA()</definedName>
    <definedName name="JEJS___13_3">NA()</definedName>
    <definedName name="JEJS___13_5">NA()</definedName>
    <definedName name="JEJS___4">#REF!</definedName>
    <definedName name="JEJS___4_1">NA()</definedName>
    <definedName name="JEJS___4_2">NA()</definedName>
    <definedName name="JEJS___4_3">NA()</definedName>
    <definedName name="JEJS___4_5">NA()</definedName>
    <definedName name="JEJS_1">NA()</definedName>
    <definedName name="JEJS_2">NA()</definedName>
    <definedName name="JEJS_3">NA()</definedName>
    <definedName name="JEJS_5">NA()</definedName>
    <definedName name="jeri">#REF!</definedName>
    <definedName name="jgjk">#REF!</definedName>
    <definedName name="jgk">#N/A</definedName>
    <definedName name="jh">#REF!</definedName>
    <definedName name="jhdjhd" hidden="1">{"Bsheet",#N/A,FALSE,"Details";"P&amp;l",#N/A,FALSE,"Details";"Schedule",#N/A,FALSE,"Details";"Details",#N/A,FALSE,"Details";"Annexue II",#N/A,FALSE,"Details";"Branch Bs",#N/A,FALSE,"Details";"Branch PL",#N/A,FALSE,"Details"}</definedName>
    <definedName name="JHGJGFF" hidden="1">{#N/A,#N/A,TRUE,"Front";#N/A,#N/A,TRUE,"Simple Letter";#N/A,#N/A,TRUE,"Inside";#N/A,#N/A,TRUE,"Contents";#N/A,#N/A,TRUE,"Basis";#N/A,#N/A,TRUE,"Inclusions";#N/A,#N/A,TRUE,"Exclusions";#N/A,#N/A,TRUE,"Areas";#N/A,#N/A,TRUE,"Summary";#N/A,#N/A,TRUE,"Detail"}</definedName>
    <definedName name="JHK">#REF!</definedName>
    <definedName name="jhy">#REF!</definedName>
    <definedName name="jj">#REF!</definedName>
    <definedName name="JJFHJFGFF" hidden="1">{#N/A,#N/A,TRUE,"Front";#N/A,#N/A,TRUE,"Simple Letter";#N/A,#N/A,TRUE,"Inside";#N/A,#N/A,TRUE,"Contents";#N/A,#N/A,TRUE,"Basis";#N/A,#N/A,TRUE,"Inclusions";#N/A,#N/A,TRUE,"Exclusions";#N/A,#N/A,TRUE,"Areas";#N/A,#N/A,TRUE,"Summary";#N/A,#N/A,TRUE,"Detail"}</definedName>
    <definedName name="JJJ">#REF!</definedName>
    <definedName name="jjjjjjjjjj">#REF!</definedName>
    <definedName name="jkjkjkj">#REF!</definedName>
    <definedName name="JKK">#REF!</definedName>
    <definedName name="jkkkj" hidden="1">#REF!</definedName>
    <definedName name="jku">#N/A</definedName>
    <definedName name="jlhgfdsa">#REF!</definedName>
    <definedName name="job">#REF!</definedName>
    <definedName name="job.no" hidden="1">#REF!</definedName>
    <definedName name="job___0">#REF!</definedName>
    <definedName name="job___0_1">NA()</definedName>
    <definedName name="job___0_2">NA()</definedName>
    <definedName name="job___0_3">NA()</definedName>
    <definedName name="job___0_5">NA()</definedName>
    <definedName name="job___11">#REF!</definedName>
    <definedName name="job___11_1">NA()</definedName>
    <definedName name="job___11_2">NA()</definedName>
    <definedName name="job___11_3">NA()</definedName>
    <definedName name="job___11_5">NA()</definedName>
    <definedName name="job___12">#REF!</definedName>
    <definedName name="job___12_1">NA()</definedName>
    <definedName name="job___12_2">NA()</definedName>
    <definedName name="job___12_3">NA()</definedName>
    <definedName name="job___12_5">NA()</definedName>
    <definedName name="job_1">NA()</definedName>
    <definedName name="job_2">NA()</definedName>
    <definedName name="job_3">NA()</definedName>
    <definedName name="job_5">NA()</definedName>
    <definedName name="JobID">#REF!</definedName>
    <definedName name="JobID_1">NA()</definedName>
    <definedName name="JobID_10">#REF!</definedName>
    <definedName name="JobID_11">#REF!</definedName>
    <definedName name="JobID_12">#REF!</definedName>
    <definedName name="JobID_2">NA()</definedName>
    <definedName name="JobID_20">#REF!</definedName>
    <definedName name="JobID_21">#REF!</definedName>
    <definedName name="JobID_24">#REF!</definedName>
    <definedName name="JobID_25">#REF!</definedName>
    <definedName name="JobID_26">#REF!</definedName>
    <definedName name="JobID_27">#REF!</definedName>
    <definedName name="JobID_28">#REF!</definedName>
    <definedName name="JobID_29">#REF!</definedName>
    <definedName name="JobID_3">NA()</definedName>
    <definedName name="JobID_30">#REF!</definedName>
    <definedName name="JobID_31">#REF!</definedName>
    <definedName name="JobID_32">#REF!</definedName>
    <definedName name="JobID_33">#REF!</definedName>
    <definedName name="JobID_34">#REF!</definedName>
    <definedName name="JobID_35">#REF!</definedName>
    <definedName name="JobID_36">#REF!</definedName>
    <definedName name="JobID_37">#REF!</definedName>
    <definedName name="JobID_38">#REF!</definedName>
    <definedName name="JobID_39">#REF!</definedName>
    <definedName name="JobID_40">#REF!</definedName>
    <definedName name="JobID_41">#REF!</definedName>
    <definedName name="JobID_42">#REF!</definedName>
    <definedName name="JobID_43">#REF!</definedName>
    <definedName name="JobID_44">#REF!</definedName>
    <definedName name="JobID_45">#REF!</definedName>
    <definedName name="JobID_46">#REF!</definedName>
    <definedName name="JobID_47">#REF!</definedName>
    <definedName name="JobID_48">#REF!</definedName>
    <definedName name="JobID_49">#REF!</definedName>
    <definedName name="JobID_5">NA()</definedName>
    <definedName name="JobID_50">#REF!</definedName>
    <definedName name="JobID_51">#REF!</definedName>
    <definedName name="JobID_52">#REF!</definedName>
    <definedName name="JobID_53">#REF!</definedName>
    <definedName name="JobID_55">#REF!</definedName>
    <definedName name="JobID_56">#REF!</definedName>
    <definedName name="JobID_57">#REF!</definedName>
    <definedName name="JobID_61">#REF!</definedName>
    <definedName name="JobID_62">#REF!</definedName>
    <definedName name="JobID_63">#REF!</definedName>
    <definedName name="JobID_64">#REF!</definedName>
    <definedName name="JobID_65">#REF!</definedName>
    <definedName name="JobID_66">#REF!</definedName>
    <definedName name="JobID_8">#REF!</definedName>
    <definedName name="JobID_9">#REF!</definedName>
    <definedName name="JobName">#REF!</definedName>
    <definedName name="JobNo">#REF!</definedName>
    <definedName name="Jobtypes_3_5">NA()</definedName>
    <definedName name="Jobtypes_5">NA()</definedName>
    <definedName name="johnson1">#REF!</definedName>
    <definedName name="joiioiop"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T" hidden="1">{#N/A,#N/A,TRUE,"Flooring "}</definedName>
    <definedName name="ju" hidden="1">{#N/A,#N/A,TRUE,"Front";#N/A,#N/A,TRUE,"Simple Letter";#N/A,#N/A,TRUE,"Inside";#N/A,#N/A,TRUE,"Contents";#N/A,#N/A,TRUE,"Basis";#N/A,#N/A,TRUE,"Inclusions";#N/A,#N/A,TRUE,"Exclusions";#N/A,#N/A,TRUE,"Areas";#N/A,#N/A,TRUE,"Summary";#N/A,#N/A,TRUE,"Detail"}</definedName>
    <definedName name="juhuhk" hidden="1">{#N/A,#N/A,FALSE,"abs";#N/A,#N/A,FALSE,"Annex-I";#N/A,#N/A,FALSE,"Annex-II";#N/A,#N/A,FALSE,"Annex-III";#N/A,#N/A,FALSE,"Annex-IV";#N/A,#N/A,FALSE,"Annex-V";#N/A,#N/A,FALSE,"Annex-VI"}</definedName>
    <definedName name="jui">#REF!</definedName>
    <definedName name="june">#REF!</definedName>
    <definedName name="june_15">"$#REF!.$#REF!$#REF!"</definedName>
    <definedName name="june_3">"$#REF!.$#REF!$#REF!"</definedName>
    <definedName name="june_4">"$#REF!.$#REF!$#REF!"</definedName>
    <definedName name="june_5">NA()</definedName>
    <definedName name="june_6">"$#REF!.$#REF!$#REF!"</definedName>
    <definedName name="JWM" hidden="1">{#N/A,#N/A,TRUE,"Front";#N/A,#N/A,TRUE,"Simple Letter";#N/A,#N/A,TRUE,"Inside";#N/A,#N/A,TRUE,"Contents";#N/A,#N/A,TRUE,"Basis";#N/A,#N/A,TRUE,"Inclusions";#N/A,#N/A,TRUE,"Exclusions";#N/A,#N/A,TRUE,"Areas";#N/A,#N/A,TRUE,"Summary";#N/A,#N/A,TRUE,"Detail"}</definedName>
    <definedName name="K">#REF!</definedName>
    <definedName name="K___0">#REF!</definedName>
    <definedName name="K___0_1">NA()</definedName>
    <definedName name="K___0_2">NA()</definedName>
    <definedName name="K___0_3">NA()</definedName>
    <definedName name="K___0_5">NA()</definedName>
    <definedName name="K___13">#REF!</definedName>
    <definedName name="K___13_1">NA()</definedName>
    <definedName name="K___13_2">NA()</definedName>
    <definedName name="K___13_3">NA()</definedName>
    <definedName name="K___13_5">NA()</definedName>
    <definedName name="K_1">NA()</definedName>
    <definedName name="K_2">NA()</definedName>
    <definedName name="K_3">NA()</definedName>
    <definedName name="K_5">NA()</definedName>
    <definedName name="k1_table">#REF!</definedName>
    <definedName name="k1_table_1">#REF!</definedName>
    <definedName name="k1_table_10">#REF!</definedName>
    <definedName name="k1_table_11">#REF!</definedName>
    <definedName name="k1_table_12">#REF!</definedName>
    <definedName name="k1_table_20">#REF!</definedName>
    <definedName name="k1_table_21">#REF!</definedName>
    <definedName name="k1_table_24">#REF!</definedName>
    <definedName name="k1_table_25">#REF!</definedName>
    <definedName name="k1_table_26">#REF!</definedName>
    <definedName name="k1_table_27">#REF!</definedName>
    <definedName name="k1_table_28">#REF!</definedName>
    <definedName name="k1_table_29">#REF!</definedName>
    <definedName name="k1_table_30">#REF!</definedName>
    <definedName name="k1_table_31">#REF!</definedName>
    <definedName name="k1_table_32">#REF!</definedName>
    <definedName name="k1_table_33">#REF!</definedName>
    <definedName name="k1_table_34">#REF!</definedName>
    <definedName name="k1_table_35">#REF!</definedName>
    <definedName name="k1_table_36">#REF!</definedName>
    <definedName name="k1_table_37">#REF!</definedName>
    <definedName name="k1_table_38">#REF!</definedName>
    <definedName name="k1_table_39">#REF!</definedName>
    <definedName name="k1_table_40">#REF!</definedName>
    <definedName name="k1_table_41">#REF!</definedName>
    <definedName name="k1_table_42">#REF!</definedName>
    <definedName name="k1_table_43">#REF!</definedName>
    <definedName name="k1_table_44">#REF!</definedName>
    <definedName name="k1_table_45">#REF!</definedName>
    <definedName name="k1_table_46">#REF!</definedName>
    <definedName name="k1_table_47">#REF!</definedName>
    <definedName name="k1_table_48">#REF!</definedName>
    <definedName name="k1_table_49">#REF!</definedName>
    <definedName name="k1_table_50">#REF!</definedName>
    <definedName name="k1_table_51">#REF!</definedName>
    <definedName name="k1_table_52">#REF!</definedName>
    <definedName name="k1_table_53">#REF!</definedName>
    <definedName name="k1_table_55">#REF!</definedName>
    <definedName name="k1_table_56">#REF!</definedName>
    <definedName name="k1_table_57">#REF!</definedName>
    <definedName name="k1_table_61">#REF!</definedName>
    <definedName name="k1_table_62">#REF!</definedName>
    <definedName name="k1_table_63">#REF!</definedName>
    <definedName name="k1_table_64">#REF!</definedName>
    <definedName name="k1_table_65">#REF!</definedName>
    <definedName name="k1_table_66">#REF!</definedName>
    <definedName name="k1_table_8">#REF!</definedName>
    <definedName name="k1_table_9">#REF!</definedName>
    <definedName name="ka">#REF!</definedName>
    <definedName name="ka_1">NA()</definedName>
    <definedName name="ka_2">NA()</definedName>
    <definedName name="ka_3">NA()</definedName>
    <definedName name="ka_5">NA()</definedName>
    <definedName name="kadam" hidden="1">{#N/A,#N/A,TRUE,"Front";#N/A,#N/A,TRUE,"Simple Letter";#N/A,#N/A,TRUE,"Inside";#N/A,#N/A,TRUE,"Contents";#N/A,#N/A,TRUE,"Basis";#N/A,#N/A,TRUE,"Inclusions";#N/A,#N/A,TRUE,"Exclusions";#N/A,#N/A,TRUE,"Areas";#N/A,#N/A,TRUE,"Summary";#N/A,#N/A,TRUE,"Detail"}</definedName>
    <definedName name="kal">#REF!</definedName>
    <definedName name="kal_1">NA()</definedName>
    <definedName name="kal_2">NA()</definedName>
    <definedName name="kal_3">NA()</definedName>
    <definedName name="kal_5">NA()</definedName>
    <definedName name="kalk1" hidden="1">{"Kalk_druck",#N/A,FALSE,"Kalk";#N/A,#N/A,FALSE,"Risiken";"AllgKost_Druck",#N/A,FALSE,"AllgKost";"KompKost_Druck",#N/A,FALSE,"KompKost"}</definedName>
    <definedName name="kalk3" hidden="1">{"Kalk_druck",#N/A,FALSE,"Kalk";#N/A,#N/A,FALSE,"Risiken";"AllgKost_Druck",#N/A,FALSE,"AllgKost";"KompKost_Druck",#N/A,FALSE,"KompKost"}</definedName>
    <definedName name="kan">#REF!</definedName>
    <definedName name="KARNA">#REF!</definedName>
    <definedName name="KARNA_1">NA()</definedName>
    <definedName name="KARNA_2">NA()</definedName>
    <definedName name="KARNA_3">NA()</definedName>
    <definedName name="KARNA_5">NA()</definedName>
    <definedName name="karthick" hidden="1">{#N/A,#N/A,TRUE,"Front";#N/A,#N/A,TRUE,"Simple Letter";#N/A,#N/A,TRUE,"Inside";#N/A,#N/A,TRUE,"Contents";#N/A,#N/A,TRUE,"Basis";#N/A,#N/A,TRUE,"Inclusions";#N/A,#N/A,TRUE,"Exclusions";#N/A,#N/A,TRUE,"Areas";#N/A,#N/A,TRUE,"Summary";#N/A,#N/A,TRUE,"Detail"}</definedName>
    <definedName name="kasdfjhd" hidden="1">{"'Typical Costs Estimates'!$C$158:$H$161"}</definedName>
    <definedName name="Kavi" hidden="1">{#N/A,#N/A,TRUE,"Front";#N/A,#N/A,TRUE,"Simple Letter";#N/A,#N/A,TRUE,"Inside";#N/A,#N/A,TRUE,"Contents";#N/A,#N/A,TRUE,"Basis";#N/A,#N/A,TRUE,"Inclusions";#N/A,#N/A,TRUE,"Exclusions";#N/A,#N/A,TRUE,"Areas";#N/A,#N/A,TRUE,"Summary";#N/A,#N/A,TRUE,"Detail"}</definedName>
    <definedName name="KAVITHA">"$#REF!.$#REF!$#REF!"</definedName>
    <definedName name="KAVITHA_5">"'file:///g:/ra%20bill%20corrected%20at%20home/ra%20bill%20%252525252525252525252525252525252525252525252525252525252525252525252525252525252525252525252523%2010%20corrected%20(%20r%20p%20)/ibis%20hotel%20project-ra%20bills/ibis-ra-08(blk%20submit).xls'#$'"</definedName>
    <definedName name="KAVITHA_6">"'file:///g:/ra%20bill%20corrected%20at%20home/ra%20bill%20%252525252525252525252525252525252525252525252525252525252525252525252525252525252525252525252523%2010%20corrected%20(%20r%20p%20)/ibis%20hotel%20project-ra%20bills/ibis-ra-08(blk%20submit).xls'#$'"</definedName>
    <definedName name="kb">#REF!</definedName>
    <definedName name="kb_1">NA()</definedName>
    <definedName name="kb_2">NA()</definedName>
    <definedName name="kb_3">NA()</definedName>
    <definedName name="kb_5">NA()</definedName>
    <definedName name="kc">#REF!</definedName>
    <definedName name="kc_1">NA()</definedName>
    <definedName name="kc_2">NA()</definedName>
    <definedName name="kc_3">NA()</definedName>
    <definedName name="kc_5">NA()</definedName>
    <definedName name="KC139_1">#REF!</definedName>
    <definedName name="KC139_10">"'file:///media/MIT%20HOSTEL/Report%20for%20june10/RA%20BILL%2003%20As%2001/RA%20BILL%20NO%2004/RA%20BILL%2003%20As%2001/RA%20BILL%20NO%201%20Certified/DOCUME~1/gshankar/LOCALS~1/Temp/Rar$DI95.726/Food%20Court/Rate,Variation%20&amp;%20stocks/Rough-31.12.05.xls"</definedName>
    <definedName name="KC139_11">"'file:///C:/DOCUME~1/gshankar/LOCALS~1/Temp/Rar$DI95.726/Food%20Court/Rate,Variation%20&amp;%20stocks/Rough-31.12.05.xls'#$''.$A$1"</definedName>
    <definedName name="KC139_12">"'file:///media/MIT%20HOSTEL/Report%20for%20june10/RA%20BILL%2003%20As%2001/RA%20BILL%20NO%2004/DOCUME~1/gshankar/LOCALS~1/Temp/Rar$DI95.726/Food%20Court/Rate,Variation%20&amp;%20stocks/Rough-31.12.05.xls'#$''.$A$1"</definedName>
    <definedName name="KC139_2">"'file:///media/MIT%20HOSTEL/Report%20for%20june10/RA%20BILL%2003%20As%2001/RA%20BILL%20NO%2004/RA%20BILL%2003%20As%2001/RA%20BILL%20NO%201%20Certified/DOCUME~1/gshankar/LOCALS~1/Temp/Rar$DI95.726/Food%20Court/Rate,Variation%20&amp;%20stocks/Rough-31.12.05.xls"</definedName>
    <definedName name="KC139_20">#REF!</definedName>
    <definedName name="KC139_21">#REF!</definedName>
    <definedName name="KC139_24">#REF!</definedName>
    <definedName name="KC139_25">#REF!</definedName>
    <definedName name="KC139_26">#REF!</definedName>
    <definedName name="KC139_27">#REF!</definedName>
    <definedName name="KC139_28">#REF!</definedName>
    <definedName name="KC139_29">#REF!</definedName>
    <definedName name="KC139_3">"'file:///C:/DOCUME~1/gshankar/LOCALS~1/Temp/Rar$DI95.726/Food%20Court/Rate,Variation%20&amp;%20stocks/Rough-31.12.05.xls'#$''.$A$1"</definedName>
    <definedName name="KC139_30">#REF!</definedName>
    <definedName name="KC139_31">#REF!</definedName>
    <definedName name="KC139_32">#REF!</definedName>
    <definedName name="KC139_33">#REF!</definedName>
    <definedName name="KC139_34">#REF!</definedName>
    <definedName name="KC139_35">#REF!</definedName>
    <definedName name="KC139_36">#REF!</definedName>
    <definedName name="KC139_37">#REF!</definedName>
    <definedName name="KC139_38">#REF!</definedName>
    <definedName name="KC139_39">#REF!</definedName>
    <definedName name="KC139_4">"'file:///media/MIT%20HOSTEL/Report%20for%20june10/RA%20BILL%2003%20As%2001/RA%20BILL%20NO%2004/DOCUME~1/gshankar/LOCALS~1/Temp/Rar$DI95.726/Food%20Court/Rate,Variation%20&amp;%20stocks/Rough-31.12.05.xls'#$''.$A$1"</definedName>
    <definedName name="KC139_40">#REF!</definedName>
    <definedName name="KC139_41">#REF!</definedName>
    <definedName name="KC139_42">#REF!</definedName>
    <definedName name="KC139_43">#REF!</definedName>
    <definedName name="KC139_44">#REF!</definedName>
    <definedName name="KC139_45">#REF!</definedName>
    <definedName name="KC139_46">#REF!</definedName>
    <definedName name="KC139_47">#REF!</definedName>
    <definedName name="KC139_48">#REF!</definedName>
    <definedName name="KC139_49">#REF!</definedName>
    <definedName name="KC139_50">#REF!</definedName>
    <definedName name="KC139_51">#REF!</definedName>
    <definedName name="KC139_52">#REF!</definedName>
    <definedName name="KC139_53">#REF!</definedName>
    <definedName name="KC139_55">#REF!</definedName>
    <definedName name="KC139_56">#REF!</definedName>
    <definedName name="KC139_57">#REF!</definedName>
    <definedName name="KC139_61">#REF!</definedName>
    <definedName name="KC139_62">#REF!</definedName>
    <definedName name="KC139_63">#REF!</definedName>
    <definedName name="KC139_64">#REF!</definedName>
    <definedName name="KC139_65">#REF!</definedName>
    <definedName name="KC139_66">#REF!</definedName>
    <definedName name="KC139_8">"'file:///C:/DOCUME~1/gshankar/LOCALS~1/Temp/Rar$DI95.726/Food%20Court/Rate,Variation%20&amp;%20stocks/Rough-31.12.05.xls'#$''.$A$1"</definedName>
    <definedName name="KC139_9">#REF!</definedName>
    <definedName name="kEY_1" hidden="1">#REF!</definedName>
    <definedName name="keys" hidden="1">#REF!</definedName>
    <definedName name="Kh">#REF!</definedName>
    <definedName name="Kh___0">#REF!</definedName>
    <definedName name="Kh___0_1">NA()</definedName>
    <definedName name="Kh___0_2">NA()</definedName>
    <definedName name="Kh___0_3">NA()</definedName>
    <definedName name="Kh___0_5">NA()</definedName>
    <definedName name="Kh___13">#REF!</definedName>
    <definedName name="Kh___13_1">NA()</definedName>
    <definedName name="Kh___13_2">NA()</definedName>
    <definedName name="Kh___13_3">NA()</definedName>
    <definedName name="Kh___13_5">NA()</definedName>
    <definedName name="Kh_1">NA()</definedName>
    <definedName name="Kh_2">NA()</definedName>
    <definedName name="Kh_3">NA()</definedName>
    <definedName name="Kh_5">NA()</definedName>
    <definedName name="khd">#REF!</definedName>
    <definedName name="khf">#REF!</definedName>
    <definedName name="khj" hidden="1">{#N/A,#N/A,TRUE,"Front";#N/A,#N/A,TRUE,"Simple Letter";#N/A,#N/A,TRUE,"Inside";#N/A,#N/A,TRUE,"Contents";#N/A,#N/A,TRUE,"Basis";#N/A,#N/A,TRUE,"Inclusions";#N/A,#N/A,TRUE,"Exclusions";#N/A,#N/A,TRUE,"Areas";#N/A,#N/A,TRUE,"Summary";#N/A,#N/A,TRUE,"Detail"}</definedName>
    <definedName name="Ki">#REF!</definedName>
    <definedName name="Ki___0">#REF!</definedName>
    <definedName name="Ki___0_1">NA()</definedName>
    <definedName name="Ki___0_2">NA()</definedName>
    <definedName name="Ki___0_3">NA()</definedName>
    <definedName name="Ki___0_5">NA()</definedName>
    <definedName name="Ki___13">#REF!</definedName>
    <definedName name="Ki___13_1">NA()</definedName>
    <definedName name="Ki___13_2">NA()</definedName>
    <definedName name="Ki___13_3">NA()</definedName>
    <definedName name="Ki___13_5">NA()</definedName>
    <definedName name="Ki_1">NA()</definedName>
    <definedName name="Ki_2">NA()</definedName>
    <definedName name="Ki_3">NA()</definedName>
    <definedName name="Ki_5">NA()</definedName>
    <definedName name="Ki1___0">#REF!</definedName>
    <definedName name="Ki1___0_1">NA()</definedName>
    <definedName name="Ki1___0_2">NA()</definedName>
    <definedName name="Ki1___0_3">NA()</definedName>
    <definedName name="Ki1___0_5">NA()</definedName>
    <definedName name="Ki1___13">#REF!</definedName>
    <definedName name="Ki1___13_1">NA()</definedName>
    <definedName name="Ki1___13_2">NA()</definedName>
    <definedName name="Ki1___13_3">NA()</definedName>
    <definedName name="Ki1___13_5">NA()</definedName>
    <definedName name="Ki2___0">#REF!</definedName>
    <definedName name="Ki2___0_1">NA()</definedName>
    <definedName name="Ki2___0_2">NA()</definedName>
    <definedName name="Ki2___0_3">NA()</definedName>
    <definedName name="Ki2___0_5">NA()</definedName>
    <definedName name="Ki2___13">#REF!</definedName>
    <definedName name="Ki2___13_1">NA()</definedName>
    <definedName name="Ki2___13_2">NA()</definedName>
    <definedName name="Ki2___13_3">NA()</definedName>
    <definedName name="Ki2___13_5">NA()</definedName>
    <definedName name="Kii">#REF!</definedName>
    <definedName name="Kii___0">#REF!</definedName>
    <definedName name="Kii___0_1">NA()</definedName>
    <definedName name="Kii___0_2">NA()</definedName>
    <definedName name="Kii___0_3">NA()</definedName>
    <definedName name="Kii___0_5">NA()</definedName>
    <definedName name="Kii___13">#REF!</definedName>
    <definedName name="Kii___13_1">NA()</definedName>
    <definedName name="Kii___13_2">NA()</definedName>
    <definedName name="Kii___13_3">NA()</definedName>
    <definedName name="Kii___13_5">NA()</definedName>
    <definedName name="Kii_1">NA()</definedName>
    <definedName name="Kii_2">NA()</definedName>
    <definedName name="Kii_3">NA()</definedName>
    <definedName name="Kii_5">NA()</definedName>
    <definedName name="kil" hidden="1">{#N/A,#N/A,TRUE,"Front";#N/A,#N/A,TRUE,"Simple Letter";#N/A,#N/A,TRUE,"Inside";#N/A,#N/A,TRUE,"Contents";#N/A,#N/A,TRUE,"Basis";#N/A,#N/A,TRUE,"Inclusions";#N/A,#N/A,TRUE,"Exclusions";#N/A,#N/A,TRUE,"Areas";#N/A,#N/A,TRUE,"Summary";#N/A,#N/A,TRUE,"Detail"}</definedName>
    <definedName name="kir" hidden="1">{#N/A,#N/A,TRUE,"Front";#N/A,#N/A,TRUE,"Simple Letter";#N/A,#N/A,TRUE,"Inside";#N/A,#N/A,TRUE,"Contents";#N/A,#N/A,TRUE,"Basis";#N/A,#N/A,TRUE,"Inclusions";#N/A,#N/A,TRUE,"Exclusions";#N/A,#N/A,TRUE,"Areas";#N/A,#N/A,TRUE,"Summary";#N/A,#N/A,TRUE,"Detail"}</definedName>
    <definedName name="kitchendining">#REF!</definedName>
    <definedName name="kj" hidden="1">{#N/A,#N/A,TRUE,"Krycí list"}</definedName>
    <definedName name="KJGLG">#N/A</definedName>
    <definedName name="kjk"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#REF!</definedName>
    <definedName name="kkkj" hidden="1">#REF!</definedName>
    <definedName name="kkkkkkk" hidden="1">{#N/A,#N/A,TRUE,"Krycí list"}</definedName>
    <definedName name="kkp">#REF!</definedName>
    <definedName name="KLDNG" hidden="1">{#N/A,#N/A,TRUE,"Front";#N/A,#N/A,TRUE,"Simple Letter";#N/A,#N/A,TRUE,"Inside";#N/A,#N/A,TRUE,"Contents";#N/A,#N/A,TRUE,"Basis";#N/A,#N/A,TRUE,"Inclusions";#N/A,#N/A,TRUE,"Exclusions";#N/A,#N/A,TRUE,"Areas";#N/A,#N/A,TRUE,"Summary";#N/A,#N/A,TRUE,"Detail"}</definedName>
    <definedName name="kli">#N/A</definedName>
    <definedName name="klk" hidden="1">{"'Bill No. 7'!$A$1:$G$32"}</definedName>
    <definedName name="Km">#REF!</definedName>
    <definedName name="Km___0">#REF!</definedName>
    <definedName name="Km___0_1">NA()</definedName>
    <definedName name="Km___0_2">NA()</definedName>
    <definedName name="Km___0_3">NA()</definedName>
    <definedName name="Km___0_5">NA()</definedName>
    <definedName name="Km___13">#REF!</definedName>
    <definedName name="Km___13_1">NA()</definedName>
    <definedName name="Km___13_2">NA()</definedName>
    <definedName name="Km___13_3">NA()</definedName>
    <definedName name="Km___13_5">NA()</definedName>
    <definedName name="Km_1">NA()</definedName>
    <definedName name="Km_2">NA()</definedName>
    <definedName name="Km_3">NA()</definedName>
    <definedName name="Km_5">NA()</definedName>
    <definedName name="knijnhi">#REF!</definedName>
    <definedName name="Konsortialanteil">#REF!</definedName>
    <definedName name="kp" localSheetId="1"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p_1">{#N/A,#N/A,TRUE,"Front";#N/A,#N/A,TRUE,"Simple Letter";#N/A,#N/A,TRUE,"Inside";#N/A,#N/A,TRUE,"Contents";#N/A,#N/A,TRUE,"Basis";#N/A,#N/A,TRUE,"Inclusions";#N/A,#N/A,TRUE,"Exclusions";#N/A,#N/A,TRUE,"Areas";#N/A,#N/A,TRUE,"Summary";#N/A,#N/A,TRUE,"Detail"}</definedName>
    <definedName name="kp_1_1">{#N/A,#N/A,TRUE,"Front";#N/A,#N/A,TRUE,"Simple Letter";#N/A,#N/A,TRUE,"Inside";#N/A,#N/A,TRUE,"Contents";#N/A,#N/A,TRUE,"Basis";#N/A,#N/A,TRUE,"Inclusions";#N/A,#N/A,TRUE,"Exclusions";#N/A,#N/A,TRUE,"Areas";#N/A,#N/A,TRUE,"Summary";#N/A,#N/A,TRUE,"Detail"}</definedName>
    <definedName name="kp_2">{#N/A,#N/A,TRUE,"Front";#N/A,#N/A,TRUE,"Simple Letter";#N/A,#N/A,TRUE,"Inside";#N/A,#N/A,TRUE,"Contents";#N/A,#N/A,TRUE,"Basis";#N/A,#N/A,TRUE,"Inclusions";#N/A,#N/A,TRUE,"Exclusions";#N/A,#N/A,TRUE,"Areas";#N/A,#N/A,TRUE,"Summary";#N/A,#N/A,TRUE,"Detail"}</definedName>
    <definedName name="kp_2_1">{#N/A,#N/A,TRUE,"Front";#N/A,#N/A,TRUE,"Simple Letter";#N/A,#N/A,TRUE,"Inside";#N/A,#N/A,TRUE,"Contents";#N/A,#N/A,TRUE,"Basis";#N/A,#N/A,TRUE,"Inclusions";#N/A,#N/A,TRUE,"Exclusions";#N/A,#N/A,TRUE,"Areas";#N/A,#N/A,TRUE,"Summary";#N/A,#N/A,TRUE,"Detail"}</definedName>
    <definedName name="kp_3">{#N/A,#N/A,TRUE,"Front";#N/A,#N/A,TRUE,"Simple Letter";#N/A,#N/A,TRUE,"Inside";#N/A,#N/A,TRUE,"Contents";#N/A,#N/A,TRUE,"Basis";#N/A,#N/A,TRUE,"Inclusions";#N/A,#N/A,TRUE,"Exclusions";#N/A,#N/A,TRUE,"Areas";#N/A,#N/A,TRUE,"Summary";#N/A,#N/A,TRUE,"Detail"}</definedName>
    <definedName name="kp_3_1">{#N/A,#N/A,TRUE,"Front";#N/A,#N/A,TRUE,"Simple Letter";#N/A,#N/A,TRUE,"Inside";#N/A,#N/A,TRUE,"Contents";#N/A,#N/A,TRUE,"Basis";#N/A,#N/A,TRUE,"Inclusions";#N/A,#N/A,TRUE,"Exclusions";#N/A,#N/A,TRUE,"Areas";#N/A,#N/A,TRUE,"Summary";#N/A,#N/A,TRUE,"Detail"}</definedName>
    <definedName name="kp1_1">{#N/A,#N/A,TRUE,"Front";#N/A,#N/A,TRUE,"Simple Letter";#N/A,#N/A,TRUE,"Inside";#N/A,#N/A,TRUE,"Contents";#N/A,#N/A,TRUE,"Basis";#N/A,#N/A,TRUE,"Inclusions";#N/A,#N/A,TRUE,"Exclusions";#N/A,#N/A,TRUE,"Areas";#N/A,#N/A,TRUE,"Summary";#N/A,#N/A,TRUE,"Detail"}</definedName>
    <definedName name="kp1_1_1">{#N/A,#N/A,TRUE,"Front";#N/A,#N/A,TRUE,"Simple Letter";#N/A,#N/A,TRUE,"Inside";#N/A,#N/A,TRUE,"Contents";#N/A,#N/A,TRUE,"Basis";#N/A,#N/A,TRUE,"Inclusions";#N/A,#N/A,TRUE,"Exclusions";#N/A,#N/A,TRUE,"Areas";#N/A,#N/A,TRUE,"Summary";#N/A,#N/A,TRUE,"Detail"}</definedName>
    <definedName name="kp1_2">{#N/A,#N/A,TRUE,"Front";#N/A,#N/A,TRUE,"Simple Letter";#N/A,#N/A,TRUE,"Inside";#N/A,#N/A,TRUE,"Contents";#N/A,#N/A,TRUE,"Basis";#N/A,#N/A,TRUE,"Inclusions";#N/A,#N/A,TRUE,"Exclusions";#N/A,#N/A,TRUE,"Areas";#N/A,#N/A,TRUE,"Summary";#N/A,#N/A,TRUE,"Detail"}</definedName>
    <definedName name="kp1_2_1">{#N/A,#N/A,TRUE,"Front";#N/A,#N/A,TRUE,"Simple Letter";#N/A,#N/A,TRUE,"Inside";#N/A,#N/A,TRUE,"Contents";#N/A,#N/A,TRUE,"Basis";#N/A,#N/A,TRUE,"Inclusions";#N/A,#N/A,TRUE,"Exclusions";#N/A,#N/A,TRUE,"Areas";#N/A,#N/A,TRUE,"Summary";#N/A,#N/A,TRUE,"Detail"}</definedName>
    <definedName name="kp1_3">{#N/A,#N/A,TRUE,"Front";#N/A,#N/A,TRUE,"Simple Letter";#N/A,#N/A,TRUE,"Inside";#N/A,#N/A,TRUE,"Contents";#N/A,#N/A,TRUE,"Basis";#N/A,#N/A,TRUE,"Inclusions";#N/A,#N/A,TRUE,"Exclusions";#N/A,#N/A,TRUE,"Areas";#N/A,#N/A,TRUE,"Summary";#N/A,#N/A,TRUE,"Detail"}</definedName>
    <definedName name="kp1_3_1">{#N/A,#N/A,TRUE,"Front";#N/A,#N/A,TRUE,"Simple Letter";#N/A,#N/A,TRUE,"Inside";#N/A,#N/A,TRUE,"Contents";#N/A,#N/A,TRUE,"Basis";#N/A,#N/A,TRUE,"Inclusions";#N/A,#N/A,TRUE,"Exclusions";#N/A,#N/A,TRUE,"Areas";#N/A,#N/A,TRUE,"Summary";#N/A,#N/A,TRUE,"Detail"}</definedName>
    <definedName name="kpl" hidden="1">{#N/A,#N/A,TRUE,"Front";#N/A,#N/A,TRUE,"Simple Letter";#N/A,#N/A,TRUE,"Inside";#N/A,#N/A,TRUE,"Contents";#N/A,#N/A,TRUE,"Basis";#N/A,#N/A,TRUE,"Inclusions";#N/A,#N/A,TRUE,"Exclusions";#N/A,#N/A,TRUE,"Areas";#N/A,#N/A,TRUE,"Summary";#N/A,#N/A,TRUE,"Detail"}</definedName>
    <definedName name="krs" hidden="1">{#N/A,#N/A,TRUE,"Front";#N/A,#N/A,TRUE,"Simple Letter";#N/A,#N/A,TRUE,"Inside";#N/A,#N/A,TRUE,"Contents";#N/A,#N/A,TRUE,"Basis";#N/A,#N/A,TRUE,"Inclusions";#N/A,#N/A,TRUE,"Exclusions";#N/A,#N/A,TRUE,"Areas";#N/A,#N/A,TRUE,"Summary";#N/A,#N/A,TRUE,"Detail"}</definedName>
    <definedName name="Ks">#REF!</definedName>
    <definedName name="Ks___0">#REF!</definedName>
    <definedName name="Ks___0_1">NA()</definedName>
    <definedName name="Ks___0_2">NA()</definedName>
    <definedName name="Ks___0_3">NA()</definedName>
    <definedName name="Ks___0_5">NA()</definedName>
    <definedName name="Ks___13">#REF!</definedName>
    <definedName name="Ks___13_1">NA()</definedName>
    <definedName name="Ks___13_2">NA()</definedName>
    <definedName name="Ks___13_3">NA()</definedName>
    <definedName name="Ks___13_5">NA()</definedName>
    <definedName name="Ks_1">NA()</definedName>
    <definedName name="Ks_2">NA()</definedName>
    <definedName name="Ks_3">NA()</definedName>
    <definedName name="Ks_5">NA()</definedName>
    <definedName name="ksd">#REF!</definedName>
    <definedName name="ksf">#REF!</definedName>
    <definedName name="kskk" hidden="1">{#N/A,#N/A,FALSE,"COVER.XLS";#N/A,#N/A,FALSE,"RACT1.XLS";#N/A,#N/A,FALSE,"RACT2.XLS";#N/A,#N/A,FALSE,"ECCMP";#N/A,#N/A,FALSE,"WELDER.XLS"}</definedName>
    <definedName name="ksnagar_abs">#REF!</definedName>
    <definedName name="ksnagar_meas">#REF!</definedName>
    <definedName name="KUKULE_GANGA_HYDROPOWER_PROJECT_5">NA()</definedName>
    <definedName name="kutty">#N/A</definedName>
    <definedName name="kvs" hidden="1">{#N/A,#N/A,FALSE,"COVER1.XLS ";#N/A,#N/A,FALSE,"RACT1.XLS";#N/A,#N/A,FALSE,"RACT2.XLS";#N/A,#N/A,FALSE,"ECCMP";#N/A,#N/A,FALSE,"WELDER.XLS"}</definedName>
    <definedName name="L">#REF!</definedName>
    <definedName name="L.WALL">#REF!</definedName>
    <definedName name="L___0">#REF!</definedName>
    <definedName name="L___0_1">NA()</definedName>
    <definedName name="L___0_2">NA()</definedName>
    <definedName name="L___0_3">NA()</definedName>
    <definedName name="L___0_5">NA()</definedName>
    <definedName name="L___13">#REF!</definedName>
    <definedName name="L___13_1">NA()</definedName>
    <definedName name="L___13_2">NA()</definedName>
    <definedName name="L___13_3">NA()</definedName>
    <definedName name="L___13_5">NA()</definedName>
    <definedName name="L_1">NA()</definedName>
    <definedName name="L_1_1">NA()</definedName>
    <definedName name="L_15">"$#REF!.$#REF!$#REF!"</definedName>
    <definedName name="L_2">NA()</definedName>
    <definedName name="L_2_1">NA()</definedName>
    <definedName name="L_3">NA()</definedName>
    <definedName name="L_3_1">"$#REF!.$#REF!$#REF!"</definedName>
    <definedName name="L_4">"$#REF!.$#REF!$#REF!"</definedName>
    <definedName name="L_5">NA()</definedName>
    <definedName name="L_6">"$#REF!.$#REF!$#REF!"</definedName>
    <definedName name="la" hidden="1">{#N/A,#N/A,TRUE,"Front";#N/A,#N/A,TRUE,"Simple Letter";#N/A,#N/A,TRUE,"Inside";#N/A,#N/A,TRUE,"Contents";#N/A,#N/A,TRUE,"Basis";#N/A,#N/A,TRUE,"Inclusions";#N/A,#N/A,TRUE,"Exclusions";#N/A,#N/A,TRUE,"Areas";#N/A,#N/A,TRUE,"Summary";#N/A,#N/A,TRUE,"Detail"}</definedName>
    <definedName name="labor">#REF!</definedName>
    <definedName name="Labour">NA()</definedName>
    <definedName name="labourrecon">#REF!</definedName>
    <definedName name="LAbrec">#REF!</definedName>
    <definedName name="ladies">#REF!</definedName>
    <definedName name="lakshmi">#REF!</definedName>
    <definedName name="LAMP">#REF!</definedName>
    <definedName name="LAMP___0">#REF!</definedName>
    <definedName name="LAMP___0_1">NA()</definedName>
    <definedName name="LAMP___0_2">NA()</definedName>
    <definedName name="LAMP___0_3">NA()</definedName>
    <definedName name="LAMP___0_5">NA()</definedName>
    <definedName name="LAMP___13">#REF!</definedName>
    <definedName name="LAMP___13_1">NA()</definedName>
    <definedName name="LAMP___13_2">NA()</definedName>
    <definedName name="LAMP___13_3">NA()</definedName>
    <definedName name="LAMP___13_5">NA()</definedName>
    <definedName name="LAMP_1">NA()</definedName>
    <definedName name="LAMP_2">NA()</definedName>
    <definedName name="LAMP_3">NA()</definedName>
    <definedName name="LAMP_5">NA()</definedName>
    <definedName name="Land_adv">#REF!</definedName>
    <definedName name="landacqcost">#REF!</definedName>
    <definedName name="landscape">#REF!</definedName>
    <definedName name="landscpe">#REF!</definedName>
    <definedName name="LANE" hidden="1">{"Execavation",#N/A,FALSE,"furniture (employer)"}</definedName>
    <definedName name="Last_Row">#N/A</definedName>
    <definedName name="Last_Row_1">NA()</definedName>
    <definedName name="Last_Row_2">NA()</definedName>
    <definedName name="Last_Row_3">#N/A</definedName>
    <definedName name="LAVUUUSR" hidden="1">{#N/A,#N/A,TRUE,"Front";#N/A,#N/A,TRUE,"Simple Letter";#N/A,#N/A,TRUE,"Inside";#N/A,#N/A,TRUE,"Contents";#N/A,#N/A,TRUE,"Basis";#N/A,#N/A,TRUE,"Inclusions";#N/A,#N/A,TRUE,"Exclusions";#N/A,#N/A,TRUE,"Areas";#N/A,#N/A,TRUE,"Summary";#N/A,#N/A,TRUE,"Detail"}</definedName>
    <definedName name="Lc">#REF!</definedName>
    <definedName name="Lc___0">#REF!</definedName>
    <definedName name="Lc___0_1">NA()</definedName>
    <definedName name="Lc___0_2">NA()</definedName>
    <definedName name="Lc___0_3">NA()</definedName>
    <definedName name="Lc___0_5">NA()</definedName>
    <definedName name="Lc___13">#REF!</definedName>
    <definedName name="Lc___13_1">NA()</definedName>
    <definedName name="Lc___13_2">NA()</definedName>
    <definedName name="Lc___13_3">NA()</definedName>
    <definedName name="Lc___13_5">NA()</definedName>
    <definedName name="Lc_1">NA()</definedName>
    <definedName name="LC_1_1">NA()</definedName>
    <definedName name="LC_15">"$#REF!.$#REF!$#REF!"</definedName>
    <definedName name="Lc_2">NA()</definedName>
    <definedName name="LC_2_1">NA()</definedName>
    <definedName name="Lc_3">NA()</definedName>
    <definedName name="LC_3_1">"$#REF!.$#REF!$#REF!"</definedName>
    <definedName name="LC_4">"$#REF!.$#REF!$#REF!"</definedName>
    <definedName name="Lc_5">NA()</definedName>
    <definedName name="LC_6">"$#REF!.$#REF!$#REF!"</definedName>
    <definedName name="LCAR100">#REF!</definedName>
    <definedName name="LCAR100_1">NA()</definedName>
    <definedName name="LCAR100_2">NA()</definedName>
    <definedName name="LCAR100_3">NA()</definedName>
    <definedName name="LCAR100_5">NA()</definedName>
    <definedName name="LDFJGDLFGVDF">#REF!</definedName>
    <definedName name="Lead">#REF!</definedName>
    <definedName name="Lead_1">NA()</definedName>
    <definedName name="Lead_2">NA()</definedName>
    <definedName name="Lead_3">NA()</definedName>
    <definedName name="Lead_5">NA()</definedName>
    <definedName name="leela">#REF!</definedName>
    <definedName name="lef">#REF!</definedName>
    <definedName name="lef_1">NA()</definedName>
    <definedName name="lef_10">#REF!</definedName>
    <definedName name="lef_11">#REF!</definedName>
    <definedName name="lef_12">#REF!</definedName>
    <definedName name="lef_2">NA()</definedName>
    <definedName name="lef_20">#REF!</definedName>
    <definedName name="lef_21">#REF!</definedName>
    <definedName name="lef_24">#REF!</definedName>
    <definedName name="lef_25">#REF!</definedName>
    <definedName name="lef_26">#REF!</definedName>
    <definedName name="lef_27">#REF!</definedName>
    <definedName name="lef_28">#REF!</definedName>
    <definedName name="lef_29">#REF!</definedName>
    <definedName name="lef_3">NA()</definedName>
    <definedName name="lef_30">#REF!</definedName>
    <definedName name="lef_31">#REF!</definedName>
    <definedName name="lef_32">#REF!</definedName>
    <definedName name="lef_33">#REF!</definedName>
    <definedName name="lef_34">#REF!</definedName>
    <definedName name="lef_35">#REF!</definedName>
    <definedName name="lef_36">#REF!</definedName>
    <definedName name="lef_37">#REF!</definedName>
    <definedName name="lef_38">#REF!</definedName>
    <definedName name="lef_39">#REF!</definedName>
    <definedName name="lef_40">#REF!</definedName>
    <definedName name="lef_41">#REF!</definedName>
    <definedName name="lef_42">#REF!</definedName>
    <definedName name="lef_43">#REF!</definedName>
    <definedName name="lef_44">#REF!</definedName>
    <definedName name="lef_45">#REF!</definedName>
    <definedName name="lef_46">#REF!</definedName>
    <definedName name="lef_47">#REF!</definedName>
    <definedName name="lef_48">#REF!</definedName>
    <definedName name="lef_49">#REF!</definedName>
    <definedName name="lef_5">NA()</definedName>
    <definedName name="lef_50">#REF!</definedName>
    <definedName name="lef_51">#REF!</definedName>
    <definedName name="lef_52">#REF!</definedName>
    <definedName name="lef_53">#REF!</definedName>
    <definedName name="lef_55">#REF!</definedName>
    <definedName name="lef_56">#REF!</definedName>
    <definedName name="lef_57">#REF!</definedName>
    <definedName name="lef_61">#REF!</definedName>
    <definedName name="lef_62">#REF!</definedName>
    <definedName name="lef_63">#REF!</definedName>
    <definedName name="lef_64">#REF!</definedName>
    <definedName name="lef_65">#REF!</definedName>
    <definedName name="lef_66">#REF!</definedName>
    <definedName name="lef_8">#REF!</definedName>
    <definedName name="lef_9">#REF!</definedName>
    <definedName name="lel">#REF!</definedName>
    <definedName name="lel_1">NA()</definedName>
    <definedName name="lel_10">#REF!</definedName>
    <definedName name="lel_11">#REF!</definedName>
    <definedName name="lel_12">#REF!</definedName>
    <definedName name="lel_2">NA()</definedName>
    <definedName name="lel_20">#REF!</definedName>
    <definedName name="lel_21">#REF!</definedName>
    <definedName name="lel_24">#REF!</definedName>
    <definedName name="lel_25">#REF!</definedName>
    <definedName name="lel_26">#REF!</definedName>
    <definedName name="lel_27">#REF!</definedName>
    <definedName name="lel_28">#REF!</definedName>
    <definedName name="lel_29">#REF!</definedName>
    <definedName name="lel_3">NA()</definedName>
    <definedName name="lel_30">#REF!</definedName>
    <definedName name="lel_31">#REF!</definedName>
    <definedName name="lel_32">#REF!</definedName>
    <definedName name="lel_33">#REF!</definedName>
    <definedName name="lel_34">#REF!</definedName>
    <definedName name="lel_35">#REF!</definedName>
    <definedName name="lel_36">#REF!</definedName>
    <definedName name="lel_37">#REF!</definedName>
    <definedName name="lel_38">#REF!</definedName>
    <definedName name="lel_39">#REF!</definedName>
    <definedName name="lel_40">#REF!</definedName>
    <definedName name="lel_41">#REF!</definedName>
    <definedName name="lel_42">#REF!</definedName>
    <definedName name="lel_43">#REF!</definedName>
    <definedName name="lel_44">#REF!</definedName>
    <definedName name="lel_45">#REF!</definedName>
    <definedName name="lel_46">#REF!</definedName>
    <definedName name="lel_47">#REF!</definedName>
    <definedName name="lel_48">#REF!</definedName>
    <definedName name="lel_49">#REF!</definedName>
    <definedName name="lel_5">NA()</definedName>
    <definedName name="lel_50">#REF!</definedName>
    <definedName name="lel_51">#REF!</definedName>
    <definedName name="lel_52">#REF!</definedName>
    <definedName name="lel_53">#REF!</definedName>
    <definedName name="lel_55">#REF!</definedName>
    <definedName name="lel_56">#REF!</definedName>
    <definedName name="lel_57">#REF!</definedName>
    <definedName name="lel_61">#REF!</definedName>
    <definedName name="lel_62">#REF!</definedName>
    <definedName name="lel_63">#REF!</definedName>
    <definedName name="lel_64">#REF!</definedName>
    <definedName name="lel_65">#REF!</definedName>
    <definedName name="lel_66">#REF!</definedName>
    <definedName name="lel_8">#REF!</definedName>
    <definedName name="lel_9">#REF!</definedName>
    <definedName name="len">#REF!</definedName>
    <definedName name="len_1">NA()</definedName>
    <definedName name="len_2">NA()</definedName>
    <definedName name="len_3">NA()</definedName>
    <definedName name="len_5">NA()</definedName>
    <definedName name="Length">#N/A</definedName>
    <definedName name="Length_1">#N/A</definedName>
    <definedName name="levelling">#REF!</definedName>
    <definedName name="LGF" hidden="1">#REF!</definedName>
    <definedName name="library">#REF!</definedName>
    <definedName name="Lift_Lobby">#REF!</definedName>
    <definedName name="Light" hidden="1">{#N/A,#N/A,TRUE,"Krycí list"}</definedName>
    <definedName name="Lighting" hidden="1">{#N/A,#N/A,TRUE,"Krycí list"}</definedName>
    <definedName name="limcount" hidden="1">1</definedName>
    <definedName name="liner" localSheetId="1" hidden="1">{#N/A,#N/A,TRUE,"Front";#N/A,#N/A,TRUE,"Simple Letter";#N/A,#N/A,TRUE,"Inside";#N/A,#N/A,TRUE,"Contents";#N/A,#N/A,TRUE,"Basis";#N/A,#N/A,TRUE,"Inclusions";#N/A,#N/A,TRUE,"Exclusions";#N/A,#N/A,TRUE,"Areas";#N/A,#N/A,TRUE,"Summary";#N/A,#N/A,TRUE,"Detail"}</definedName>
    <definedName name="liner" hidden="1">{#N/A,#N/A,TRUE,"Front";#N/A,#N/A,TRUE,"Simple Letter";#N/A,#N/A,TRUE,"Inside";#N/A,#N/A,TRUE,"Contents";#N/A,#N/A,TRUE,"Basis";#N/A,#N/A,TRUE,"Inclusions";#N/A,#N/A,TRUE,"Exclusions";#N/A,#N/A,TRUE,"Areas";#N/A,#N/A,TRUE,"Summary";#N/A,#N/A,TRUE,"Detail"}</definedName>
    <definedName name="LINTELD.L" hidden="1">{#N/A,#N/A,TRUE,"Flooring "}</definedName>
    <definedName name="list" hidden="1">{#N/A,#N/A,TRUE,"Front";#N/A,#N/A,TRUE,"Simple Letter";#N/A,#N/A,TRUE,"Inside";#N/A,#N/A,TRUE,"Contents";#N/A,#N/A,TRUE,"Basis";#N/A,#N/A,TRUE,"Inclusions";#N/A,#N/A,TRUE,"Exclusions";#N/A,#N/A,TRUE,"Areas";#N/A,#N/A,TRUE,"Summary";#N/A,#N/A,TRUE,"Detail"}</definedName>
    <definedName name="LIT">#REF!</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l" hidden="1">{#N/A,#N/A,TRUE,"Front";#N/A,#N/A,TRUE,"Simple Letter";#N/A,#N/A,TRUE,"Inside";#N/A,#N/A,TRUE,"Contents";#N/A,#N/A,TRUE,"Basis";#N/A,#N/A,TRUE,"Inclusions";#N/A,#N/A,TRUE,"Exclusions";#N/A,#N/A,TRUE,"Areas";#N/A,#N/A,TRUE,"Summary";#N/A,#N/A,TRUE,"Detail"}</definedName>
    <definedName name="LL"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jjdf45">#REF!</definedName>
    <definedName name="lll" hidden="1">{#N/A,#N/A,TRUE,"Front";#N/A,#N/A,TRUE,"Simple Letter";#N/A,#N/A,TRUE,"Inside";#N/A,#N/A,TRUE,"Contents";#N/A,#N/A,TRUE,"Basis";#N/A,#N/A,TRUE,"Inclusions";#N/A,#N/A,TRUE,"Exclusions";#N/A,#N/A,TRUE,"Areas";#N/A,#N/A,TRUE,"Summary";#N/A,#N/A,TRUE,"Detail"}</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o">#REF!</definedName>
    <definedName name="Loan_Amount">#REF!</definedName>
    <definedName name="Loan_Start">#REF!</definedName>
    <definedName name="Loan_Years">#REF!</definedName>
    <definedName name="loans_adv">#REF!</definedName>
    <definedName name="Lobby">#REF!</definedName>
    <definedName name="LOCAL_STAFF">#REF!</definedName>
    <definedName name="LOCAL_STAFF_ENTRY">#REF!</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_10">NA()</definedName>
    <definedName name="Location_11">NA()</definedName>
    <definedName name="Location_12">NA()</definedName>
    <definedName name="Location_2">NA()</definedName>
    <definedName name="Location_26">NA()</definedName>
    <definedName name="Location_3">NA()</definedName>
    <definedName name="Location_4">NA()</definedName>
    <definedName name="Location_5">NA()</definedName>
    <definedName name="Location_6">NA()</definedName>
    <definedName name="Location_7">NA()</definedName>
    <definedName name="Location_9">NA()</definedName>
    <definedName name="locationb">#N/A</definedName>
    <definedName name="locations">#N/A</definedName>
    <definedName name="loi" hidden="1">{#N/A,#N/A,TRUE,"Front";#N/A,#N/A,TRUE,"Simple Letter";#N/A,#N/A,TRUE,"Inside";#N/A,#N/A,TRUE,"Contents";#N/A,#N/A,TRUE,"Basis";#N/A,#N/A,TRUE,"Inclusions";#N/A,#N/A,TRUE,"Exclusions";#N/A,#N/A,TRUE,"Areas";#N/A,#N/A,TRUE,"Summary";#N/A,#N/A,TRUE,"Detail"}</definedName>
    <definedName name="look">#REF!</definedName>
    <definedName name="look_15">"$#REF!.$#REF!$#REF!"</definedName>
    <definedName name="look_3">"$#REF!.$#REF!$#REF!"</definedName>
    <definedName name="look_4">"$#REF!.$#REF!$#REF!"</definedName>
    <definedName name="look_5">NA()</definedName>
    <definedName name="look_6">"$#REF!.$#REF!$#REF!"</definedName>
    <definedName name="LOP" hidden="1">{#N/A,#N/A,TRUE,"Front";#N/A,#N/A,TRUE,"Simple Letter";#N/A,#N/A,TRUE,"Inside";#N/A,#N/A,TRUE,"Contents";#N/A,#N/A,TRUE,"Basis";#N/A,#N/A,TRUE,"Inclusions";#N/A,#N/A,TRUE,"Exclusions";#N/A,#N/A,TRUE,"Areas";#N/A,#N/A,TRUE,"Summary";#N/A,#N/A,TRUE,"Detail"}</definedName>
    <definedName name="LPO">#REF!</definedName>
    <definedName name="Lr">#REF!</definedName>
    <definedName name="Lr___0">#REF!</definedName>
    <definedName name="Lr___0_1">NA()</definedName>
    <definedName name="Lr___0_2">NA()</definedName>
    <definedName name="Lr___0_3">NA()</definedName>
    <definedName name="Lr___0_5">NA()</definedName>
    <definedName name="Lr___13">#REF!</definedName>
    <definedName name="Lr___13_1">NA()</definedName>
    <definedName name="Lr___13_2">NA()</definedName>
    <definedName name="Lr___13_3">NA()</definedName>
    <definedName name="Lr___13_5">NA()</definedName>
    <definedName name="Lr_1">NA()</definedName>
    <definedName name="Lr_2">NA()</definedName>
    <definedName name="Lr_3">NA()</definedName>
    <definedName name="Lr_5">NA()</definedName>
    <definedName name="LSD_4100">#REF!</definedName>
    <definedName name="lsec">#REF!</definedName>
    <definedName name="Lsec1">#REF!</definedName>
    <definedName name="lsec12">#REF!</definedName>
    <definedName name="LSEC13">#REF!</definedName>
    <definedName name="Lsec2">#REF!</definedName>
    <definedName name="lsec22">#REF!</definedName>
    <definedName name="LSEC23">#REF!</definedName>
    <definedName name="Lsec3">#REF!</definedName>
    <definedName name="LSEC31">#REF!</definedName>
    <definedName name="lsec33">#REF!</definedName>
    <definedName name="Lsec4">#REF!</definedName>
    <definedName name="LSEC45">#REF!</definedName>
    <definedName name="Lsec5">#REF!</definedName>
    <definedName name="LSEC54">#REF!</definedName>
    <definedName name="lsec55">#REF!</definedName>
    <definedName name="Lsec6">#REF!</definedName>
    <definedName name="lsec66">#REF!</definedName>
    <definedName name="LSEC67">#REF!</definedName>
    <definedName name="lsec7">#REF!</definedName>
    <definedName name="lsec77">#REF!</definedName>
    <definedName name="lsest">#REF!</definedName>
    <definedName name="lshead">#REF!</definedName>
    <definedName name="LSNO1_1">NA()</definedName>
    <definedName name="LSNO1_2">NA()</definedName>
    <definedName name="LSNO1_3">NA()</definedName>
    <definedName name="LSNO1_5">NA()</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#N/A</definedName>
    <definedName name="LSNO12_1">NA()</definedName>
    <definedName name="LSNO12_2">NA()</definedName>
    <definedName name="LSNO12_3">NA()</definedName>
    <definedName name="LSNO12_5">NA()</definedName>
    <definedName name="LSNO12_6">NA()</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_1">NA()</definedName>
    <definedName name="LSNO13_2">NA()</definedName>
    <definedName name="LSNO13_3">NA()</definedName>
    <definedName name="LSNO13_5">NA()</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_1">NA()</definedName>
    <definedName name="LSNO14_2">NA()</definedName>
    <definedName name="LSNO14_3">NA()</definedName>
    <definedName name="LSNO14_5">NA()</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#N/A</definedName>
    <definedName name="LSNO15_1">NA()</definedName>
    <definedName name="LSNO15_2">NA()</definedName>
    <definedName name="LSNO15_3">NA()</definedName>
    <definedName name="LSNO15_5">NA()</definedName>
    <definedName name="LSNO15_6">NA()</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#N/A</definedName>
    <definedName name="LSNO17_1">NA()</definedName>
    <definedName name="LSNO17_2">NA()</definedName>
    <definedName name="LSNO17_3">NA()</definedName>
    <definedName name="LSNO17_5">NA()</definedName>
    <definedName name="LSNO17_6">NA()</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_1">NA()</definedName>
    <definedName name="LSNO2_2">NA()</definedName>
    <definedName name="LSNO2_3">NA()</definedName>
    <definedName name="LSNO2_5">NA()</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#N/A</definedName>
    <definedName name="LSNO21_1">NA()</definedName>
    <definedName name="LSNO21_2">NA()</definedName>
    <definedName name="LSNO21_3">NA()</definedName>
    <definedName name="LSNO21_5">NA()</definedName>
    <definedName name="LSNO21_6">NA()</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_1">NA()</definedName>
    <definedName name="LSNO23_2">NA()</definedName>
    <definedName name="LSNO23_3">NA()</definedName>
    <definedName name="LSNO23_5">NA()</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#N/A</definedName>
    <definedName name="LSNO24_1">NA()</definedName>
    <definedName name="LSNO24_2">NA()</definedName>
    <definedName name="LSNO24_3">NA()</definedName>
    <definedName name="LSNO24_5">NA()</definedName>
    <definedName name="LSNO24_6">NA()</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_1">NA()</definedName>
    <definedName name="LSNO25_2">NA()</definedName>
    <definedName name="LSNO25_3">NA()</definedName>
    <definedName name="LSNO25_5">NA()</definedName>
    <definedName name="LSNO250">#REF!</definedName>
    <definedName name="LSNO251">#REF!</definedName>
    <definedName name="LSNO26">#N/A</definedName>
    <definedName name="LSNO26_1">NA()</definedName>
    <definedName name="LSNO26_2">NA()</definedName>
    <definedName name="LSNO26_3">NA()</definedName>
    <definedName name="LSNO26_5">NA()</definedName>
    <definedName name="LSNO26_6">NA()</definedName>
    <definedName name="LSNO27">#N/A</definedName>
    <definedName name="LSNO27_1">NA()</definedName>
    <definedName name="LSNO27_2">NA()</definedName>
    <definedName name="LSNO27_3">NA()</definedName>
    <definedName name="LSNO27_5">NA()</definedName>
    <definedName name="LSNO27_6">NA()</definedName>
    <definedName name="LSNO28">#N/A</definedName>
    <definedName name="LSNO28_1">NA()</definedName>
    <definedName name="LSNO28_2">NA()</definedName>
    <definedName name="LSNO28_3">NA()</definedName>
    <definedName name="LSNO28_5">NA()</definedName>
    <definedName name="LSNO28_6">NA()</definedName>
    <definedName name="LSNO29">#N/A</definedName>
    <definedName name="LSNO29_1">NA()</definedName>
    <definedName name="LSNO29_2">NA()</definedName>
    <definedName name="LSNO29_3">NA()</definedName>
    <definedName name="LSNO29_5">NA()</definedName>
    <definedName name="LSNO29_6">NA()</definedName>
    <definedName name="LSNO3_1">NA()</definedName>
    <definedName name="LSNO3_2">NA()</definedName>
    <definedName name="LSNO3_3">NA()</definedName>
    <definedName name="LSNO3_5">NA()</definedName>
    <definedName name="LSNO30">#N/A</definedName>
    <definedName name="LSNO30_1">NA()</definedName>
    <definedName name="LSNO30_2">NA()</definedName>
    <definedName name="LSNO30_3">NA()</definedName>
    <definedName name="LSNO30_5">NA()</definedName>
    <definedName name="LSNO30_6">NA()</definedName>
    <definedName name="LSNO31">#N/A</definedName>
    <definedName name="LSNO31_1">NA()</definedName>
    <definedName name="LSNO31_2">NA()</definedName>
    <definedName name="LSNO31_3">NA()</definedName>
    <definedName name="LSNO31_5">NA()</definedName>
    <definedName name="LSNO31_6">NA()</definedName>
    <definedName name="LSNO32">#N/A</definedName>
    <definedName name="LSNO32_1">NA()</definedName>
    <definedName name="LSNO32_2">NA()</definedName>
    <definedName name="LSNO32_3">NA()</definedName>
    <definedName name="LSNO32_5">NA()</definedName>
    <definedName name="LSNO32_6">NA()</definedName>
    <definedName name="LSNO33">#N/A</definedName>
    <definedName name="LSNO33_1">NA()</definedName>
    <definedName name="LSNO33_2">NA()</definedName>
    <definedName name="LSNO33_3">NA()</definedName>
    <definedName name="LSNO33_5">NA()</definedName>
    <definedName name="LSNO33_6">NA()</definedName>
    <definedName name="LSNO34">#N/A</definedName>
    <definedName name="LSNO34_1">NA()</definedName>
    <definedName name="LSNO34_2">NA()</definedName>
    <definedName name="LSNO34_3">NA()</definedName>
    <definedName name="LSNO34_5">NA()</definedName>
    <definedName name="LSNO34_6">NA()</definedName>
    <definedName name="LSNO35">#N/A</definedName>
    <definedName name="LSNO35_1">NA()</definedName>
    <definedName name="LSNO35_2">NA()</definedName>
    <definedName name="LSNO35_3">NA()</definedName>
    <definedName name="LSNO35_5">NA()</definedName>
    <definedName name="LSNO35_6">NA()</definedName>
    <definedName name="LSNO36">#N/A</definedName>
    <definedName name="LSNO36_1">NA()</definedName>
    <definedName name="LSNO36_2">NA()</definedName>
    <definedName name="LSNO36_3">NA()</definedName>
    <definedName name="LSNO36_5">NA()</definedName>
    <definedName name="LSNO36_6">NA()</definedName>
    <definedName name="LSNO37">#REF!</definedName>
    <definedName name="LSNO38">#REF!</definedName>
    <definedName name="LSNO39">#REF!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#N/A</definedName>
    <definedName name="LSNO7_1">NA()</definedName>
    <definedName name="LSNO7_2">NA()</definedName>
    <definedName name="LSNO7_3">NA()</definedName>
    <definedName name="LSNO7_5">NA()</definedName>
    <definedName name="LSNO7_6">NA()</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#N/A</definedName>
    <definedName name="LSNO9_1">NA()</definedName>
    <definedName name="LSNO9_2">NA()</definedName>
    <definedName name="LSNO9_3">NA()</definedName>
    <definedName name="LSNO9_5">NA()</definedName>
    <definedName name="LSNO9_6">NA()</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tf">#REF!</definedName>
    <definedName name="LtDebtDmy" hidden="1">#REF!,#REF!,#REF!,#REF!,#REF!</definedName>
    <definedName name="ltf">#REF!</definedName>
    <definedName name="LUMEN">#REF!</definedName>
    <definedName name="LUMEN___0">#REF!</definedName>
    <definedName name="LUMEN___0_1">NA()</definedName>
    <definedName name="LUMEN___0_2">NA()</definedName>
    <definedName name="LUMEN___0_3">NA()</definedName>
    <definedName name="LUMEN___0_5">NA()</definedName>
    <definedName name="LUMEN___13">#REF!</definedName>
    <definedName name="LUMEN___13_1">NA()</definedName>
    <definedName name="LUMEN___13_2">NA()</definedName>
    <definedName name="LUMEN___13_3">NA()</definedName>
    <definedName name="LUMEN___13_5">NA()</definedName>
    <definedName name="LUMEN_1">NA()</definedName>
    <definedName name="LUMEN_2">NA()</definedName>
    <definedName name="LUMEN_3">NA()</definedName>
    <definedName name="LUMEN_5">NA()</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0_1">NA()</definedName>
    <definedName name="LUX___0_2">NA()</definedName>
    <definedName name="LUX___0_3">NA()</definedName>
    <definedName name="LUX___0_5">NA()</definedName>
    <definedName name="LUX___13">#REF!</definedName>
    <definedName name="LUX___13_1">NA()</definedName>
    <definedName name="LUX___13_2">NA()</definedName>
    <definedName name="LUX___13_3">NA()</definedName>
    <definedName name="LUX___13_5">NA()</definedName>
    <definedName name="LUX_1">NA()</definedName>
    <definedName name="LUX_2">NA()</definedName>
    <definedName name="LUX_3">NA()</definedName>
    <definedName name="LUX_5">NA()</definedName>
    <definedName name="Lx">#REF!</definedName>
    <definedName name="Lx___0">#REF!</definedName>
    <definedName name="Lx___0_1">NA()</definedName>
    <definedName name="Lx___0_2">NA()</definedName>
    <definedName name="Lx___0_3">NA()</definedName>
    <definedName name="Lx___0_5">NA()</definedName>
    <definedName name="Lx___13">#REF!</definedName>
    <definedName name="Lx___13_1">NA()</definedName>
    <definedName name="Lx___13_2">NA()</definedName>
    <definedName name="Lx___13_3">NA()</definedName>
    <definedName name="Lx___13_5">NA()</definedName>
    <definedName name="Lx_1">NA()</definedName>
    <definedName name="Lx_2">NA()</definedName>
    <definedName name="Lx_3">NA()</definedName>
    <definedName name="Lx_5">NA()</definedName>
    <definedName name="m">#REF!</definedName>
    <definedName name="m___0">#REF!</definedName>
    <definedName name="m___0_1">NA()</definedName>
    <definedName name="m___0_2">NA()</definedName>
    <definedName name="m___0_3">NA()</definedName>
    <definedName name="m___0_5">NA()</definedName>
    <definedName name="m___13">#REF!</definedName>
    <definedName name="m___13_1">NA()</definedName>
    <definedName name="m___13_2">NA()</definedName>
    <definedName name="m___13_3">NA()</definedName>
    <definedName name="m___13_5">NA()</definedName>
    <definedName name="m_1">NA()</definedName>
    <definedName name="m_1_1">NA()</definedName>
    <definedName name="m_15">"$#REF!.$#REF!$#REF!"</definedName>
    <definedName name="m_2">NA()</definedName>
    <definedName name="m_2_1">NA()</definedName>
    <definedName name="M_25_box_Culvert">#REF!</definedName>
    <definedName name="m_3">NA()</definedName>
    <definedName name="m_3_1">"$#REF!.$#REF!$#REF!"</definedName>
    <definedName name="m_4">"$#REF!.$#REF!$#REF!"</definedName>
    <definedName name="m_5">NA()</definedName>
    <definedName name="m_6">"$#REF!.$#REF!$#REF!"</definedName>
    <definedName name="M_PlaceofPath" hidden="1">"\\SNYCEQT0100\HOME\LZURLO\DATA\TELMEX\Models\tmx_vdf.xls"</definedName>
    <definedName name="m10_foundation">#REF!</definedName>
    <definedName name="m15flooring">#REF!</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Bdown">#REF!</definedName>
    <definedName name="MACHINE_EQUIPMENT">#REF!</definedName>
    <definedName name="MACHINE_EQUIPMENT_ENTRY">#REF!</definedName>
    <definedName name="Macro4">#REF!</definedName>
    <definedName name="Macro5">#REF!</definedName>
    <definedName name="mag" hidden="1">{#N/A,#N/A,TRUE,"Front";#N/A,#N/A,TRUE,"Simple Letter";#N/A,#N/A,TRUE,"Inside";#N/A,#N/A,TRUE,"Contents";#N/A,#N/A,TRUE,"Basis";#N/A,#N/A,TRUE,"Inclusions";#N/A,#N/A,TRUE,"Exclusions";#N/A,#N/A,TRUE,"Areas";#N/A,#N/A,TRUE,"Summary";#N/A,#N/A,TRUE,"Detail"}</definedName>
    <definedName name="MAJOR">#N/A</definedName>
    <definedName name="mak" localSheetId="1" hidden="1">#REF!</definedName>
    <definedName name="mak" hidden="1">#REF!</definedName>
    <definedName name="man">#REF!</definedName>
    <definedName name="man___0">#REF!</definedName>
    <definedName name="man___0_1">NA()</definedName>
    <definedName name="man___0_2">NA()</definedName>
    <definedName name="man___0_3">NA()</definedName>
    <definedName name="man___0_5">NA()</definedName>
    <definedName name="man___11">#REF!</definedName>
    <definedName name="man___11_1">NA()</definedName>
    <definedName name="man___11_2">NA()</definedName>
    <definedName name="man___11_3">NA()</definedName>
    <definedName name="man___11_5">NA()</definedName>
    <definedName name="man___12">#REF!</definedName>
    <definedName name="man___12_1">NA()</definedName>
    <definedName name="man___12_2">NA()</definedName>
    <definedName name="man___12_3">NA()</definedName>
    <definedName name="man___12_5">NA()</definedName>
    <definedName name="man_1">NA()</definedName>
    <definedName name="man_1_1">NA()</definedName>
    <definedName name="man_15">"$#REF!.$#REF!$#REF!"</definedName>
    <definedName name="man_2">NA()</definedName>
    <definedName name="man_2_1">NA()</definedName>
    <definedName name="man_3">NA()</definedName>
    <definedName name="man_3_1">"$#REF!.$#REF!$#REF!"</definedName>
    <definedName name="man_4">"$#REF!.$#REF!$#REF!"</definedName>
    <definedName name="man_5">NA()</definedName>
    <definedName name="man_6">"$#REF!.$#REF!$#REF!"</definedName>
    <definedName name="MAN_DEC">#REF!</definedName>
    <definedName name="man_power_sum">#REF!</definedName>
    <definedName name="manday1">#REF!</definedName>
    <definedName name="manday1___0">#REF!</definedName>
    <definedName name="manday1___0_1">NA()</definedName>
    <definedName name="manday1___0_2">NA()</definedName>
    <definedName name="manday1___0_3">NA()</definedName>
    <definedName name="manday1___0_5">NA()</definedName>
    <definedName name="manday1___11">#REF!</definedName>
    <definedName name="manday1___11_1">NA()</definedName>
    <definedName name="manday1___11_2">NA()</definedName>
    <definedName name="manday1___11_3">NA()</definedName>
    <definedName name="manday1___11_5">NA()</definedName>
    <definedName name="manday1___12">#REF!</definedName>
    <definedName name="manday1___12_1">NA()</definedName>
    <definedName name="manday1___12_2">NA()</definedName>
    <definedName name="manday1___12_3">NA()</definedName>
    <definedName name="manday1___12_5">NA()</definedName>
    <definedName name="manday1_1">NA()</definedName>
    <definedName name="manday1_2">NA()</definedName>
    <definedName name="manday1_3">NA()</definedName>
    <definedName name="manday1_5">NA()</definedName>
    <definedName name="manhole">#REF!</definedName>
    <definedName name="manish">#REF!</definedName>
    <definedName name="manpower_details">#REF!</definedName>
    <definedName name="manual_input">#REF!</definedName>
    <definedName name="MANUEL_INPUT">#REF!</definedName>
    <definedName name="MaR" hidden="1">{#N/A,#N/A,TRUE,"Krycí list"}</definedName>
    <definedName name="march_qty">#REF!</definedName>
    <definedName name="march_qty_15">"$#REF!.$#REF!$#REF!"</definedName>
    <definedName name="march_qty_3">"$#REF!.$#REF!$#REF!"</definedName>
    <definedName name="march_qty_4">"$#REF!.$#REF!$#REF!"</definedName>
    <definedName name="march_qty_5">NA()</definedName>
    <definedName name="march_qty_6">"$#REF!.$#REF!$#REF!"</definedName>
    <definedName name="MarketType">#REF!</definedName>
    <definedName name="MarketType_4">#REF!</definedName>
    <definedName name="MarketType_6">#REF!</definedName>
    <definedName name="MarketType_Text">#REF!</definedName>
    <definedName name="MarketType_Text_4">#REF!</definedName>
    <definedName name="MarketType_Text_6">#REF!</definedName>
    <definedName name="mas">#N/A</definedName>
    <definedName name="mason_2ndclass">#REF!</definedName>
    <definedName name="mason1stclass">#REF!</definedName>
    <definedName name="MASONRY">"$#REF!.$#REF!$#REF!"</definedName>
    <definedName name="MASONRY_5">"'file:///g:/ra%20bill%20corrected%20at%20home/ra%20bill%20%252525252525252525252525252525252525252525252525252525252525252525252525252525252525252525252523%2010%20corrected%20(%20r%20p%20)/ibis%20hotel%20project-ra%20bills/ibis-ra-08(blk%20submit).xls'#$'"</definedName>
    <definedName name="MASONRY_6">"'file:///g:/ra%20bill%20corrected%20at%20home/ra%20bill%20%252525252525252525252525252525252525252525252525252525252525252525252525252525252525252525252523%2010%20corrected%20(%20r%20p%20)/ibis%20hotel%20project-ra%20bills/ibis-ra-08(blk%20submit).xls'#$'"</definedName>
    <definedName name="master">#REF!</definedName>
    <definedName name="masterlist">#N/A</definedName>
    <definedName name="mat" hidden="1">{#N/A,#N/A,TRUE,"Front";#N/A,#N/A,TRUE,"Simple Letter";#N/A,#N/A,TRUE,"Inside";#N/A,#N/A,TRUE,"Contents";#N/A,#N/A,TRUE,"Basis";#N/A,#N/A,TRUE,"Inclusions";#N/A,#N/A,TRUE,"Exclusions";#N/A,#N/A,TRUE,"Areas";#N/A,#N/A,TRUE,"Summary";#N/A,#N/A,TRUE,"Detail"}</definedName>
    <definedName name="MATER" hidden="1">#REF!</definedName>
    <definedName name="material">#REF!</definedName>
    <definedName name="Material_rate_entry">#REF!</definedName>
    <definedName name="MATICECODE">#REF!</definedName>
    <definedName name="MATRICE">#REF!</definedName>
    <definedName name="MATV">#REF!</definedName>
    <definedName name="maxlim">#REF!</definedName>
    <definedName name="MAY" hidden="1">#REF!</definedName>
    <definedName name="MAY03PH2">#REF!</definedName>
    <definedName name="mayflower">#REF!</definedName>
    <definedName name="MAZI_1">NA()</definedName>
    <definedName name="MAZI_2">NA()</definedName>
    <definedName name="MAZI_3">NA()</definedName>
    <definedName name="MAZI_5">NA()</definedName>
    <definedName name="MAZI_6">NA()</definedName>
    <definedName name="MB">#REF!</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Length">#REF!</definedName>
    <definedName name="MB5Length">#REF!</definedName>
    <definedName name="MB6Length">#REF!</definedName>
    <definedName name="MB7Length">#REF!</definedName>
    <definedName name="MB8Length">#REF!</definedName>
    <definedName name="MB9Length">#REF!</definedName>
    <definedName name="mbcnbtg">#REF!</definedName>
    <definedName name="mbpt">#REF!</definedName>
    <definedName name="MCBDB" hidden="1">{#N/A,#N/A,FALSE,"mpph1";#N/A,#N/A,FALSE,"mpmseb";#N/A,#N/A,FALSE,"mpph2"}</definedName>
    <definedName name="mcl">#REF!</definedName>
    <definedName name="measu"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CHANICAL">#REF!</definedName>
    <definedName name="Median." hidden="1">{"'Bill No. 7'!$A$1:$G$32"}</definedName>
    <definedName name="mena">#REF!</definedName>
    <definedName name="meraregulace" hidden="1">{#N/A,#N/A,TRUE,"Krycí list"}</definedName>
    <definedName name="METAL">#REF!</definedName>
    <definedName name="MF">#REF!</definedName>
    <definedName name="MF___0">#REF!</definedName>
    <definedName name="MF___0_1">NA()</definedName>
    <definedName name="MF___0_2">NA()</definedName>
    <definedName name="MF___0_3">NA()</definedName>
    <definedName name="MF___0_5">NA()</definedName>
    <definedName name="MF___13">#REF!</definedName>
    <definedName name="MF___13_1">NA()</definedName>
    <definedName name="MF___13_2">NA()</definedName>
    <definedName name="MF___13_3">NA()</definedName>
    <definedName name="MF___13_5">NA()</definedName>
    <definedName name="MF_1">NA()</definedName>
    <definedName name="MF_2">NA()</definedName>
    <definedName name="MF_3">NA()</definedName>
    <definedName name="MF_5">NA()</definedName>
    <definedName name="mfl">#REF!</definedName>
    <definedName name="mfr">#N/A</definedName>
    <definedName name="mgf">#REF!</definedName>
    <definedName name="mgs" hidden="1">{#N/A,#N/A,TRUE,"Front";#N/A,#N/A,TRUE,"Simple Letter";#N/A,#N/A,TRUE,"Inside";#N/A,#N/A,TRUE,"Contents";#N/A,#N/A,TRUE,"Basis";#N/A,#N/A,TRUE,"Inclusions";#N/A,#N/A,TRUE,"Exclusions";#N/A,#N/A,TRUE,"Areas";#N/A,#N/A,TRUE,"Summary";#N/A,#N/A,TRUE,"Detail"}</definedName>
    <definedName name="mhjj" hidden="1">{"'Bill No. 7'!$A$1:$G$32"}</definedName>
    <definedName name="MICON">#N/A</definedName>
    <definedName name="MIN_DEC">#REF!</definedName>
    <definedName name="minlim">#REF!</definedName>
    <definedName name="Mis">#REF!</definedName>
    <definedName name="MISCELLANEOUS">"$#REF!.#REF!#REF!"</definedName>
    <definedName name="MISCELLANEOUS_11">"'file:///c:/documents%20and%20settings/uma.r.anprakashpmc/desktop/bills/docume~1/admini~1/locals~1/temp/rar$di01.859/ra_bill___13_corrected_20100213%20at%20home.xls'#$''.a1"</definedName>
    <definedName name="MISCELLANEOUS_5">"'file:///g:/ra%20bill%20corrected%20at%20home/ra%20bill%20%252525252525252525252525252525252525252525252525252525252525252525252525252525252525252525252523%2010%20corrected%20(%20r%20p%20)/ibis%20hotel%20project-ra%20bills/ibis-ra-08(blk%20submit).xls'#$'"</definedName>
    <definedName name="MISCELLANEOUS_6">"'file:///g:/ra%20bill%20corrected%20at%20home/ra%20bill%20%252525252525252525252525252525252525252525252525252525252525252525252525252525252525252525252523%2010%20corrected%20(%20r%20p%20)/ibis%20hotel%20project-ra%20bills/ibis-ra-08(blk%20submit).xls'#$'"</definedName>
    <definedName name="MISCELLANEOUS_8">"$#REF!.#REF!#REF!"</definedName>
    <definedName name="Miss" hidden="1">{#N/A,#N/A,TRUE,"Front";#N/A,#N/A,TRUE,"Simple Letter";#N/A,#N/A,TRUE,"Inside";#N/A,#N/A,TRUE,"Contents";#N/A,#N/A,TRUE,"Basis";#N/A,#N/A,TRUE,"Inclusions";#N/A,#N/A,TRUE,"Exclusions";#N/A,#N/A,TRUE,"Areas";#N/A,#N/A,TRUE,"Summary";#N/A,#N/A,TRUE,"Detail"}</definedName>
    <definedName name="mix_M30">#REF!</definedName>
    <definedName name="mjhl">#REF!</definedName>
    <definedName name="mlifddsj" hidden="1">{#N/A,#N/A,TRUE,"Front";#N/A,#N/A,TRUE,"Simple Letter";#N/A,#N/A,TRUE,"Inside";#N/A,#N/A,TRUE,"Contents";#N/A,#N/A,TRUE,"Basis";#N/A,#N/A,TRUE,"Inclusions";#N/A,#N/A,TRUE,"Exclusions";#N/A,#N/A,TRUE,"Areas";#N/A,#N/A,TRUE,"Summary";#N/A,#N/A,TRUE,"Detail"}</definedName>
    <definedName name="mm" hidden="1">{#N/A,#N/A,TRUE,"Front";#N/A,#N/A,TRUE,"Simple Letter";#N/A,#N/A,TRUE,"Inside";#N/A,#N/A,TRUE,"Contents";#N/A,#N/A,TRUE,"Basis";#N/A,#N/A,TRUE,"Inclusions";#N/A,#N/A,TRUE,"Exclusions";#N/A,#N/A,TRUE,"Areas";#N/A,#N/A,TRUE,"Summary";#N/A,#N/A,TRUE,"Detail"}</definedName>
    <definedName name="mmm" hidden="1">{#N/A,#N/A,TRUE,"1? ????";#N/A,#N/A,TRUE,"1-2? ?????";#N/A,#N/A,TRUE,"2? ??";#N/A,#N/A,TRUE,"2??? ????";#N/A,#N/A,TRUE,"3(1)? ????";#N/A,#N/A,TRUE,"??????";#N/A,#N/A,TRUE,"3(1)?7 ????";#N/A,#N/A,TRUE,"5? ???";#N/A,#N/A,TRUE,"5?2 ???(?)";#N/A,#N/A,TRUE,"6? ????";#N/A,#N/A,TRUE,"6? ??(?)";#N/A,#N/A,TRUE,"6? ??(?)";#N/A,#N/A,TRUE,"????";#N/A,#N/A,TRUE,"6-6(3)? ??(??)";#N/A,#N/A,TRUE,"9? ???(?)";#N/A,#N/A,TRUE,"9? ???(?)";#N/A,#N/A,TRUE,"10(3)? ????";#N/A,#N/A,TRUE,"10(4)? ????"}</definedName>
    <definedName name="mmmmmmmmmm">#REF!</definedName>
    <definedName name="mmmmmmmmmmmm" hidden="1">{#N/A,#N/A,TRUE,"Krycí list"}</definedName>
    <definedName name="mmmmms">#REF!</definedName>
    <definedName name="MMP">#REF!</definedName>
    <definedName name="mnvgdg">#REF!</definedName>
    <definedName name="mo" hidden="1">{#N/A,#N/A,TRUE,"Front";#N/A,#N/A,TRUE,"Simple Letter";#N/A,#N/A,TRUE,"Inside";#N/A,#N/A,TRUE,"Contents";#N/A,#N/A,TRUE,"Basis";#N/A,#N/A,TRUE,"Inclusions";#N/A,#N/A,TRUE,"Exclusions";#N/A,#N/A,TRUE,"Areas";#N/A,#N/A,TRUE,"Summary";#N/A,#N/A,TRUE,"Detail"}</definedName>
    <definedName name="mobi">#REF!</definedName>
    <definedName name="Mobilization">#REF!</definedName>
    <definedName name="MODEL">#N/A</definedName>
    <definedName name="MODELE">#REF!</definedName>
    <definedName name="month">#REF!</definedName>
    <definedName name="Month_2000">36708</definedName>
    <definedName name="MONTH_CONDITION">#REF!</definedName>
    <definedName name="MONTH_DETAILS">#REF!</definedName>
    <definedName name="Month1_Ending_Bal">#REF!</definedName>
    <definedName name="monthly_invoice_to_wc">#REF!</definedName>
    <definedName name="mortar">#REF!</definedName>
    <definedName name="mortor">#N/A</definedName>
    <definedName name="MP" hidden="1">#REF!</definedName>
    <definedName name="MPBOH">#N/A</definedName>
    <definedName name="MPEOH">#N/A</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hidden="1">{#N/A,#N/A,TRUE,"Financials";#N/A,#N/A,TRUE,"Operating Statistics";#N/A,#N/A,TRUE,"Capex &amp; Depreciation";#N/A,#N/A,TRUE,"Debt"}</definedName>
    <definedName name="MS200202rev2">#REF!</definedName>
    <definedName name="MS200202rev2_15">"$#REF!.$#REF!$#REF!"</definedName>
    <definedName name="MS200202rev2_3">"$#REF!.$#REF!$#REF!"</definedName>
    <definedName name="MS200202rev2_4">"$#REF!.$#REF!$#REF!"</definedName>
    <definedName name="MS200202rev2_5">NA()</definedName>
    <definedName name="MS200202rev2_6">"$#REF!.$#REF!$#REF!"</definedName>
    <definedName name="ms2002may1706">#REF!</definedName>
    <definedName name="ms2002may1706_15">"$#REF!.$#REF!$#REF!"</definedName>
    <definedName name="ms2002may1706_3">"$#REF!.$#REF!$#REF!"</definedName>
    <definedName name="ms2002may1706_4">"$#REF!.$#REF!$#REF!"</definedName>
    <definedName name="ms2002may1706_5">NA()</definedName>
    <definedName name="ms2002may1706_6">"$#REF!.$#REF!$#REF!"</definedName>
    <definedName name="msf">#REF!</definedName>
    <definedName name="msjune1807">#REF!</definedName>
    <definedName name="msjune1807_15">"$#REF!.$#REF!$#REF!"</definedName>
    <definedName name="msjune1807_3">"$#REF!.$#REF!$#REF!"</definedName>
    <definedName name="msjune1807_4">"$#REF!.$#REF!$#REF!"</definedName>
    <definedName name="msjune1807_5">NA()</definedName>
    <definedName name="msjune1807_6">"$#REF!.$#REF!$#REF!"</definedName>
    <definedName name="mta" hidden="1">{#N/A,#N/A,TRUE,"Front";#N/A,#N/A,TRUE,"Simple Letter";#N/A,#N/A,TRUE,"Inside";#N/A,#N/A,TRUE,"Contents";#N/A,#N/A,TRUE,"Basis";#N/A,#N/A,TRUE,"Inclusions";#N/A,#N/A,TRUE,"Exclusions";#N/A,#N/A,TRUE,"Areas";#N/A,#N/A,TRUE,"Summary";#N/A,#N/A,TRUE,"Detail"}</definedName>
    <definedName name="MTV">#REF!</definedName>
    <definedName name="Mullions" hidden="1">{#N/A,#N/A,TRUE,"Front";#N/A,#N/A,TRUE,"Simple Letter";#N/A,#N/A,TRUE,"Inside";#N/A,#N/A,TRUE,"Contents";#N/A,#N/A,TRUE,"Basis";#N/A,#N/A,TRUE,"Inclusions";#N/A,#N/A,TRUE,"Exclusions";#N/A,#N/A,TRUE,"Areas";#N/A,#N/A,TRUE,"Summary";#N/A,#N/A,TRUE,"Detail"}</definedName>
    <definedName name="MUTHU">#REF!</definedName>
    <definedName name="N">#REF!</definedName>
    <definedName name="N___0">#REF!</definedName>
    <definedName name="N___0_1">NA()</definedName>
    <definedName name="N___0_2">NA()</definedName>
    <definedName name="N___0_3">NA()</definedName>
    <definedName name="N___0_5">NA()</definedName>
    <definedName name="N___13">#REF!</definedName>
    <definedName name="N___13_1">NA()</definedName>
    <definedName name="N___13_2">NA()</definedName>
    <definedName name="N___13_3">NA()</definedName>
    <definedName name="N___13_5">NA()</definedName>
    <definedName name="N_1">NA()</definedName>
    <definedName name="N_1_1">NA()</definedName>
    <definedName name="N_15">"$#REF!.$#REF!$#REF!"</definedName>
    <definedName name="N_2">NA()</definedName>
    <definedName name="N_2_1">NA()</definedName>
    <definedName name="N_3">NA()</definedName>
    <definedName name="N_3_1">"$#REF!.$#REF!$#REF!"</definedName>
    <definedName name="N_4">"$#REF!.$#REF!$#REF!"</definedName>
    <definedName name="N_5">NA()</definedName>
    <definedName name="N_6">"$#REF!.$#REF!$#REF!"</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BINAGAR" hidden="1">#REF!</definedName>
    <definedName name="nachi">#REF!</definedName>
    <definedName name="nagu" hidden="1">{#N/A,#N/A,TRUE,"Front";#N/A,#N/A,TRUE,"Simple Letter";#N/A,#N/A,TRUE,"Inside";#N/A,#N/A,TRUE,"Contents";#N/A,#N/A,TRUE,"Basis";#N/A,#N/A,TRUE,"Inclusions";#N/A,#N/A,TRUE,"Exclusions";#N/A,#N/A,TRUE,"Areas";#N/A,#N/A,TRUE,"Summary";#N/A,#N/A,TRUE,"Detail"}</definedName>
    <definedName name="nam" hidden="1">{#N/A,#N/A,TRUE,"Front";#N/A,#N/A,TRUE,"Simple Letter";#N/A,#N/A,TRUE,"Inside";#N/A,#N/A,TRUE,"Contents";#N/A,#N/A,TRUE,"Basis";#N/A,#N/A,TRUE,"Inclusions";#N/A,#N/A,TRUE,"Exclusions";#N/A,#N/A,TRUE,"Areas";#N/A,#N/A,TRUE,"Summary";#N/A,#N/A,TRUE,"Detail"}</definedName>
    <definedName name="Name">#REF!</definedName>
    <definedName name="name_of_project">#REF!</definedName>
    <definedName name="NAMT">#REF!</definedName>
    <definedName name="NAMT_1">NA()</definedName>
    <definedName name="NAMT_2">NA()</definedName>
    <definedName name="NAMT_3">NA()</definedName>
    <definedName name="NAMT_5">NA()</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#REF!</definedName>
    <definedName name="Nariman_Point_Car_Parking_Site">#REF!</definedName>
    <definedName name="NAVA">#REF!</definedName>
    <definedName name="nbc" hidden="1">{#N/A,#N/A,TRUE,"Front";#N/A,#N/A,TRUE,"Simple Letter";#N/A,#N/A,TRUE,"Inside";#N/A,#N/A,TRUE,"Contents";#N/A,#N/A,TRUE,"Basis";#N/A,#N/A,TRUE,"Inclusions";#N/A,#N/A,TRUE,"Exclusions";#N/A,#N/A,TRUE,"Areas";#N/A,#N/A,TRUE,"Summary";#N/A,#N/A,TRUE,"Detail"}</definedName>
    <definedName name="NBMF">#REF!</definedName>
    <definedName name="ncrtovn_abs">#REF!</definedName>
    <definedName name="ncrtovn_meas">#REF!</definedName>
    <definedName name="ND">#REF!</definedName>
    <definedName name="net_cost_list">#REF!</definedName>
    <definedName name="net_cost_list_1">NA()</definedName>
    <definedName name="net_cost_list_2">NA()</definedName>
    <definedName name="net_cost_list_3">NA()</definedName>
    <definedName name="net_cost_list_5">NA()</definedName>
    <definedName name="NEW">#REF!</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#REF!</definedName>
    <definedName name="NF">#N/A</definedName>
    <definedName name="nggnn" hidden="1">{#N/A,#N/A,TRUE,"Front";#N/A,#N/A,TRUE,"Simple Letter";#N/A,#N/A,TRUE,"Inside";#N/A,#N/A,TRUE,"Contents";#N/A,#N/A,TRUE,"Basis";#N/A,#N/A,TRUE,"Inclusions";#N/A,#N/A,TRUE,"Exclusions";#N/A,#N/A,TRUE,"Areas";#N/A,#N/A,TRUE,"Summary";#N/A,#N/A,TRUE,"Detail"}</definedName>
    <definedName name="nhnhm" hidden="1">{#N/A,#N/A,TRUE,"Front";#N/A,#N/A,TRUE,"Simple Letter";#N/A,#N/A,TRUE,"Inside";#N/A,#N/A,TRUE,"Contents";#N/A,#N/A,TRUE,"Basis";#N/A,#N/A,TRUE,"Inclusions";#N/A,#N/A,TRUE,"Exclusions";#N/A,#N/A,TRUE,"Areas";#N/A,#N/A,TRUE,"Summary";#N/A,#N/A,TRUE,"Detail"}</definedName>
    <definedName name="NILEMJ112" hidden="1">{#N/A,#N/A,TRUE,"Front";#N/A,#N/A,TRUE,"Simple Letter";#N/A,#N/A,TRUE,"Inside";#N/A,#N/A,TRUE,"Contents";#N/A,#N/A,TRUE,"Basis";#N/A,#N/A,TRUE,"Inclusions";#N/A,#N/A,TRUE,"Exclusions";#N/A,#N/A,TRUE,"Areas";#N/A,#N/A,TRUE,"Summary";#N/A,#N/A,TRUE,"Detail"}</definedName>
    <definedName name="Nitin" hidden="1">#REF!</definedName>
    <definedName name="nk" hidden="1">{#N/A,#N/A,TRUE,"Front";#N/A,#N/A,TRUE,"Simple Letter";#N/A,#N/A,TRUE,"Inside";#N/A,#N/A,TRUE,"Contents";#N/A,#N/A,TRUE,"Basis";#N/A,#N/A,TRUE,"Inclusions";#N/A,#N/A,TRUE,"Exclusions";#N/A,#N/A,TRUE,"Areas";#N/A,#N/A,TRUE,"Summary";#N/A,#N/A,TRUE,"Detail"}</definedName>
    <definedName name="nmmm">#N/A</definedName>
    <definedName name="nmmn">#REF!</definedName>
    <definedName name="NMR">#N/A</definedName>
    <definedName name="NN">#REF!</definedName>
    <definedName name="NN___0">#REF!</definedName>
    <definedName name="NN___0_1">NA()</definedName>
    <definedName name="NN___0_2">NA()</definedName>
    <definedName name="NN___0_3">NA()</definedName>
    <definedName name="NN___0_5">NA()</definedName>
    <definedName name="NN___13">#REF!</definedName>
    <definedName name="NN___13_1">NA()</definedName>
    <definedName name="NN___13_2">NA()</definedName>
    <definedName name="NN___13_3">NA()</definedName>
    <definedName name="NN___13_5">NA()</definedName>
    <definedName name="NN_1">NA()</definedName>
    <definedName name="NN_2">NA()</definedName>
    <definedName name="NN_3">NA()</definedName>
    <definedName name="NN_5">NA()</definedName>
    <definedName name="nngg">#N/A</definedName>
    <definedName name="nnn">#REF!</definedName>
    <definedName name="nnnnm">#REF!</definedName>
    <definedName name="nnnnnnnnnnnnnnnnnn" hidden="1">{#N/A,#N/A,TRUE,"Krycí list"}</definedName>
    <definedName name="nnnnnnnnnnnnnnnnnnnnnnnnnnnnnnn" hidden="1">{#N/A,#N/A,TRUE,"1? ????";#N/A,#N/A,TRUE,"1-2? ?????";#N/A,#N/A,TRUE,"2? ??";#N/A,#N/A,TRUE,"2??? ????";#N/A,#N/A,TRUE,"3(1)? ????";#N/A,#N/A,TRUE,"??????";#N/A,#N/A,TRUE,"3(1)?7 ????";#N/A,#N/A,TRUE,"5? ???";#N/A,#N/A,TRUE,"5?2 ???(?)";#N/A,#N/A,TRUE,"6? ????";#N/A,#N/A,TRUE,"6? ??(?)";#N/A,#N/A,TRUE,"6? ??(?)";#N/A,#N/A,TRUE,"????";#N/A,#N/A,TRUE,"6-6(3)? ??(??)";#N/A,#N/A,TRUE,"9? ???(?)";#N/A,#N/A,TRUE,"9? ???(?)";#N/A,#N/A,TRUE,"10(3)? ????";#N/A,#N/A,TRUE,"10(4)? ????"}</definedName>
    <definedName name="NO" hidden="1">#REF!</definedName>
    <definedName name="NO.">#REF!</definedName>
    <definedName name="NOK">#REF!</definedName>
    <definedName name="nol" hidden="1">{#N/A,#N/A,FALSE,"91NOLCB";#N/A,#N/A,FALSE,"92NOLCB";#N/A,#N/A,FALSE,"93NOLCB"}</definedName>
    <definedName name="NORIN">#N/A</definedName>
    <definedName name="normal_chi">#REF!</definedName>
    <definedName name="NOS">#REF!</definedName>
    <definedName name="Nos.">#N/A</definedName>
    <definedName name="Notation">#N/A</definedName>
    <definedName name="notes" hidden="1">{#N/A,#N/A,TRUE,"Front";#N/A,#N/A,TRUE,"Simple Letter";#N/A,#N/A,TRUE,"Inside";#N/A,#N/A,TRUE,"Contents";#N/A,#N/A,TRUE,"Basis";#N/A,#N/A,TRUE,"Inclusions";#N/A,#N/A,TRUE,"Exclusions";#N/A,#N/A,TRUE,"Areas";#N/A,#N/A,TRUE,"Summary";#N/A,#N/A,TRUE,"Detail"}</definedName>
    <definedName name="notok">#REF!</definedName>
    <definedName name="NS">#REF!</definedName>
    <definedName name="nss" hidden="1">{#N/A,#N/A,FALSE,"consu_cover";#N/A,#N/A,FALSE,"consu_strategy";#N/A,#N/A,FALSE,"consu_flow";#N/A,#N/A,FALSE,"Summary_reqmt";#N/A,#N/A,FALSE,"field_ppg";#N/A,#N/A,FALSE,"ppg_shop";#N/A,#N/A,FALSE,"strl";#N/A,#N/A,FALSE,"tankages";#N/A,#N/A,FALSE,"gases"}</definedName>
    <definedName name="NSSR1">#REF!</definedName>
    <definedName name="NSSR1_1">NA()</definedName>
    <definedName name="NSSR1_2">NA()</definedName>
    <definedName name="NSSR1_3">NA()</definedName>
    <definedName name="NSSR1_5">NA()</definedName>
    <definedName name="NSSR10">#REF!</definedName>
    <definedName name="NSSR10_1">NA()</definedName>
    <definedName name="NSSR10_2">NA()</definedName>
    <definedName name="NSSR10_3">NA()</definedName>
    <definedName name="NSSR10_5">NA()</definedName>
    <definedName name="NSSR100">#REF!</definedName>
    <definedName name="NSSR100_1">NA()</definedName>
    <definedName name="NSSR100_2">NA()</definedName>
    <definedName name="NSSR100_3">NA()</definedName>
    <definedName name="NSSR100_5">NA()</definedName>
    <definedName name="NSSR101">#REF!</definedName>
    <definedName name="NSSR101_1">NA()</definedName>
    <definedName name="NSSR101_2">NA()</definedName>
    <definedName name="NSSR101_3">NA()</definedName>
    <definedName name="NSSR101_5">NA()</definedName>
    <definedName name="NSSR102">#REF!</definedName>
    <definedName name="NSSR102_1">NA()</definedName>
    <definedName name="NSSR102_2">NA()</definedName>
    <definedName name="NSSR102_3">NA()</definedName>
    <definedName name="NSSR102_5">NA()</definedName>
    <definedName name="NSSR103">#REF!</definedName>
    <definedName name="NSSR103_1">NA()</definedName>
    <definedName name="NSSR103_2">NA()</definedName>
    <definedName name="NSSR103_3">NA()</definedName>
    <definedName name="NSSR103_5">NA()</definedName>
    <definedName name="NSSR104">#REF!</definedName>
    <definedName name="NSSR104_1">NA()</definedName>
    <definedName name="NSSR104_2">NA()</definedName>
    <definedName name="NSSR104_3">NA()</definedName>
    <definedName name="NSSR104_5">NA()</definedName>
    <definedName name="NSSR105">#REF!</definedName>
    <definedName name="NSSR105_1">NA()</definedName>
    <definedName name="NSSR105_2">NA()</definedName>
    <definedName name="NSSR105_3">NA()</definedName>
    <definedName name="NSSR105_5">NA()</definedName>
    <definedName name="NSSR106">#REF!</definedName>
    <definedName name="NSSR106_1">NA()</definedName>
    <definedName name="NSSR106_2">NA()</definedName>
    <definedName name="NSSR106_3">NA()</definedName>
    <definedName name="NSSR106_5">NA()</definedName>
    <definedName name="NSSR107">#REF!</definedName>
    <definedName name="NSSR107_1">NA()</definedName>
    <definedName name="NSSR107_2">NA()</definedName>
    <definedName name="NSSR107_3">NA()</definedName>
    <definedName name="NSSR107_5">NA()</definedName>
    <definedName name="NSSR108">#REF!</definedName>
    <definedName name="NSSR108_1">NA()</definedName>
    <definedName name="NSSR108_2">NA()</definedName>
    <definedName name="NSSR108_3">NA()</definedName>
    <definedName name="NSSR108_5">NA()</definedName>
    <definedName name="NSSR109">#REF!</definedName>
    <definedName name="NSSR109_1">NA()</definedName>
    <definedName name="NSSR109_2">NA()</definedName>
    <definedName name="NSSR109_3">NA()</definedName>
    <definedName name="NSSR109_5">NA()</definedName>
    <definedName name="NSSR11">#REF!</definedName>
    <definedName name="NSSR11_1">NA()</definedName>
    <definedName name="NSSR11_2">NA()</definedName>
    <definedName name="NSSR11_3">NA()</definedName>
    <definedName name="NSSR11_5">NA()</definedName>
    <definedName name="NSSR110">#REF!</definedName>
    <definedName name="NSSR110_1">NA()</definedName>
    <definedName name="NSSR110_2">NA()</definedName>
    <definedName name="NSSR110_3">NA()</definedName>
    <definedName name="NSSR110_5">NA()</definedName>
    <definedName name="NSSR111">#REF!</definedName>
    <definedName name="NSSR111_1">NA()</definedName>
    <definedName name="NSSR111_2">NA()</definedName>
    <definedName name="NSSR111_3">NA()</definedName>
    <definedName name="NSSR111_5">NA()</definedName>
    <definedName name="NSSR112">#REF!</definedName>
    <definedName name="NSSR112_1">NA()</definedName>
    <definedName name="NSSR112_2">NA()</definedName>
    <definedName name="NSSR112_3">NA()</definedName>
    <definedName name="NSSR112_5">NA()</definedName>
    <definedName name="NSSR113">#REF!</definedName>
    <definedName name="NSSR113_1">NA()</definedName>
    <definedName name="NSSR113_2">NA()</definedName>
    <definedName name="NSSR113_3">NA()</definedName>
    <definedName name="NSSR113_5">NA()</definedName>
    <definedName name="NSSR114">#REF!</definedName>
    <definedName name="NSSR114_1">NA()</definedName>
    <definedName name="NSSR114_2">NA()</definedName>
    <definedName name="NSSR114_3">NA()</definedName>
    <definedName name="NSSR114_5">NA()</definedName>
    <definedName name="NSSR115">#REF!</definedName>
    <definedName name="NSSR115_1">NA()</definedName>
    <definedName name="NSSR115_2">NA()</definedName>
    <definedName name="NSSR115_3">NA()</definedName>
    <definedName name="NSSR115_5">NA()</definedName>
    <definedName name="NSSR116">#REF!</definedName>
    <definedName name="NSSR116_1">NA()</definedName>
    <definedName name="NSSR116_2">NA()</definedName>
    <definedName name="NSSR116_3">NA()</definedName>
    <definedName name="NSSR116_5">NA()</definedName>
    <definedName name="NSSR117">#REF!</definedName>
    <definedName name="NSSR117_1">NA()</definedName>
    <definedName name="NSSR117_2">NA()</definedName>
    <definedName name="NSSR117_3">NA()</definedName>
    <definedName name="NSSR117_5">NA()</definedName>
    <definedName name="NSSR118">#REF!</definedName>
    <definedName name="NSSR118_1">NA()</definedName>
    <definedName name="NSSR118_2">NA()</definedName>
    <definedName name="NSSR118_3">NA()</definedName>
    <definedName name="NSSR118_5">NA()</definedName>
    <definedName name="NSSR119">#REF!</definedName>
    <definedName name="NSSR119_1">NA()</definedName>
    <definedName name="NSSR119_2">NA()</definedName>
    <definedName name="NSSR119_3">NA()</definedName>
    <definedName name="NSSR119_5">NA()</definedName>
    <definedName name="NSSR12">#REF!</definedName>
    <definedName name="NSSR12_1">NA()</definedName>
    <definedName name="NSSR12_2">NA()</definedName>
    <definedName name="NSSR12_3">NA()</definedName>
    <definedName name="NSSR12_5">NA()</definedName>
    <definedName name="NSSR120">#REF!</definedName>
    <definedName name="NSSR120_1">NA()</definedName>
    <definedName name="NSSR120_2">NA()</definedName>
    <definedName name="NSSR120_3">NA()</definedName>
    <definedName name="NSSR120_5">NA()</definedName>
    <definedName name="NSSR121">#REF!</definedName>
    <definedName name="NSSR121_1">NA()</definedName>
    <definedName name="NSSR121_2">NA()</definedName>
    <definedName name="NSSR121_3">NA()</definedName>
    <definedName name="NSSR121_5">NA()</definedName>
    <definedName name="NSSR122">#REF!</definedName>
    <definedName name="NSSR122_1">NA()</definedName>
    <definedName name="NSSR122_2">NA()</definedName>
    <definedName name="NSSR122_3">NA()</definedName>
    <definedName name="NSSR122_5">NA()</definedName>
    <definedName name="NSSR123">#REF!</definedName>
    <definedName name="NSSR123_1">NA()</definedName>
    <definedName name="NSSR123_2">NA()</definedName>
    <definedName name="NSSR123_3">NA()</definedName>
    <definedName name="NSSR123_5">NA()</definedName>
    <definedName name="NSSR124">#REF!</definedName>
    <definedName name="NSSR124_1">NA()</definedName>
    <definedName name="NSSR124_2">NA()</definedName>
    <definedName name="NSSR124_3">NA()</definedName>
    <definedName name="NSSR124_5">NA()</definedName>
    <definedName name="NSSR125">#REF!</definedName>
    <definedName name="NSSR125_1">NA()</definedName>
    <definedName name="NSSR125_2">NA()</definedName>
    <definedName name="NSSR125_3">NA()</definedName>
    <definedName name="NSSR125_5">NA()</definedName>
    <definedName name="NSSR126">#REF!</definedName>
    <definedName name="NSSR126_1">NA()</definedName>
    <definedName name="NSSR126_2">NA()</definedName>
    <definedName name="NSSR126_3">NA()</definedName>
    <definedName name="NSSR126_5">NA()</definedName>
    <definedName name="NSSR127">#REF!</definedName>
    <definedName name="NSSR127_1">NA()</definedName>
    <definedName name="NSSR127_2">NA()</definedName>
    <definedName name="NSSR127_3">NA()</definedName>
    <definedName name="NSSR127_5">NA()</definedName>
    <definedName name="NSSR128">#REF!</definedName>
    <definedName name="NSSR128_1">NA()</definedName>
    <definedName name="NSSR128_2">NA()</definedName>
    <definedName name="NSSR128_3">NA()</definedName>
    <definedName name="NSSR128_5">NA()</definedName>
    <definedName name="NSSR129">#REF!</definedName>
    <definedName name="NSSR129_1">NA()</definedName>
    <definedName name="NSSR129_2">NA()</definedName>
    <definedName name="NSSR129_3">NA()</definedName>
    <definedName name="NSSR129_5">NA()</definedName>
    <definedName name="NSSR13">#REF!</definedName>
    <definedName name="NSSR13_1">NA()</definedName>
    <definedName name="NSSR13_2">NA()</definedName>
    <definedName name="NSSR13_3">NA()</definedName>
    <definedName name="NSSR13_5">NA()</definedName>
    <definedName name="NSSR130">#REF!</definedName>
    <definedName name="NSSR130_1">NA()</definedName>
    <definedName name="NSSR130_2">NA()</definedName>
    <definedName name="NSSR130_3">NA()</definedName>
    <definedName name="NSSR130_5">NA()</definedName>
    <definedName name="NSSR131">#REF!</definedName>
    <definedName name="NSSR131_1">NA()</definedName>
    <definedName name="NSSR131_2">NA()</definedName>
    <definedName name="NSSR131_3">NA()</definedName>
    <definedName name="NSSR131_5">NA()</definedName>
    <definedName name="NSSR132">#REF!</definedName>
    <definedName name="NSSR132_1">NA()</definedName>
    <definedName name="NSSR132_2">NA()</definedName>
    <definedName name="NSSR132_3">NA()</definedName>
    <definedName name="NSSR132_5">NA()</definedName>
    <definedName name="NSSR133">#REF!</definedName>
    <definedName name="NSSR133_1">NA()</definedName>
    <definedName name="NSSR133_2">NA()</definedName>
    <definedName name="NSSR133_3">NA()</definedName>
    <definedName name="NSSR133_5">NA()</definedName>
    <definedName name="NSSR134">#REF!</definedName>
    <definedName name="NSSR134_1">NA()</definedName>
    <definedName name="NSSR134_2">NA()</definedName>
    <definedName name="NSSR134_3">NA()</definedName>
    <definedName name="NSSR134_5">NA()</definedName>
    <definedName name="NSSR135">#REF!</definedName>
    <definedName name="NSSR135_1">NA()</definedName>
    <definedName name="NSSR135_2">NA()</definedName>
    <definedName name="NSSR135_3">NA()</definedName>
    <definedName name="NSSR135_5">NA()</definedName>
    <definedName name="NSSR136">#REF!</definedName>
    <definedName name="NSSR136_1">NA()</definedName>
    <definedName name="NSSR136_2">NA()</definedName>
    <definedName name="NSSR136_3">NA()</definedName>
    <definedName name="NSSR136_5">NA()</definedName>
    <definedName name="NSSR137">#REF!</definedName>
    <definedName name="NSSR137_1">NA()</definedName>
    <definedName name="NSSR137_2">NA()</definedName>
    <definedName name="NSSR137_3">NA()</definedName>
    <definedName name="NSSR137_5">NA()</definedName>
    <definedName name="NSSR138">#REF!</definedName>
    <definedName name="NSSR138_1">NA()</definedName>
    <definedName name="NSSR138_2">NA()</definedName>
    <definedName name="NSSR138_3">NA()</definedName>
    <definedName name="NSSR138_5">NA()</definedName>
    <definedName name="NSSR139">#REF!</definedName>
    <definedName name="NSSR139_1">NA()</definedName>
    <definedName name="NSSR139_2">NA()</definedName>
    <definedName name="NSSR139_3">NA()</definedName>
    <definedName name="NSSR139_5">NA()</definedName>
    <definedName name="NSSR14">#REF!</definedName>
    <definedName name="NSSR14_1">NA()</definedName>
    <definedName name="NSSR14_2">NA()</definedName>
    <definedName name="NSSR14_3">NA()</definedName>
    <definedName name="NSSR14_5">NA()</definedName>
    <definedName name="NSSR140">#REF!</definedName>
    <definedName name="NSSR140_1">NA()</definedName>
    <definedName name="NSSR140_2">NA()</definedName>
    <definedName name="NSSR140_3">NA()</definedName>
    <definedName name="NSSR140_5">NA()</definedName>
    <definedName name="NSSR141">#REF!</definedName>
    <definedName name="NSSR141_1">NA()</definedName>
    <definedName name="NSSR141_2">NA()</definedName>
    <definedName name="NSSR141_3">NA()</definedName>
    <definedName name="NSSR141_5">NA()</definedName>
    <definedName name="NSSR142">#REF!</definedName>
    <definedName name="NSSR142_1">NA()</definedName>
    <definedName name="NSSR142_2">NA()</definedName>
    <definedName name="NSSR142_3">NA()</definedName>
    <definedName name="NSSR142_5">NA()</definedName>
    <definedName name="NSSR143">#REF!</definedName>
    <definedName name="NSSR143_1">NA()</definedName>
    <definedName name="NSSR143_2">NA()</definedName>
    <definedName name="NSSR143_3">NA()</definedName>
    <definedName name="NSSR143_5">NA()</definedName>
    <definedName name="NSSR144">#REF!</definedName>
    <definedName name="NSSR144_1">NA()</definedName>
    <definedName name="NSSR144_2">NA()</definedName>
    <definedName name="NSSR144_3">NA()</definedName>
    <definedName name="NSSR144_5">NA()</definedName>
    <definedName name="NSSR145">#REF!</definedName>
    <definedName name="NSSR145_1">NA()</definedName>
    <definedName name="NSSR145_2">NA()</definedName>
    <definedName name="NSSR145_3">NA()</definedName>
    <definedName name="NSSR145_5">NA()</definedName>
    <definedName name="NSSR146">#REF!</definedName>
    <definedName name="NSSR146_1">NA()</definedName>
    <definedName name="NSSR146_2">NA()</definedName>
    <definedName name="NSSR146_3">NA()</definedName>
    <definedName name="NSSR146_5">NA()</definedName>
    <definedName name="NSSR147">#REF!</definedName>
    <definedName name="NSSR147_1">NA()</definedName>
    <definedName name="NSSR147_2">NA()</definedName>
    <definedName name="NSSR147_3">NA()</definedName>
    <definedName name="NSSR147_5">NA()</definedName>
    <definedName name="NSSR148">#REF!</definedName>
    <definedName name="NSSR148_1">NA()</definedName>
    <definedName name="NSSR148_2">NA()</definedName>
    <definedName name="NSSR148_3">NA()</definedName>
    <definedName name="NSSR148_5">NA()</definedName>
    <definedName name="NSSR149">#REF!</definedName>
    <definedName name="NSSR149_1">NA()</definedName>
    <definedName name="NSSR149_2">NA()</definedName>
    <definedName name="NSSR149_3">NA()</definedName>
    <definedName name="NSSR149_5">NA()</definedName>
    <definedName name="NSSR15">#REF!</definedName>
    <definedName name="NSSR15_1">NA()</definedName>
    <definedName name="NSSR15_2">NA()</definedName>
    <definedName name="NSSR15_3">NA()</definedName>
    <definedName name="NSSR15_5">NA()</definedName>
    <definedName name="NSSR150">#REF!</definedName>
    <definedName name="NSSR150_1">NA()</definedName>
    <definedName name="NSSR150_2">NA()</definedName>
    <definedName name="NSSR150_3">NA()</definedName>
    <definedName name="NSSR150_5">NA()</definedName>
    <definedName name="NSSR151">#REF!</definedName>
    <definedName name="NSSR151_1">NA()</definedName>
    <definedName name="NSSR151_2">NA()</definedName>
    <definedName name="NSSR151_3">NA()</definedName>
    <definedName name="NSSR151_5">NA()</definedName>
    <definedName name="NSSR152">#REF!</definedName>
    <definedName name="NSSR152_1">NA()</definedName>
    <definedName name="NSSR152_2">NA()</definedName>
    <definedName name="NSSR152_3">NA()</definedName>
    <definedName name="NSSR152_5">NA()</definedName>
    <definedName name="NSSR153">#REF!</definedName>
    <definedName name="NSSR153_1">NA()</definedName>
    <definedName name="NSSR153_2">NA()</definedName>
    <definedName name="NSSR153_3">NA()</definedName>
    <definedName name="NSSR153_5">NA()</definedName>
    <definedName name="NSSR154">#REF!</definedName>
    <definedName name="NSSR154_1">NA()</definedName>
    <definedName name="NSSR154_2">NA()</definedName>
    <definedName name="NSSR154_3">NA()</definedName>
    <definedName name="NSSR154_5">NA()</definedName>
    <definedName name="NSSR155">#REF!</definedName>
    <definedName name="NSSR155_1">NA()</definedName>
    <definedName name="NSSR155_2">NA()</definedName>
    <definedName name="NSSR155_3">NA()</definedName>
    <definedName name="NSSR155_5">NA()</definedName>
    <definedName name="NSSR156">#REF!</definedName>
    <definedName name="NSSR156_1">NA()</definedName>
    <definedName name="NSSR156_2">NA()</definedName>
    <definedName name="NSSR156_3">NA()</definedName>
    <definedName name="NSSR156_5">NA()</definedName>
    <definedName name="NSSR157">#REF!</definedName>
    <definedName name="NSSR157_1">NA()</definedName>
    <definedName name="NSSR157_2">NA()</definedName>
    <definedName name="NSSR157_3">NA()</definedName>
    <definedName name="NSSR157_5">NA()</definedName>
    <definedName name="NSSR158">#REF!</definedName>
    <definedName name="NSSR158_1">NA()</definedName>
    <definedName name="NSSR158_2">NA()</definedName>
    <definedName name="NSSR158_3">NA()</definedName>
    <definedName name="NSSR158_5">NA()</definedName>
    <definedName name="NSSR159">#REF!</definedName>
    <definedName name="NSSR159_1">NA()</definedName>
    <definedName name="NSSR159_2">NA()</definedName>
    <definedName name="NSSR159_3">NA()</definedName>
    <definedName name="NSSR159_5">NA()</definedName>
    <definedName name="NSSR16">#REF!</definedName>
    <definedName name="NSSR16_1">NA()</definedName>
    <definedName name="NSSR16_2">NA()</definedName>
    <definedName name="NSSR16_3">NA()</definedName>
    <definedName name="NSSR16_5">NA()</definedName>
    <definedName name="NSSR160">#REF!</definedName>
    <definedName name="NSSR160_1">NA()</definedName>
    <definedName name="NSSR160_2">NA()</definedName>
    <definedName name="NSSR160_3">NA()</definedName>
    <definedName name="NSSR160_5">NA()</definedName>
    <definedName name="NSSR161">#REF!</definedName>
    <definedName name="NSSR161_1">NA()</definedName>
    <definedName name="NSSR161_2">NA()</definedName>
    <definedName name="NSSR161_3">NA()</definedName>
    <definedName name="NSSR161_5">NA()</definedName>
    <definedName name="NSSR162">#REF!</definedName>
    <definedName name="NSSR162_1">NA()</definedName>
    <definedName name="NSSR162_2">NA()</definedName>
    <definedName name="NSSR162_3">NA()</definedName>
    <definedName name="NSSR162_5">NA()</definedName>
    <definedName name="NSSR163">#REF!</definedName>
    <definedName name="NSSR163_1">NA()</definedName>
    <definedName name="NSSR163_2">NA()</definedName>
    <definedName name="NSSR163_3">NA()</definedName>
    <definedName name="NSSR163_5">NA()</definedName>
    <definedName name="NSSR164">#REF!</definedName>
    <definedName name="NSSR164_1">NA()</definedName>
    <definedName name="NSSR164_2">NA()</definedName>
    <definedName name="NSSR164_3">NA()</definedName>
    <definedName name="NSSR164_5">NA()</definedName>
    <definedName name="NSSR165">#REF!</definedName>
    <definedName name="NSSR165_1">NA()</definedName>
    <definedName name="NSSR165_2">NA()</definedName>
    <definedName name="NSSR165_3">NA()</definedName>
    <definedName name="NSSR165_5">NA()</definedName>
    <definedName name="NSSR166">#REF!</definedName>
    <definedName name="NSSR166_1">NA()</definedName>
    <definedName name="NSSR166_2">NA()</definedName>
    <definedName name="NSSR166_3">NA()</definedName>
    <definedName name="NSSR166_5">NA()</definedName>
    <definedName name="NSSR167">#REF!</definedName>
    <definedName name="NSSR167_1">NA()</definedName>
    <definedName name="NSSR167_2">NA()</definedName>
    <definedName name="NSSR167_3">NA()</definedName>
    <definedName name="NSSR167_5">NA()</definedName>
    <definedName name="NSSR168">#REF!</definedName>
    <definedName name="NSSR168_1">NA()</definedName>
    <definedName name="NSSR168_2">NA()</definedName>
    <definedName name="NSSR168_3">NA()</definedName>
    <definedName name="NSSR168_5">NA()</definedName>
    <definedName name="NSSR169">#REF!</definedName>
    <definedName name="NSSR169_1">NA()</definedName>
    <definedName name="NSSR169_2">NA()</definedName>
    <definedName name="NSSR169_3">NA()</definedName>
    <definedName name="NSSR169_5">NA()</definedName>
    <definedName name="NSSR17">#REF!</definedName>
    <definedName name="NSSR17_1">NA()</definedName>
    <definedName name="NSSR17_2">NA()</definedName>
    <definedName name="NSSR17_3">NA()</definedName>
    <definedName name="NSSR17_5">NA()</definedName>
    <definedName name="NSSR170">#REF!</definedName>
    <definedName name="NSSR170_1">NA()</definedName>
    <definedName name="NSSR170_2">NA()</definedName>
    <definedName name="NSSR170_3">NA()</definedName>
    <definedName name="NSSR170_5">NA()</definedName>
    <definedName name="NSSR171">#REF!</definedName>
    <definedName name="NSSR171_1">NA()</definedName>
    <definedName name="NSSR171_2">NA()</definedName>
    <definedName name="NSSR171_3">NA()</definedName>
    <definedName name="NSSR171_5">NA()</definedName>
    <definedName name="NSSR172">#REF!</definedName>
    <definedName name="NSSR172_1">NA()</definedName>
    <definedName name="NSSR172_2">NA()</definedName>
    <definedName name="NSSR172_3">NA()</definedName>
    <definedName name="NSSR172_5">NA()</definedName>
    <definedName name="NSSR173">#REF!</definedName>
    <definedName name="NSSR173_1">NA()</definedName>
    <definedName name="NSSR173_2">NA()</definedName>
    <definedName name="NSSR173_3">NA()</definedName>
    <definedName name="NSSR173_5">NA()</definedName>
    <definedName name="NSSR174">#REF!</definedName>
    <definedName name="NSSR174_1">NA()</definedName>
    <definedName name="NSSR174_2">NA()</definedName>
    <definedName name="NSSR174_3">NA()</definedName>
    <definedName name="NSSR174_5">NA()</definedName>
    <definedName name="NSSR18">#REF!</definedName>
    <definedName name="NSSR18_1">NA()</definedName>
    <definedName name="NSSR18_2">NA()</definedName>
    <definedName name="NSSR18_3">NA()</definedName>
    <definedName name="NSSR18_5">NA()</definedName>
    <definedName name="NSSR19">#REF!</definedName>
    <definedName name="NSSR19_1">NA()</definedName>
    <definedName name="NSSR19_2">NA()</definedName>
    <definedName name="NSSR19_3">NA()</definedName>
    <definedName name="NSSR19_5">NA()</definedName>
    <definedName name="NSSR2">#REF!</definedName>
    <definedName name="NSSR2_1">NA()</definedName>
    <definedName name="NSSR2_2">NA()</definedName>
    <definedName name="NSSR2_3">NA()</definedName>
    <definedName name="NSSR2_5">NA()</definedName>
    <definedName name="NSSR20">#REF!</definedName>
    <definedName name="NSSR20_1">NA()</definedName>
    <definedName name="NSSR20_2">NA()</definedName>
    <definedName name="NSSR20_3">NA()</definedName>
    <definedName name="NSSR20_5">NA()</definedName>
    <definedName name="NSSR21">#REF!</definedName>
    <definedName name="NSSR21_1">NA()</definedName>
    <definedName name="NSSR21_2">NA()</definedName>
    <definedName name="NSSR21_3">NA()</definedName>
    <definedName name="NSSR21_5">NA()</definedName>
    <definedName name="NSSR22">#REF!</definedName>
    <definedName name="NSSR22_1">NA()</definedName>
    <definedName name="NSSR22_2">NA()</definedName>
    <definedName name="NSSR22_3">NA()</definedName>
    <definedName name="NSSR22_5">NA()</definedName>
    <definedName name="NSSR23">#REF!</definedName>
    <definedName name="NSSR23_1">NA()</definedName>
    <definedName name="NSSR23_2">NA()</definedName>
    <definedName name="NSSR23_3">NA()</definedName>
    <definedName name="NSSR23_5">NA()</definedName>
    <definedName name="NSSR24">#REF!</definedName>
    <definedName name="NSSR24_1">NA()</definedName>
    <definedName name="NSSR24_2">NA()</definedName>
    <definedName name="NSSR24_3">NA()</definedName>
    <definedName name="NSSR24_5">NA()</definedName>
    <definedName name="NSSR25">#REF!</definedName>
    <definedName name="NSSR25_1">NA()</definedName>
    <definedName name="NSSR25_2">NA()</definedName>
    <definedName name="NSSR25_3">NA()</definedName>
    <definedName name="NSSR25_5">NA()</definedName>
    <definedName name="NSSR26">#REF!</definedName>
    <definedName name="NSSR26_1">NA()</definedName>
    <definedName name="NSSR26_2">NA()</definedName>
    <definedName name="NSSR26_3">NA()</definedName>
    <definedName name="NSSR26_5">NA()</definedName>
    <definedName name="NSSR27">#REF!</definedName>
    <definedName name="NSSR27_1">NA()</definedName>
    <definedName name="NSSR27_2">NA()</definedName>
    <definedName name="NSSR27_3">NA()</definedName>
    <definedName name="NSSR27_5">NA()</definedName>
    <definedName name="NSSR28">#REF!</definedName>
    <definedName name="NSSR28_1">NA()</definedName>
    <definedName name="NSSR28_2">NA()</definedName>
    <definedName name="NSSR28_3">NA()</definedName>
    <definedName name="NSSR28_5">NA()</definedName>
    <definedName name="NSSR29">#REF!</definedName>
    <definedName name="NSSR29_1">NA()</definedName>
    <definedName name="NSSR29_2">NA()</definedName>
    <definedName name="NSSR29_3">NA()</definedName>
    <definedName name="NSSR29_5">NA()</definedName>
    <definedName name="NSSR3">#REF!</definedName>
    <definedName name="NSSR3_1">NA()</definedName>
    <definedName name="NSSR3_2">NA()</definedName>
    <definedName name="NSSR3_3">NA()</definedName>
    <definedName name="NSSR3_5">NA()</definedName>
    <definedName name="NSSR30">#REF!</definedName>
    <definedName name="NSSR30_1">NA()</definedName>
    <definedName name="NSSR30_2">NA()</definedName>
    <definedName name="NSSR30_3">NA()</definedName>
    <definedName name="NSSR30_5">NA()</definedName>
    <definedName name="NSSR31">#REF!</definedName>
    <definedName name="NSSR31_1">NA()</definedName>
    <definedName name="NSSR31_2">NA()</definedName>
    <definedName name="NSSR31_3">NA()</definedName>
    <definedName name="NSSR31_5">NA()</definedName>
    <definedName name="NSSR32">#REF!</definedName>
    <definedName name="NSSR32_1">NA()</definedName>
    <definedName name="NSSR32_2">NA()</definedName>
    <definedName name="NSSR32_3">NA()</definedName>
    <definedName name="NSSR32_5">NA()</definedName>
    <definedName name="NSSR33">#REF!</definedName>
    <definedName name="NSSR33_1">NA()</definedName>
    <definedName name="NSSR33_2">NA()</definedName>
    <definedName name="NSSR33_3">NA()</definedName>
    <definedName name="NSSR33_5">NA()</definedName>
    <definedName name="NSSR34">#REF!</definedName>
    <definedName name="NSSR34_1">NA()</definedName>
    <definedName name="NSSR34_2">NA()</definedName>
    <definedName name="NSSR34_3">NA()</definedName>
    <definedName name="NSSR34_5">NA()</definedName>
    <definedName name="NSSR35">#REF!</definedName>
    <definedName name="NSSR35_1">NA()</definedName>
    <definedName name="NSSR35_2">NA()</definedName>
    <definedName name="NSSR35_3">NA()</definedName>
    <definedName name="NSSR35_5">NA()</definedName>
    <definedName name="NSSR36">#REF!</definedName>
    <definedName name="NSSR36_1">NA()</definedName>
    <definedName name="NSSR36_2">NA()</definedName>
    <definedName name="NSSR36_3">NA()</definedName>
    <definedName name="NSSR36_5">NA()</definedName>
    <definedName name="NSSR37">#REF!</definedName>
    <definedName name="NSSR37_1">NA()</definedName>
    <definedName name="NSSR37_2">NA()</definedName>
    <definedName name="NSSR37_3">NA()</definedName>
    <definedName name="NSSR37_5">NA()</definedName>
    <definedName name="NSSR38">#REF!</definedName>
    <definedName name="NSSR38_1">NA()</definedName>
    <definedName name="NSSR38_2">NA()</definedName>
    <definedName name="NSSR38_3">NA()</definedName>
    <definedName name="NSSR38_5">NA()</definedName>
    <definedName name="NSSR39">#REF!</definedName>
    <definedName name="NSSR39_1">NA()</definedName>
    <definedName name="NSSR39_2">NA()</definedName>
    <definedName name="NSSR39_3">NA()</definedName>
    <definedName name="NSSR39_5">NA()</definedName>
    <definedName name="NSSR4">#REF!</definedName>
    <definedName name="NSSR4_1">NA()</definedName>
    <definedName name="NSSR4_2">NA()</definedName>
    <definedName name="NSSR4_3">NA()</definedName>
    <definedName name="NSSR4_5">NA()</definedName>
    <definedName name="NSSR40">#REF!</definedName>
    <definedName name="NSSR40_1">NA()</definedName>
    <definedName name="NSSR40_2">NA()</definedName>
    <definedName name="NSSR40_3">NA()</definedName>
    <definedName name="NSSR40_5">NA()</definedName>
    <definedName name="NSSR41">#REF!</definedName>
    <definedName name="NSSR41_1">NA()</definedName>
    <definedName name="NSSR41_2">NA()</definedName>
    <definedName name="NSSR41_3">NA()</definedName>
    <definedName name="NSSR41_5">NA()</definedName>
    <definedName name="NSSR42">#REF!</definedName>
    <definedName name="NSSR42_1">NA()</definedName>
    <definedName name="NSSR42_2">NA()</definedName>
    <definedName name="NSSR42_3">NA()</definedName>
    <definedName name="NSSR42_5">NA()</definedName>
    <definedName name="NSSR43">#REF!</definedName>
    <definedName name="NSSR43_1">NA()</definedName>
    <definedName name="NSSR43_2">NA()</definedName>
    <definedName name="NSSR43_3">NA()</definedName>
    <definedName name="NSSR43_5">NA()</definedName>
    <definedName name="NSSR44">#REF!</definedName>
    <definedName name="NSSR44_1">NA()</definedName>
    <definedName name="NSSR44_2">NA()</definedName>
    <definedName name="NSSR44_3">NA()</definedName>
    <definedName name="NSSR44_5">NA()</definedName>
    <definedName name="NSSR45">#REF!</definedName>
    <definedName name="NSSR45_1">NA()</definedName>
    <definedName name="NSSR45_2">NA()</definedName>
    <definedName name="NSSR45_3">NA()</definedName>
    <definedName name="NSSR45_5">NA()</definedName>
    <definedName name="NSSR46">#REF!</definedName>
    <definedName name="NSSR46_1">NA()</definedName>
    <definedName name="NSSR46_2">NA()</definedName>
    <definedName name="NSSR46_3">NA()</definedName>
    <definedName name="NSSR46_5">NA()</definedName>
    <definedName name="NSSR47">#REF!</definedName>
    <definedName name="NSSR47_1">NA()</definedName>
    <definedName name="NSSR47_2">NA()</definedName>
    <definedName name="NSSR47_3">NA()</definedName>
    <definedName name="NSSR47_5">NA()</definedName>
    <definedName name="NSSR48">#REF!</definedName>
    <definedName name="NSSR48_1">NA()</definedName>
    <definedName name="NSSR48_2">NA()</definedName>
    <definedName name="NSSR48_3">NA()</definedName>
    <definedName name="NSSR48_5">NA()</definedName>
    <definedName name="NSSR49">#REF!</definedName>
    <definedName name="NSSR49_1">NA()</definedName>
    <definedName name="NSSR49_2">NA()</definedName>
    <definedName name="NSSR49_3">NA()</definedName>
    <definedName name="NSSR49_5">NA()</definedName>
    <definedName name="NSSR5">#REF!</definedName>
    <definedName name="NSSR5_1">NA()</definedName>
    <definedName name="NSSR5_2">NA()</definedName>
    <definedName name="NSSR5_3">NA()</definedName>
    <definedName name="NSSR5_5">NA()</definedName>
    <definedName name="NSSR50">#REF!</definedName>
    <definedName name="NSSR50_1">NA()</definedName>
    <definedName name="NSSR50_2">NA()</definedName>
    <definedName name="NSSR50_3">NA()</definedName>
    <definedName name="NSSR50_5">NA()</definedName>
    <definedName name="NSSR51">#REF!</definedName>
    <definedName name="NSSR51_1">NA()</definedName>
    <definedName name="NSSR51_2">NA()</definedName>
    <definedName name="NSSR51_3">NA()</definedName>
    <definedName name="NSSR51_5">NA()</definedName>
    <definedName name="NSSR52">#REF!</definedName>
    <definedName name="NSSR52_1">NA()</definedName>
    <definedName name="NSSR52_2">NA()</definedName>
    <definedName name="NSSR52_3">NA()</definedName>
    <definedName name="NSSR52_5">NA()</definedName>
    <definedName name="NSSR53">#REF!</definedName>
    <definedName name="NSSR53_1">NA()</definedName>
    <definedName name="NSSR53_2">NA()</definedName>
    <definedName name="NSSR53_3">NA()</definedName>
    <definedName name="NSSR53_5">NA()</definedName>
    <definedName name="NSSR54">#REF!</definedName>
    <definedName name="NSSR54_1">NA()</definedName>
    <definedName name="NSSR54_2">NA()</definedName>
    <definedName name="NSSR54_3">NA()</definedName>
    <definedName name="NSSR54_5">NA()</definedName>
    <definedName name="NSSR55">#REF!</definedName>
    <definedName name="NSSR55_1">NA()</definedName>
    <definedName name="NSSR55_2">NA()</definedName>
    <definedName name="NSSR55_3">NA()</definedName>
    <definedName name="NSSR55_5">NA()</definedName>
    <definedName name="NSSR56">#REF!</definedName>
    <definedName name="NSSR56_1">NA()</definedName>
    <definedName name="NSSR56_2">NA()</definedName>
    <definedName name="NSSR56_3">NA()</definedName>
    <definedName name="NSSR56_5">NA()</definedName>
    <definedName name="NSSR57">#REF!</definedName>
    <definedName name="NSSR57_1">NA()</definedName>
    <definedName name="NSSR57_2">NA()</definedName>
    <definedName name="NSSR57_3">NA()</definedName>
    <definedName name="NSSR57_5">NA()</definedName>
    <definedName name="NSSR58">#REF!</definedName>
    <definedName name="NSSR58_1">NA()</definedName>
    <definedName name="NSSR58_2">NA()</definedName>
    <definedName name="NSSR58_3">NA()</definedName>
    <definedName name="NSSR58_5">NA()</definedName>
    <definedName name="NSSR59">#REF!</definedName>
    <definedName name="NSSR59_1">NA()</definedName>
    <definedName name="NSSR59_2">NA()</definedName>
    <definedName name="NSSR59_3">NA()</definedName>
    <definedName name="NSSR59_5">NA()</definedName>
    <definedName name="NSSR6">#REF!</definedName>
    <definedName name="NSSR6_1">NA()</definedName>
    <definedName name="NSSR6_2">NA()</definedName>
    <definedName name="NSSR6_3">NA()</definedName>
    <definedName name="NSSR6_5">NA()</definedName>
    <definedName name="NSSR60">#REF!</definedName>
    <definedName name="NSSR60_1">NA()</definedName>
    <definedName name="NSSR60_2">NA()</definedName>
    <definedName name="NSSR60_3">NA()</definedName>
    <definedName name="NSSR60_5">NA()</definedName>
    <definedName name="NSSR61">#REF!</definedName>
    <definedName name="NSSR61_1">NA()</definedName>
    <definedName name="NSSR61_2">NA()</definedName>
    <definedName name="NSSR61_3">NA()</definedName>
    <definedName name="NSSR61_5">NA()</definedName>
    <definedName name="NSSR62">#REF!</definedName>
    <definedName name="NSSR62_1">NA()</definedName>
    <definedName name="NSSR62_2">NA()</definedName>
    <definedName name="NSSR62_3">NA()</definedName>
    <definedName name="NSSR62_5">NA()</definedName>
    <definedName name="NSSR63">#REF!</definedName>
    <definedName name="NSSR63_1">NA()</definedName>
    <definedName name="NSSR63_2">NA()</definedName>
    <definedName name="NSSR63_3">NA()</definedName>
    <definedName name="NSSR63_5">NA()</definedName>
    <definedName name="NSSR64">#REF!</definedName>
    <definedName name="NSSR64_1">NA()</definedName>
    <definedName name="NSSR64_2">NA()</definedName>
    <definedName name="NSSR64_3">NA()</definedName>
    <definedName name="NSSR64_5">NA()</definedName>
    <definedName name="NSSR65">#REF!</definedName>
    <definedName name="NSSR65_1">NA()</definedName>
    <definedName name="NSSR65_2">NA()</definedName>
    <definedName name="NSSR65_3">NA()</definedName>
    <definedName name="NSSR65_5">NA()</definedName>
    <definedName name="NSSR66">#REF!</definedName>
    <definedName name="NSSR66_1">NA()</definedName>
    <definedName name="NSSR66_2">NA()</definedName>
    <definedName name="NSSR66_3">NA()</definedName>
    <definedName name="NSSR66_5">NA()</definedName>
    <definedName name="NSSR67">#REF!</definedName>
    <definedName name="NSSR67_1">NA()</definedName>
    <definedName name="NSSR67_2">NA()</definedName>
    <definedName name="NSSR67_3">NA()</definedName>
    <definedName name="NSSR67_5">NA()</definedName>
    <definedName name="NSSR68">#REF!</definedName>
    <definedName name="NSSR68_1">NA()</definedName>
    <definedName name="NSSR68_2">NA()</definedName>
    <definedName name="NSSR68_3">NA()</definedName>
    <definedName name="NSSR68_5">NA()</definedName>
    <definedName name="NSSR69">#REF!</definedName>
    <definedName name="NSSR69_1">NA()</definedName>
    <definedName name="NSSR69_2">NA()</definedName>
    <definedName name="NSSR69_3">NA()</definedName>
    <definedName name="NSSR69_5">NA()</definedName>
    <definedName name="NSSR7">#REF!</definedName>
    <definedName name="NSSR7_1">NA()</definedName>
    <definedName name="NSSR7_2">NA()</definedName>
    <definedName name="NSSR7_3">NA()</definedName>
    <definedName name="NSSR7_5">NA()</definedName>
    <definedName name="NSSR70">#REF!</definedName>
    <definedName name="NSSR70_1">NA()</definedName>
    <definedName name="NSSR70_2">NA()</definedName>
    <definedName name="NSSR70_3">NA()</definedName>
    <definedName name="NSSR70_5">NA()</definedName>
    <definedName name="NSSR71">#REF!</definedName>
    <definedName name="NSSR71_1">NA()</definedName>
    <definedName name="NSSR71_2">NA()</definedName>
    <definedName name="NSSR71_3">NA()</definedName>
    <definedName name="NSSR71_5">NA()</definedName>
    <definedName name="NSSR72">#REF!</definedName>
    <definedName name="NSSR72_1">NA()</definedName>
    <definedName name="NSSR72_2">NA()</definedName>
    <definedName name="NSSR72_3">NA()</definedName>
    <definedName name="NSSR72_5">NA()</definedName>
    <definedName name="NSSR73">#REF!</definedName>
    <definedName name="NSSR73_1">NA()</definedName>
    <definedName name="NSSR73_2">NA()</definedName>
    <definedName name="NSSR73_3">NA()</definedName>
    <definedName name="NSSR73_5">NA()</definedName>
    <definedName name="NSSR74">#REF!</definedName>
    <definedName name="NSSR74_1">NA()</definedName>
    <definedName name="NSSR74_2">NA()</definedName>
    <definedName name="NSSR74_3">NA()</definedName>
    <definedName name="NSSR74_5">NA()</definedName>
    <definedName name="NSSR75">#REF!</definedName>
    <definedName name="NSSR75_1">NA()</definedName>
    <definedName name="NSSR75_2">NA()</definedName>
    <definedName name="NSSR75_3">NA()</definedName>
    <definedName name="NSSR75_5">NA()</definedName>
    <definedName name="NSSR76">#REF!</definedName>
    <definedName name="NSSR76_1">NA()</definedName>
    <definedName name="NSSR76_2">NA()</definedName>
    <definedName name="NSSR76_3">NA()</definedName>
    <definedName name="NSSR76_5">NA()</definedName>
    <definedName name="NSSR77">#REF!</definedName>
    <definedName name="NSSR77_1">NA()</definedName>
    <definedName name="NSSR77_2">NA()</definedName>
    <definedName name="NSSR77_3">NA()</definedName>
    <definedName name="NSSR77_5">NA()</definedName>
    <definedName name="NSSR78">#REF!</definedName>
    <definedName name="NSSR78_1">NA()</definedName>
    <definedName name="NSSR78_2">NA()</definedName>
    <definedName name="NSSR78_3">NA()</definedName>
    <definedName name="NSSR78_5">NA()</definedName>
    <definedName name="NSSR79">#REF!</definedName>
    <definedName name="NSSR79_1">NA()</definedName>
    <definedName name="NSSR79_2">NA()</definedName>
    <definedName name="NSSR79_3">NA()</definedName>
    <definedName name="NSSR79_5">NA()</definedName>
    <definedName name="NSSR8">#REF!</definedName>
    <definedName name="NSSR8_1">NA()</definedName>
    <definedName name="NSSR8_2">NA()</definedName>
    <definedName name="NSSR8_3">NA()</definedName>
    <definedName name="NSSR8_5">NA()</definedName>
    <definedName name="NSSR80">#REF!</definedName>
    <definedName name="NSSR80_1">NA()</definedName>
    <definedName name="NSSR80_2">NA()</definedName>
    <definedName name="NSSR80_3">NA()</definedName>
    <definedName name="NSSR80_5">NA()</definedName>
    <definedName name="NSSR81">#REF!</definedName>
    <definedName name="NSSR81_1">NA()</definedName>
    <definedName name="NSSR81_2">NA()</definedName>
    <definedName name="NSSR81_3">NA()</definedName>
    <definedName name="NSSR81_5">NA()</definedName>
    <definedName name="NSSR82">#REF!</definedName>
    <definedName name="NSSR82_1">NA()</definedName>
    <definedName name="NSSR82_2">NA()</definedName>
    <definedName name="NSSR82_3">NA()</definedName>
    <definedName name="NSSR82_5">NA()</definedName>
    <definedName name="NSSR83">#REF!</definedName>
    <definedName name="NSSR83_1">NA()</definedName>
    <definedName name="NSSR83_2">NA()</definedName>
    <definedName name="NSSR83_3">NA()</definedName>
    <definedName name="NSSR83_5">NA()</definedName>
    <definedName name="NSSR84">#REF!</definedName>
    <definedName name="NSSR84_1">NA()</definedName>
    <definedName name="NSSR84_2">NA()</definedName>
    <definedName name="NSSR84_3">NA()</definedName>
    <definedName name="NSSR84_5">NA()</definedName>
    <definedName name="NSSR85">#REF!</definedName>
    <definedName name="NSSR85_1">NA()</definedName>
    <definedName name="NSSR85_2">NA()</definedName>
    <definedName name="NSSR85_3">NA()</definedName>
    <definedName name="NSSR85_5">NA()</definedName>
    <definedName name="NSSR86">#REF!</definedName>
    <definedName name="NSSR86_1">NA()</definedName>
    <definedName name="NSSR86_2">NA()</definedName>
    <definedName name="NSSR86_3">NA()</definedName>
    <definedName name="NSSR86_5">NA()</definedName>
    <definedName name="NSSR87">#REF!</definedName>
    <definedName name="NSSR87_1">NA()</definedName>
    <definedName name="NSSR87_2">NA()</definedName>
    <definedName name="NSSR87_3">NA()</definedName>
    <definedName name="NSSR87_5">NA()</definedName>
    <definedName name="NSSR88">#REF!</definedName>
    <definedName name="NSSR88_1">NA()</definedName>
    <definedName name="NSSR88_2">NA()</definedName>
    <definedName name="NSSR88_3">NA()</definedName>
    <definedName name="NSSR88_5">NA()</definedName>
    <definedName name="NSSR89">#REF!</definedName>
    <definedName name="NSSR89_1">NA()</definedName>
    <definedName name="NSSR89_2">NA()</definedName>
    <definedName name="NSSR89_3">NA()</definedName>
    <definedName name="NSSR89_5">NA()</definedName>
    <definedName name="NSSR9">#REF!</definedName>
    <definedName name="NSSR9_1">NA()</definedName>
    <definedName name="NSSR9_2">NA()</definedName>
    <definedName name="NSSR9_3">NA()</definedName>
    <definedName name="NSSR9_5">NA()</definedName>
    <definedName name="NSSR90">#REF!</definedName>
    <definedName name="NSSR90_1">NA()</definedName>
    <definedName name="NSSR90_2">NA()</definedName>
    <definedName name="NSSR90_3">NA()</definedName>
    <definedName name="NSSR90_5">NA()</definedName>
    <definedName name="NSSR91">#REF!</definedName>
    <definedName name="NSSR91_1">NA()</definedName>
    <definedName name="NSSR91_2">NA()</definedName>
    <definedName name="NSSR91_3">NA()</definedName>
    <definedName name="NSSR91_5">NA()</definedName>
    <definedName name="NSSR92">#REF!</definedName>
    <definedName name="NSSR92_1">NA()</definedName>
    <definedName name="NSSR92_2">NA()</definedName>
    <definedName name="NSSR92_3">NA()</definedName>
    <definedName name="NSSR92_5">NA()</definedName>
    <definedName name="NSSR93">#REF!</definedName>
    <definedName name="NSSR93_1">NA()</definedName>
    <definedName name="NSSR93_2">NA()</definedName>
    <definedName name="NSSR93_3">NA()</definedName>
    <definedName name="NSSR93_5">NA()</definedName>
    <definedName name="NSSR94">#REF!</definedName>
    <definedName name="NSSR94_1">NA()</definedName>
    <definedName name="NSSR94_2">NA()</definedName>
    <definedName name="NSSR94_3">NA()</definedName>
    <definedName name="NSSR94_5">NA()</definedName>
    <definedName name="NSSR95">#REF!</definedName>
    <definedName name="NSSR95_1">NA()</definedName>
    <definedName name="NSSR95_2">NA()</definedName>
    <definedName name="NSSR95_3">NA()</definedName>
    <definedName name="NSSR95_5">NA()</definedName>
    <definedName name="NSSR96">#REF!</definedName>
    <definedName name="NSSR96_1">NA()</definedName>
    <definedName name="NSSR96_2">NA()</definedName>
    <definedName name="NSSR96_3">NA()</definedName>
    <definedName name="NSSR96_5">NA()</definedName>
    <definedName name="NSSR97">#REF!</definedName>
    <definedName name="NSSR97_1">NA()</definedName>
    <definedName name="NSSR97_2">NA()</definedName>
    <definedName name="NSSR97_3">NA()</definedName>
    <definedName name="NSSR97_5">NA()</definedName>
    <definedName name="NSSR98">#REF!</definedName>
    <definedName name="NSSR98_1">NA()</definedName>
    <definedName name="NSSR98_2">NA()</definedName>
    <definedName name="NSSR98_3">NA()</definedName>
    <definedName name="NSSR98_5">NA()</definedName>
    <definedName name="NSSR99">#REF!</definedName>
    <definedName name="NSSR99_1">NA()</definedName>
    <definedName name="NSSR99_2">NA()</definedName>
    <definedName name="NSSR99_3">NA()</definedName>
    <definedName name="NSSR99_5">NA()</definedName>
    <definedName name="nsss" hidden="1">{#N/A,#N/A,TRUE,"Krycí list"}</definedName>
    <definedName name="ntes">#REF!</definedName>
    <definedName name="ntesu">#REF!</definedName>
    <definedName name="Num_Pmt_Per_Year">#REF!</definedName>
    <definedName name="Number_of_Payments">MATCH(0.01,End_Bal,-1)+1</definedName>
    <definedName name="Number_of_Payments_1">#N/A</definedName>
    <definedName name="Number_of_Payments_2">NA()</definedName>
    <definedName name="Number_of_Payments_3">#N/A</definedName>
    <definedName name="numf">#REF!</definedName>
    <definedName name="NvsASD">"V2006-08-31"</definedName>
    <definedName name="NvsAutoDrillOk">"VN"</definedName>
    <definedName name="NVSDefaultDrill">"ActDep"</definedName>
    <definedName name="NvsElapsedTime">0.00229166667122627</definedName>
    <definedName name="NvsEndTime">38973.6002314814</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"%,X,RZF..R00B,CPF..C00B"</definedName>
    <definedName name="NvsPanelBusUnit">"V07870"</definedName>
    <definedName name="NvsPanelEffdt">"V1900-01-01"</definedName>
    <definedName name="NvsPanelSetid">"VGLOBL"</definedName>
    <definedName name="NvsReqBU">"V07870"</definedName>
    <definedName name="NvsReqBUOnly">"VY"</definedName>
    <definedName name="NvsStyleNme">"Nocturne.xls"</definedName>
    <definedName name="NvsTransLed">"VN"</definedName>
    <definedName name="NvsTreeASD">"V2006-08-31"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PROJECT_ID">"PROJECT"</definedName>
    <definedName name="NvsValTbl.RESOURCE_CATEGORY">"PROJ_CATG_TBL"</definedName>
    <definedName name="NvsValTbl.RESOURCE_SUB_CAT">"PROJ_SUBCAT_TBL"</definedName>
    <definedName name="NvsValTbl.RESOURCE_TYPE">"PROJ_RES_TYPE"</definedName>
    <definedName name="NW">#REF!</definedName>
    <definedName name="Nx">#REF!</definedName>
    <definedName name="Nx___0">#REF!</definedName>
    <definedName name="Nx___0_1">NA()</definedName>
    <definedName name="Nx___0_2">NA()</definedName>
    <definedName name="Nx___0_3">NA()</definedName>
    <definedName name="Nx___0_5">NA()</definedName>
    <definedName name="Nx___13">#REF!</definedName>
    <definedName name="Nx___13_1">NA()</definedName>
    <definedName name="Nx___13_2">NA()</definedName>
    <definedName name="Nx___13_3">NA()</definedName>
    <definedName name="Nx___13_5">NA()</definedName>
    <definedName name="Nx_1">NA()</definedName>
    <definedName name="Nx_2">NA()</definedName>
    <definedName name="Nx_3">NA()</definedName>
    <definedName name="Nx_5">NA()</definedName>
    <definedName name="Ny">#REF!</definedName>
    <definedName name="Ny___0">#REF!</definedName>
    <definedName name="Ny___0_1">NA()</definedName>
    <definedName name="Ny___0_2">NA()</definedName>
    <definedName name="Ny___0_3">NA()</definedName>
    <definedName name="Ny___0_5">NA()</definedName>
    <definedName name="Ny___13">#REF!</definedName>
    <definedName name="Ny___13_1">NA()</definedName>
    <definedName name="Ny___13_2">NA()</definedName>
    <definedName name="Ny___13_3">NA()</definedName>
    <definedName name="Ny___13_5">NA()</definedName>
    <definedName name="Ny_1">NA()</definedName>
    <definedName name="Ny_2">NA()</definedName>
    <definedName name="Ny_3">NA()</definedName>
    <definedName name="Ny_5">NA()</definedName>
    <definedName name="o" hidden="1">{#N/A,#N/A,TRUE,"Front";#N/A,#N/A,TRUE,"Simple Letter";#N/A,#N/A,TRUE,"Inside";#N/A,#N/A,TRUE,"Contents";#N/A,#N/A,TRUE,"Basis";#N/A,#N/A,TRUE,"Inclusions";#N/A,#N/A,TRUE,"Exclusions";#N/A,#N/A,TRUE,"Areas";#N/A,#N/A,TRUE,"Summary";#N/A,#N/A,TRUE,"Detail"}</definedName>
    <definedName name="o.d">#REF!</definedName>
    <definedName name="obpl">#REF!</definedName>
    <definedName name="oc">#REF!</definedName>
    <definedName name="OCT_ALLSITES">#REF!</definedName>
    <definedName name="octf">#REF!</definedName>
    <definedName name="ode" hidden="1">#REF!</definedName>
    <definedName name="ofcablescost">#REF!</definedName>
    <definedName name="off">#N/A</definedName>
    <definedName name="offtop1">#REF!</definedName>
    <definedName name="oh">#REF!</definedName>
    <definedName name="OH_Rate_QI">200%</definedName>
    <definedName name="OH_Rate_Sys">198%</definedName>
    <definedName name="oi" hidden="1">{#N/A,#N/A,FALSE,"mpph1";#N/A,#N/A,FALSE,"mpmseb";#N/A,#N/A,FALSE,"mpph2"}</definedName>
    <definedName name="oieorscer" hidden="1">#REF!</definedName>
    <definedName name="oio">#REF!</definedName>
    <definedName name="oiyu" hidden="1">{#N/A,#N/A,TRUE,"Front";#N/A,#N/A,TRUE,"Simple Letter";#N/A,#N/A,TRUE,"Inside";#N/A,#N/A,TRUE,"Contents";#N/A,#N/A,TRUE,"Basis";#N/A,#N/A,TRUE,"Inclusions";#N/A,#N/A,TRUE,"Exclusions";#N/A,#N/A,TRUE,"Areas";#N/A,#N/A,TRUE,"Summary";#N/A,#N/A,TRUE,"Detail"}</definedName>
    <definedName name="oiyu_1">{#N/A,#N/A,TRUE,"Front";#N/A,#N/A,TRUE,"Simple Letter";#N/A,#N/A,TRUE,"Inside";#N/A,#N/A,TRUE,"Contents";#N/A,#N/A,TRUE,"Basis";#N/A,#N/A,TRUE,"Inclusions";#N/A,#N/A,TRUE,"Exclusions";#N/A,#N/A,TRUE,"Areas";#N/A,#N/A,TRUE,"Summary";#N/A,#N/A,TRUE,"Detail"}</definedName>
    <definedName name="oiyu_1_1">{#N/A,#N/A,TRUE,"Front";#N/A,#N/A,TRUE,"Simple Letter";#N/A,#N/A,TRUE,"Inside";#N/A,#N/A,TRUE,"Contents";#N/A,#N/A,TRUE,"Basis";#N/A,#N/A,TRUE,"Inclusions";#N/A,#N/A,TRUE,"Exclusions";#N/A,#N/A,TRUE,"Areas";#N/A,#N/A,TRUE,"Summary";#N/A,#N/A,TRUE,"Detail"}</definedName>
    <definedName name="oiyu_2">{#N/A,#N/A,TRUE,"Front";#N/A,#N/A,TRUE,"Simple Letter";#N/A,#N/A,TRUE,"Inside";#N/A,#N/A,TRUE,"Contents";#N/A,#N/A,TRUE,"Basis";#N/A,#N/A,TRUE,"Inclusions";#N/A,#N/A,TRUE,"Exclusions";#N/A,#N/A,TRUE,"Areas";#N/A,#N/A,TRUE,"Summary";#N/A,#N/A,TRUE,"Detail"}</definedName>
    <definedName name="oiyu_2_1">{#N/A,#N/A,TRUE,"Front";#N/A,#N/A,TRUE,"Simple Letter";#N/A,#N/A,TRUE,"Inside";#N/A,#N/A,TRUE,"Contents";#N/A,#N/A,TRUE,"Basis";#N/A,#N/A,TRUE,"Inclusions";#N/A,#N/A,TRUE,"Exclusions";#N/A,#N/A,TRUE,"Areas";#N/A,#N/A,TRUE,"Summary";#N/A,#N/A,TRUE,"Detail"}</definedName>
    <definedName name="oiyu_3">{#N/A,#N/A,TRUE,"Front";#N/A,#N/A,TRUE,"Simple Letter";#N/A,#N/A,TRUE,"Inside";#N/A,#N/A,TRUE,"Contents";#N/A,#N/A,TRUE,"Basis";#N/A,#N/A,TRUE,"Inclusions";#N/A,#N/A,TRUE,"Exclusions";#N/A,#N/A,TRUE,"Areas";#N/A,#N/A,TRUE,"Summary";#N/A,#N/A,TRUE,"Detail"}</definedName>
    <definedName name="oiyu_3_1">{#N/A,#N/A,TRUE,"Front";#N/A,#N/A,TRUE,"Simple Letter";#N/A,#N/A,TRUE,"Inside";#N/A,#N/A,TRUE,"Contents";#N/A,#N/A,TRUE,"Basis";#N/A,#N/A,TRUE,"Inclusions";#N/A,#N/A,TRUE,"Exclusions";#N/A,#N/A,TRUE,"Areas";#N/A,#N/A,TRUE,"Summary";#N/A,#N/A,TRUE,"Detail"}</definedName>
    <definedName name="oiyu_4">{#N/A,#N/A,TRUE,"Front";#N/A,#N/A,TRUE,"Simple Letter";#N/A,#N/A,TRUE,"Inside";#N/A,#N/A,TRUE,"Contents";#N/A,#N/A,TRUE,"Basis";#N/A,#N/A,TRUE,"Inclusions";#N/A,#N/A,TRUE,"Exclusions";#N/A,#N/A,TRUE,"Areas";#N/A,#N/A,TRUE,"Summary";#N/A,#N/A,TRUE,"Detail"}</definedName>
    <definedName name="ojsdgn">#REF!</definedName>
    <definedName name="ok" hidden="1">{#N/A,#N/A,TRUE,"Front";#N/A,#N/A,TRUE,"Simple Letter";#N/A,#N/A,TRUE,"Inside";#N/A,#N/A,TRUE,"Contents";#N/A,#N/A,TRUE,"Basis";#N/A,#N/A,TRUE,"Inclusions";#N/A,#N/A,TRUE,"Exclusions";#N/A,#N/A,TRUE,"Areas";#N/A,#N/A,TRUE,"Summary";#N/A,#N/A,TRUE,"Detail"}</definedName>
    <definedName name="ok_1">{#N/A,#N/A,TRUE,"Front";#N/A,#N/A,TRUE,"Simple Letter";#N/A,#N/A,TRUE,"Inside";#N/A,#N/A,TRUE,"Contents";#N/A,#N/A,TRUE,"Basis";#N/A,#N/A,TRUE,"Inclusions";#N/A,#N/A,TRUE,"Exclusions";#N/A,#N/A,TRUE,"Areas";#N/A,#N/A,TRUE,"Summary";#N/A,#N/A,TRUE,"Detail"}</definedName>
    <definedName name="ok_1_1">{#N/A,#N/A,TRUE,"Front";#N/A,#N/A,TRUE,"Simple Letter";#N/A,#N/A,TRUE,"Inside";#N/A,#N/A,TRUE,"Contents";#N/A,#N/A,TRUE,"Basis";#N/A,#N/A,TRUE,"Inclusions";#N/A,#N/A,TRUE,"Exclusions";#N/A,#N/A,TRUE,"Areas";#N/A,#N/A,TRUE,"Summary";#N/A,#N/A,TRUE,"Detail"}</definedName>
    <definedName name="ok_2">{#N/A,#N/A,TRUE,"Front";#N/A,#N/A,TRUE,"Simple Letter";#N/A,#N/A,TRUE,"Inside";#N/A,#N/A,TRUE,"Contents";#N/A,#N/A,TRUE,"Basis";#N/A,#N/A,TRUE,"Inclusions";#N/A,#N/A,TRUE,"Exclusions";#N/A,#N/A,TRUE,"Areas";#N/A,#N/A,TRUE,"Summary";#N/A,#N/A,TRUE,"Detail"}</definedName>
    <definedName name="ok_2_1">{#N/A,#N/A,TRUE,"Front";#N/A,#N/A,TRUE,"Simple Letter";#N/A,#N/A,TRUE,"Inside";#N/A,#N/A,TRUE,"Contents";#N/A,#N/A,TRUE,"Basis";#N/A,#N/A,TRUE,"Inclusions";#N/A,#N/A,TRUE,"Exclusions";#N/A,#N/A,TRUE,"Areas";#N/A,#N/A,TRUE,"Summary";#N/A,#N/A,TRUE,"Detail"}</definedName>
    <definedName name="ok_3">{#N/A,#N/A,TRUE,"Front";#N/A,#N/A,TRUE,"Simple Letter";#N/A,#N/A,TRUE,"Inside";#N/A,#N/A,TRUE,"Contents";#N/A,#N/A,TRUE,"Basis";#N/A,#N/A,TRUE,"Inclusions";#N/A,#N/A,TRUE,"Exclusions";#N/A,#N/A,TRUE,"Areas";#N/A,#N/A,TRUE,"Summary";#N/A,#N/A,TRUE,"Detail"}</definedName>
    <definedName name="ok_3_1">{#N/A,#N/A,TRUE,"Front";#N/A,#N/A,TRUE,"Simple Letter";#N/A,#N/A,TRUE,"Inside";#N/A,#N/A,TRUE,"Contents";#N/A,#N/A,TRUE,"Basis";#N/A,#N/A,TRUE,"Inclusions";#N/A,#N/A,TRUE,"Exclusions";#N/A,#N/A,TRUE,"Areas";#N/A,#N/A,TRUE,"Summary";#N/A,#N/A,TRUE,"Detail"}</definedName>
    <definedName name="ok_4">{#N/A,#N/A,TRUE,"Front";#N/A,#N/A,TRUE,"Simple Letter";#N/A,#N/A,TRUE,"Inside";#N/A,#N/A,TRUE,"Contents";#N/A,#N/A,TRUE,"Basis";#N/A,#N/A,TRUE,"Inclusions";#N/A,#N/A,TRUE,"Exclusions";#N/A,#N/A,TRUE,"Areas";#N/A,#N/A,TRUE,"Summary";#N/A,#N/A,TRUE,"Detail"}</definedName>
    <definedName name="okay" hidden="1">{#N/A,#N/A,FALSE,"mgtsum.XLS";#N/A,#N/A,FALSE,"CAPONE";#N/A,#N/A,FALSE,"CAPTWO";#N/A,#N/A,FALSE,"CAPTHREE"}</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LE_LINK1">"$boq.$"</definedName>
    <definedName name="OLE_LINK1_13">#REF!</definedName>
    <definedName name="OLE_LINK1_17">#REF!</definedName>
    <definedName name="OLE_LINK1_3">#REF!</definedName>
    <definedName name="OLE_LINK1_9">#REF!</definedName>
    <definedName name="OLE_LINK2">"$boq.$"</definedName>
    <definedName name="OLE_LINK2___1">#REF!</definedName>
    <definedName name="OLE_LINK2___8">#REF!</definedName>
    <definedName name="ONETOSIX">IF(#REF!="S",(#REF!+#REF!+#REF!),IF(#REF!="L",(#REF!+#REF!+#REF!),IF(#REF!="TB",(#REF!+#REF!+#REF!),IF(#REF!="BB",(#REF!+#REF!+#REF!),IF(#REF!="SB",(#REF!+#REF!+#REF!),IF(#REF!="S1",(#REF!+#REF!+#REF!),IF(#REF!="ST",(#REF!+#REF!+#REF!)*2,0)))))))</definedName>
    <definedName name="ONETOSIX_6">IF(#REF!="S",(#REF!+#REF!+#REF!),IF(#REF!="L",(#REF!+#REF!+#REF!),IF(#REF!="TB",(#REF!+#REF!+#REF!),IF(#REF!="BB",(#REF!+#REF!+#REF!),IF(#REF!="SB",(#REF!+#REF!+#REF!),IF(#REF!="S1",(#REF!+#REF!+#REF!),IF(#REF!="ST",(#REF!+#REF!+#REF!)*2,0)))))))</definedName>
    <definedName name="ONETOSIX_7">IF(#REF!="S",(#REF!+#REF!+#REF!),IF(#REF!="L",(#REF!+#REF!+#REF!),IF(#REF!="TB",(#REF!+#REF!+#REF!),IF(#REF!="BB",(#REF!+#REF!+#REF!),IF(#REF!="SB",(#REF!+#REF!+#REF!),IF(#REF!="S1",(#REF!+#REF!+#REF!),IF(#REF!="ST",(#REF!+#REF!+#REF!)*2,0)))))))</definedName>
    <definedName name="oo" hidden="1">{#N/A,#N/A,TRUE,"Front";#N/A,#N/A,TRUE,"Simple Letter";#N/A,#N/A,TRUE,"Inside";#N/A,#N/A,TRUE,"Contents";#N/A,#N/A,TRUE,"Basis";#N/A,#N/A,TRUE,"Inclusions";#N/A,#N/A,TRUE,"Exclusions";#N/A,#N/A,TRUE,"Areas";#N/A,#N/A,TRUE,"Summary";#N/A,#N/A,TRUE,"Detail"}</definedName>
    <definedName name="ool">#REF!</definedName>
    <definedName name="oooo" hidden="1">{#N/A,#N/A,TRUE,"Front";#N/A,#N/A,TRUE,"Simple Letter";#N/A,#N/A,TRUE,"Inside";#N/A,#N/A,TRUE,"Contents";#N/A,#N/A,TRUE,"Basis";#N/A,#N/A,TRUE,"Inclusions";#N/A,#N/A,TRUE,"Exclusions";#N/A,#N/A,TRUE,"Areas";#N/A,#N/A,TRUE,"Summary";#N/A,#N/A,TRUE,"Detail"}</definedName>
    <definedName name="ooooooooo">#REF!</definedName>
    <definedName name="ooooooooooo" hidden="1">{#N/A,#N/A,TRUE,"Front";#N/A,#N/A,TRUE,"Simple Letter";#N/A,#N/A,TRUE,"Inside";#N/A,#N/A,TRUE,"Contents";#N/A,#N/A,TRUE,"Basis";#N/A,#N/A,TRUE,"Inclusions";#N/A,#N/A,TRUE,"Exclusions";#N/A,#N/A,TRUE,"Areas";#N/A,#N/A,TRUE,"Summary";#N/A,#N/A,TRUE,"Detail"}</definedName>
    <definedName name="ooopp">#REF!</definedName>
    <definedName name="Open">#REF!</definedName>
    <definedName name="OPTexponents">"0 3 6"</definedName>
    <definedName name="OPTvec">"1 1 4 6 0 0 0 1 1 0 2 8 9 0 5 30 1 1 1 1 1 0 1 0 0 0 0 0 0 0 0 0 100 300 2 0 0 0 15.75 0 0 0 2"</definedName>
    <definedName name="OrderTable" hidden="1">#REF!</definedName>
    <definedName name="ordinary_blocks">#REF!</definedName>
    <definedName name="Org" hidden="1">{#N/A,#N/A,TRUE,"Front";#N/A,#N/A,TRUE,"Simple Letter";#N/A,#N/A,TRUE,"Inside";#N/A,#N/A,TRUE,"Contents";#N/A,#N/A,TRUE,"Basis";#N/A,#N/A,TRUE,"Inclusions";#N/A,#N/A,TRUE,"Exclusions";#N/A,#N/A,TRUE,"Areas";#N/A,#N/A,TRUE,"Summary";#N/A,#N/A,TRUE,"Detail"}</definedName>
    <definedName name="org_charg_jan08">#REF!</definedName>
    <definedName name="organ" hidden="1">{#N/A,#N/A,TRUE,"Front";#N/A,#N/A,TRUE,"Simple Letter";#N/A,#N/A,TRUE,"Inside";#N/A,#N/A,TRUE,"Contents";#N/A,#N/A,TRUE,"Basis";#N/A,#N/A,TRUE,"Inclusions";#N/A,#N/A,TRUE,"Exclusions";#N/A,#N/A,TRUE,"Areas";#N/A,#N/A,TRUE,"Summary";#N/A,#N/A,TRUE,"Detail"}</definedName>
    <definedName name="ORGCHART1">#N/A</definedName>
    <definedName name="osdnvkls" hidden="1">#REF!</definedName>
    <definedName name="OTH_UC">#N/A</definedName>
    <definedName name="OTHAMT">#N/A</definedName>
    <definedName name="OTHBOH">#N/A</definedName>
    <definedName name="OTHEOH">#N/A</definedName>
    <definedName name="OTHER">#N/A</definedName>
    <definedName name="Others" hidden="1">{#N/A,#N/A,FALSE,"COVER1.XLS ";#N/A,#N/A,FALSE,"RACT1.XLS";#N/A,#N/A,FALSE,"RACT2.XLS";#N/A,#N/A,FALSE,"ECCMP";#N/A,#N/A,FALSE,"WELDER.XLS"}</definedName>
    <definedName name="OUT_TOTAL">#N/A</definedName>
    <definedName name="OUTAMT">#N/A</definedName>
    <definedName name="OUTQTY">#N/A</definedName>
    <definedName name="Outside" hidden="1">{#N/A,#N/A,TRUE,"Krycí list"}</definedName>
    <definedName name="OUTTERWALLLength">#REF!</definedName>
    <definedName name="OVER_HEADS_ENTRY">#REF!</definedName>
    <definedName name="Overall_Summary_Title">#REF!</definedName>
    <definedName name="Overall_Summary_Title_1">NA()</definedName>
    <definedName name="Overall_Summary_Title_2">NA()</definedName>
    <definedName name="Overall_Summary_Title_3">NA()</definedName>
    <definedName name="Overall_Summary_Title_5">NA()</definedName>
    <definedName name="OVERHEADS">#REF!</definedName>
    <definedName name="OwnAcctNum">#REF!</definedName>
    <definedName name="OwnAcctNum_4">#REF!</definedName>
    <definedName name="OwnAcctNum_6">#REF!</definedName>
    <definedName name="Ownership" hidden="1">OFFSET(Data.Top.Left,1,0)</definedName>
    <definedName name="OYI">#REF!</definedName>
    <definedName name="p">#REF!</definedName>
    <definedName name="p.sch1">#REF!</definedName>
    <definedName name="P_" localSheetId="1" hidden="1">#REF!</definedName>
    <definedName name="P_" hidden="1">#REF!</definedName>
    <definedName name="p___0">#REF!</definedName>
    <definedName name="p___0_1">NA()</definedName>
    <definedName name="p___0_2">NA()</definedName>
    <definedName name="p___0_3">NA()</definedName>
    <definedName name="p___0_5">NA()</definedName>
    <definedName name="p___13">#REF!</definedName>
    <definedName name="p___13_1">NA()</definedName>
    <definedName name="p___13_2">NA()</definedName>
    <definedName name="p___13_3">NA()</definedName>
    <definedName name="p___13_5">NA()</definedName>
    <definedName name="p_1">NA()</definedName>
    <definedName name="p_10">#REF!</definedName>
    <definedName name="P_11">"'smb://Tender3/d/Vinod/Excel/Tender/Boundary%252520Wall%252520for%252520American%252520International%252520School%252520%252520-%252520Taramani.xls'#$Boq.CX1"</definedName>
    <definedName name="p_12">#REF!</definedName>
    <definedName name="p_2">NA()</definedName>
    <definedName name="p_20">#REF!</definedName>
    <definedName name="p_21">#REF!</definedName>
    <definedName name="p_24">#REF!</definedName>
    <definedName name="p_25">#REF!</definedName>
    <definedName name="p_26">#REF!</definedName>
    <definedName name="p_27">#REF!</definedName>
    <definedName name="p_28">#REF!</definedName>
    <definedName name="p_29">#REF!</definedName>
    <definedName name="p_3">NA()</definedName>
    <definedName name="p_30">#REF!</definedName>
    <definedName name="p_31">#REF!</definedName>
    <definedName name="p_32">#REF!</definedName>
    <definedName name="p_33">#REF!</definedName>
    <definedName name="p_34">#REF!</definedName>
    <definedName name="p_35">#REF!</definedName>
    <definedName name="p_36">#REF!</definedName>
    <definedName name="p_37">#REF!</definedName>
    <definedName name="p_38">#REF!</definedName>
    <definedName name="p_39">#REF!</definedName>
    <definedName name="p_40">#REF!</definedName>
    <definedName name="p_41">#REF!</definedName>
    <definedName name="p_42">#REF!</definedName>
    <definedName name="p_43">#REF!</definedName>
    <definedName name="p_44">#REF!</definedName>
    <definedName name="p_45">#REF!</definedName>
    <definedName name="p_46">#REF!</definedName>
    <definedName name="p_47">#REF!</definedName>
    <definedName name="p_48">#REF!</definedName>
    <definedName name="p_49">#REF!</definedName>
    <definedName name="p_5">NA()</definedName>
    <definedName name="p_50">#REF!</definedName>
    <definedName name="p_51">#REF!</definedName>
    <definedName name="p_52">#REF!</definedName>
    <definedName name="p_53">#REF!</definedName>
    <definedName name="p_55">#REF!</definedName>
    <definedName name="p_56">#REF!</definedName>
    <definedName name="p_57">#REF!</definedName>
    <definedName name="p_61">#REF!</definedName>
    <definedName name="p_62">#REF!</definedName>
    <definedName name="p_63">#REF!</definedName>
    <definedName name="p_64">#REF!</definedName>
    <definedName name="p_65">#REF!</definedName>
    <definedName name="p_66">#REF!</definedName>
    <definedName name="p_8">#REF!</definedName>
    <definedName name="p_9">#REF!</definedName>
    <definedName name="p_RateAnalysis" hidden="1">#REF!</definedName>
    <definedName name="P12_5PAGE266">#REF!</definedName>
    <definedName name="P1R">"'file:///C:/Documents%20and%20Settings/anpcpmc/Desktop/RA-44%20final/DLA%20Standard%20Cost%20Report1'#$'Fill this out first...'.$E$5893"</definedName>
    <definedName name="P1R_11">"'file:///c:/documents%20and%20settings/uma.r.anprakashpmc/desktop/bills/docume~1/admini~1/locals~1/temp/rar$di01.859/dla%20standard%20cost%20report1'#$'fill this out first...'.$v$22"</definedName>
    <definedName name="P1R_12">"'file:///C:/Documents%20and%20Settings/anpcpmc/Desktop/RA-44%20final/DLA%20Standard%20Cost%20Report1'#$'Fill this out first...'.$V$22"</definedName>
    <definedName name="P2R">"'file:///C:/Documents%20and%20Settings/anpcpmc/Desktop/RA-44%20final/DLA%20Standard%20Cost%20Report1'#$'Fill this out first...'.$X$280"</definedName>
    <definedName name="P2R_11">"'file:///c:/documents%20and%20settings/uma.r.anprakashpmc/desktop/bills/docume~1/admini~1/locals~1/temp/rar$di01.859/dla%20standard%20cost%20report1'#$'fill this out first...'.$w$23"</definedName>
    <definedName name="P2R_12">"'file:///C:/Documents%20and%20Settings/anpcpmc/Desktop/RA-44%20final/DLA%20Standard%20Cost%20Report1'#$'Fill this out first...'.$W$23"</definedName>
    <definedName name="P3R">"'file:///C:/Documents%20and%20Settings/anpcpmc/Desktop/RA-44%20final/DLA%20Standard%20Cost%20Report1'#$'Fill this out first...'.$B$2"</definedName>
    <definedName name="P3R_11">"'file:///c:/documents%20and%20settings/uma.r.anprakashpmc/desktop/bills/docume~1/admini~1/locals~1/temp/rar$di01.859/dla%20standard%20cost%20report1'#$'fill this out first...'.$x$24"</definedName>
    <definedName name="P3R_12">"'file:///C:/Documents%20and%20Settings/anpcpmc/Desktop/RA-44%20final/DLA%20Standard%20Cost%20Report1'#$'Fill this out first...'.$X$24"</definedName>
    <definedName name="P4R">"'file:///C:/Documents%20and%20Settings/anpcpmc/Desktop/RA-44%20final/DLA%20Standard%20Cost%20Report1'#$'Fill this out first...'.$A$8193"</definedName>
    <definedName name="P4R_11">"'file:///c:/documents%20and%20settings/uma.r.anprakashpmc/desktop/bills/docume~1/admini~1/locals~1/temp/rar$di01.859/dla%20standard%20cost%20report1'#$'fill this out first...'.$y$25"</definedName>
    <definedName name="P4R_12">"'file:///C:/Documents%20and%20Settings/anpcpmc/Desktop/RA-44%20final/DLA%20Standard%20Cost%20Report1'#$'Fill this out first...'.$Y$25"</definedName>
    <definedName name="P5R">"'file:///C:/Documents%20and%20Settings/anpcpmc/Desktop/RA-44%20final/DLA%20Standard%20Cost%20Report1'#$'Fill this out first...'.$AG$33"</definedName>
    <definedName name="P5R_11">"'file:///c:/documents%20and%20settings/uma.r.anprakashpmc/desktop/bills/docume~1/admini~1/locals~1/temp/rar$di01.859/dla%20standard%20cost%20report1'#$'fill this out first...'.$z$26"</definedName>
    <definedName name="P5R_12">"'file:///C:/Documents%20and%20Settings/anpcpmc/Desktop/RA-44%20final/DLA%20Standard%20Cost%20Report1'#$'Fill this out first...'.$Z$26"</definedName>
    <definedName name="pa">#REF!</definedName>
    <definedName name="pa___0">#REF!</definedName>
    <definedName name="pa___0_1">NA()</definedName>
    <definedName name="pa___0_2">NA()</definedName>
    <definedName name="pa___0_3">NA()</definedName>
    <definedName name="pa___0_5">NA()</definedName>
    <definedName name="pa___13">#REF!</definedName>
    <definedName name="pa___13_1">NA()</definedName>
    <definedName name="pa___13_2">NA()</definedName>
    <definedName name="pa___13_3">NA()</definedName>
    <definedName name="pa___13_5">NA()</definedName>
    <definedName name="pa_1">NA()</definedName>
    <definedName name="pa_2">NA()</definedName>
    <definedName name="pa_3">NA()</definedName>
    <definedName name="pa_5">NA()</definedName>
    <definedName name="PAD">#REF!</definedName>
    <definedName name="painting" hidden="1">{#N/A,#N/A,TRUE,"Krycí list"}</definedName>
    <definedName name="pal" hidden="1">{#N/A,#N/A,TRUE,"Front";#N/A,#N/A,TRUE,"Simple Letter";#N/A,#N/A,TRUE,"Inside";#N/A,#N/A,TRUE,"Contents";#N/A,#N/A,TRUE,"Basis";#N/A,#N/A,TRUE,"Inclusions";#N/A,#N/A,TRUE,"Exclusions";#N/A,#N/A,TRUE,"Areas";#N/A,#N/A,TRUE,"Summary";#N/A,#N/A,TRUE,"Detail"}</definedName>
    <definedName name="PAN_TILES">#REF!</definedName>
    <definedName name="pandey"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ane2">#REF!</definedName>
    <definedName name="Pane2___0">#REF!</definedName>
    <definedName name="Pane2___0_1">NA()</definedName>
    <definedName name="Pane2___0_2">NA()</definedName>
    <definedName name="Pane2___0_3">NA()</definedName>
    <definedName name="Pane2___0_5">NA()</definedName>
    <definedName name="Pane2___13">#REF!</definedName>
    <definedName name="Pane2___13_1">NA()</definedName>
    <definedName name="Pane2___13_2">NA()</definedName>
    <definedName name="Pane2___13_3">NA()</definedName>
    <definedName name="Pane2___13_5">NA()</definedName>
    <definedName name="Pane2_1">NA()</definedName>
    <definedName name="Pane2_1_1">NA()</definedName>
    <definedName name="Pane2_15">"$#REF!.$#REF!$#REF!"</definedName>
    <definedName name="Pane2_2">NA()</definedName>
    <definedName name="Pane2_2_1">NA()</definedName>
    <definedName name="Pane2_3">NA()</definedName>
    <definedName name="Pane2_3_1">"$#REF!.$#REF!$#REF!"</definedName>
    <definedName name="Pane2_4">"$#REF!.$#REF!$#REF!"</definedName>
    <definedName name="Pane2_5">NA()</definedName>
    <definedName name="Pane2_6">"$#REF!.$#REF!$#REF!"</definedName>
    <definedName name="paou.">#REF!</definedName>
    <definedName name="parse" hidden="1">#REF!</definedName>
    <definedName name="PATIL_1">"'file:///f:/documents%20and%20settings/anpcpmc/desktop/ra%20bill%20%252525252525252525252525252525252525252525252525252525252525252525252525252525252525252525252523%2010%20print/ibis%20hotel%20project-ra%20bills/documents%20and%20settings/user1/my%20docum"</definedName>
    <definedName name="PATIL_10">"'file:///c:/documents%20and%20settings/uma.r.anprakashpmc/desktop/bills/docume~1/admini~1/locals~1/temp/rar$di01.859/ra%20bill%20%252525252525252525252525252525252525252525252525252525252525252525252525252525252525252525252523%2010%20print/ibis%20hotel%20"</definedName>
    <definedName name="PATIL_11">"'file:///c:/documents%20and%20settings/uma.r.anprakashpmc/desktop/bills/docume~1/admini~1/locals~1/temp/rar$di01.859/ra%20bill%20%252525252525252525252525252525252525252525252525252525252525252525252525252525252525252525252523%2010%20print/ibis%20hotel%20"</definedName>
    <definedName name="paul">50000</definedName>
    <definedName name="Pay_Date">#REF!</definedName>
    <definedName name="Pay_Num">#REF!</definedName>
    <definedName name="payment">#REF!</definedName>
    <definedName name="payment_1">#REF!</definedName>
    <definedName name="payment_2">#REF!</definedName>
    <definedName name="Payment_Date">DATE(YEAR(Loan_Start),MONTH(Loan_Start)+Payment_Number,DAY(Loan_Start))</definedName>
    <definedName name="Payment_Date_1">NA()</definedName>
    <definedName name="Payment_Date_2">NA()</definedName>
    <definedName name="Payment_Date_3">NA()</definedName>
    <definedName name="Payment_Date_4">NA()</definedName>
    <definedName name="pb">#REF!</definedName>
    <definedName name="pb___0">#REF!</definedName>
    <definedName name="pb___0_1">NA()</definedName>
    <definedName name="pb___0_2">NA()</definedName>
    <definedName name="pb___0_3">NA()</definedName>
    <definedName name="pb___0_5">NA()</definedName>
    <definedName name="pb___11">#REF!</definedName>
    <definedName name="pb___11_1">NA()</definedName>
    <definedName name="pb___11_2">NA()</definedName>
    <definedName name="pb___11_3">NA()</definedName>
    <definedName name="pb___11_5">NA()</definedName>
    <definedName name="pb___12">#REF!</definedName>
    <definedName name="pb___12_1">NA()</definedName>
    <definedName name="pb___12_2">NA()</definedName>
    <definedName name="pb___12_3">NA()</definedName>
    <definedName name="pb___12_5">NA()</definedName>
    <definedName name="pb_1">NA()</definedName>
    <definedName name="pb_2">NA()</definedName>
    <definedName name="pb_3">NA()</definedName>
    <definedName name="pb_5">NA()</definedName>
    <definedName name="pbg">#REF!</definedName>
    <definedName name="pbpt">#REF!</definedName>
    <definedName name="pcc">#N/A</definedName>
    <definedName name="PCC_1">NA()</definedName>
    <definedName name="PCC_2">NA()</definedName>
    <definedName name="PCC_3">NA()</definedName>
    <definedName name="PCC_5">NA()</definedName>
    <definedName name="PCC_6">NA()</definedName>
    <definedName name="pccm15" hidden="1">{#N/A,#N/A,TRUE,"Front";#N/A,#N/A,TRUE,"Simple Letter";#N/A,#N/A,TRUE,"Inside";#N/A,#N/A,TRUE,"Contents";#N/A,#N/A,TRUE,"Basis";#N/A,#N/A,TRUE,"Inclusions";#N/A,#N/A,TRUE,"Exclusions";#N/A,#N/A,TRUE,"Areas";#N/A,#N/A,TRUE,"Summary";#N/A,#N/A,TRUE,"Detail"}</definedName>
    <definedName name="pccut">#REF!</definedName>
    <definedName name="pccut_1">NA()</definedName>
    <definedName name="pccut_2">NA()</definedName>
    <definedName name="pccut_3">NA()</definedName>
    <definedName name="pccut_5">NA()</definedName>
    <definedName name="pcl">#REF!</definedName>
    <definedName name="PConc" hidden="1">#REF!</definedName>
    <definedName name="PDF">#REF!</definedName>
    <definedName name="PDS">#REF!</definedName>
    <definedName name="PEDESTAL">#REF!</definedName>
    <definedName name="per" hidden="1">#REF!</definedName>
    <definedName name="Perf_Garantee">#REF!</definedName>
    <definedName name="perform">#N/A</definedName>
    <definedName name="peru">#REF!</definedName>
    <definedName name="perugudi">#REF!</definedName>
    <definedName name="perungudi">#REF!</definedName>
    <definedName name="pg">#REF!</definedName>
    <definedName name="PGA">#REF!</definedName>
    <definedName name="pH">#REF!</definedName>
    <definedName name="pH___0">#REF!</definedName>
    <definedName name="pH___0_1">NA()</definedName>
    <definedName name="pH___0_2">NA()</definedName>
    <definedName name="pH___0_3">NA()</definedName>
    <definedName name="pH___0_5">NA()</definedName>
    <definedName name="pH___13">#REF!</definedName>
    <definedName name="pH___13_1">NA()</definedName>
    <definedName name="pH___13_2">NA()</definedName>
    <definedName name="pH___13_3">NA()</definedName>
    <definedName name="pH___13_5">NA()</definedName>
    <definedName name="pH_1">NA()</definedName>
    <definedName name="pH_2">NA()</definedName>
    <definedName name="pH_3">NA()</definedName>
    <definedName name="pH_5">NA()</definedName>
    <definedName name="PhaseCode">"'file:///C:/Documents%20and%20Settings/anpcpmc/Desktop/RA-44%20final/DLA%20Standard%20Cost%20Report1'#$'Fill this out first...'.$D$17"</definedName>
    <definedName name="PhaseCode_1">NA()</definedName>
    <definedName name="PhaseCode_2">NA()</definedName>
    <definedName name="PhaseCode_3">NA()</definedName>
    <definedName name="PhaseCode_5">NA()</definedName>
    <definedName name="PHE">#REF!</definedName>
    <definedName name="Phone">#REF!</definedName>
    <definedName name="PhonesQty">#REF!</definedName>
    <definedName name="photo" hidden="1">{#N/A,#N/A,TRUE,"Front";#N/A,#N/A,TRUE,"Simple Letter";#N/A,#N/A,TRUE,"Inside";#N/A,#N/A,TRUE,"Contents";#N/A,#N/A,TRUE,"Basis";#N/A,#N/A,TRUE,"Inclusions";#N/A,#N/A,TRUE,"Exclusions";#N/A,#N/A,TRUE,"Areas";#N/A,#N/A,TRUE,"Summary";#N/A,#N/A,TRUE,"Detail"}</definedName>
    <definedName name="Picture4">#REF!</definedName>
    <definedName name="pileinraftCount">#REF!</definedName>
    <definedName name="pioi">#REF!</definedName>
    <definedName name="pipe" hidden="1">{"'Typical Costs Estimates'!$C$158:$H$161"}</definedName>
    <definedName name="PipeSize">#REF!</definedName>
    <definedName name="PipingDetail">#REF!</definedName>
    <definedName name="pitching">#REF!</definedName>
    <definedName name="pj" hidden="1">{#N/A,#N/A,TRUE,"Front";#N/A,#N/A,TRUE,"Simple Letter";#N/A,#N/A,TRUE,"Inside";#N/A,#N/A,TRUE,"Contents";#N/A,#N/A,TRUE,"Basis";#N/A,#N/A,TRUE,"Inclusions";#N/A,#N/A,TRUE,"Exclusions";#N/A,#N/A,TRUE,"Areas";#N/A,#N/A,TRUE,"Summary";#N/A,#N/A,TRUE,"Detail"}</definedName>
    <definedName name="p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PKB" hidden="1">{"'Bill No. 7'!$A$1:$G$32"}</definedName>
    <definedName name="pkg" hidden="1">{#N/A,#N/A,TRUE,"Front";#N/A,#N/A,TRUE,"Simple Letter";#N/A,#N/A,TRUE,"Inside";#N/A,#N/A,TRUE,"Contents";#N/A,#N/A,TRUE,"Basis";#N/A,#N/A,TRUE,"Inclusions";#N/A,#N/A,TRUE,"Exclusions";#N/A,#N/A,TRUE,"Areas";#N/A,#N/A,TRUE,"Summary";#N/A,#N/A,TRUE,"Detail"}</definedName>
    <definedName name="Pkg_col">#REF!</definedName>
    <definedName name="pkg_cols">#REF!</definedName>
    <definedName name="PKG_LD">#N/A</definedName>
    <definedName name="plan">#REF!</definedName>
    <definedName name="plan_15">"$#REF!.$#REF!$#REF!"</definedName>
    <definedName name="plan_3">"$#REF!.$#REF!$#REF!"</definedName>
    <definedName name="plan_4">"$#REF!.$#REF!$#REF!"</definedName>
    <definedName name="plan_5">NA()</definedName>
    <definedName name="plan_6">"$#REF!.$#REF!$#REF!"</definedName>
    <definedName name="Plant">#REF!</definedName>
    <definedName name="Plant_Desc">#REF!</definedName>
    <definedName name="PLANTCOST">#REF!</definedName>
    <definedName name="plants" hidden="1">{#N/A,#N/A,FALSE,"abs";#N/A,#N/A,FALSE,"Annex-I";#N/A,#N/A,FALSE,"Annex-II";#N/A,#N/A,FALSE,"Annex-III";#N/A,#N/A,FALSE,"Annex-IV";#N/A,#N/A,FALSE,"Annex-V";#N/A,#N/A,FALSE,"Annex-VI"}</definedName>
    <definedName name="Plastering">#REF!</definedName>
    <definedName name="plbeams">#REF!</definedName>
    <definedName name="plbeams_1">NA()</definedName>
    <definedName name="plbeams_2">NA()</definedName>
    <definedName name="plbeams_3">NA()</definedName>
    <definedName name="plbeams_5">NA()</definedName>
    <definedName name="pleas" hidden="1">#REF!</definedName>
    <definedName name="pll" hidden="1">{"'Bill No. 7'!$A$1:$G$32"}</definedName>
    <definedName name="plock">#REF!</definedName>
    <definedName name="plumbing1" hidden="1">{#N/A,#N/A,TRUE,"Front";#N/A,#N/A,TRUE,"Simple Letter";#N/A,#N/A,TRUE,"Inside";#N/A,#N/A,TRUE,"Contents";#N/A,#N/A,TRUE,"Basis";#N/A,#N/A,TRUE,"Inclusions";#N/A,#N/A,TRUE,"Exclusions";#N/A,#N/A,TRUE,"Areas";#N/A,#N/A,TRUE,"Summary";#N/A,#N/A,TRUE,"Detail"}</definedName>
    <definedName name="PM">#REF!</definedName>
    <definedName name="po">#REF!</definedName>
    <definedName name="po_15">"$#REF!.$#REF!$#REF!"</definedName>
    <definedName name="po_3">"$#REF!.$#REF!$#REF!"</definedName>
    <definedName name="po_4">#REF!</definedName>
    <definedName name="po_5">NA()</definedName>
    <definedName name="po_6">#REF!</definedName>
    <definedName name="point1">#REF!</definedName>
    <definedName name="point2">#REF!</definedName>
    <definedName name="points">#REF!</definedName>
    <definedName name="Pondy1">#REF!</definedName>
    <definedName name="ponrajan">#REF!</definedName>
    <definedName name="powersock" hidden="1">{#N/A,#N/A,TRUE,"Krycí list"}</definedName>
    <definedName name="PowerSocket" hidden="1">{#N/A,#N/A,TRUE,"Krycí list"}</definedName>
    <definedName name="pp">#REF!</definedName>
    <definedName name="PPBOH">#N/A</definedName>
    <definedName name="PPC">#N/A</definedName>
    <definedName name="PPEOH">#N/A</definedName>
    <definedName name="ppit" hidden="1">{#N/A,#N/A,TRUE,"Front";#N/A,#N/A,TRUE,"Simple Letter";#N/A,#N/A,TRUE,"Inside";#N/A,#N/A,TRUE,"Contents";#N/A,#N/A,TRUE,"Basis";#N/A,#N/A,TRUE,"Inclusions";#N/A,#N/A,TRUE,"Exclusions";#N/A,#N/A,TRUE,"Areas";#N/A,#N/A,TRUE,"Summary";#N/A,#N/A,TRUE,"Detail"}</definedName>
    <definedName name="ppl" hidden="1">{#N/A,#N/A,FALSE,"gc (2)"}</definedName>
    <definedName name="ppp" hidden="1">{#N/A,#N/A,TRUE,"Front";#N/A,#N/A,TRUE,"Simple Letter";#N/A,#N/A,TRUE,"Inside";#N/A,#N/A,TRUE,"Contents";#N/A,#N/A,TRUE,"Basis";#N/A,#N/A,TRUE,"Inclusions";#N/A,#N/A,TRUE,"Exclusions";#N/A,#N/A,TRUE,"Areas";#N/A,#N/A,TRUE,"Summary";#N/A,#N/A,TRUE,"Detail"}</definedName>
    <definedName name="ppppp" hidden="1">{#N/A,#N/A,TRUE,"Front";#N/A,#N/A,TRUE,"Simple Letter";#N/A,#N/A,TRUE,"Inside";#N/A,#N/A,TRUE,"Contents";#N/A,#N/A,TRUE,"Basis";#N/A,#N/A,TRUE,"Inclusions";#N/A,#N/A,TRUE,"Exclusions";#N/A,#N/A,TRUE,"Areas";#N/A,#N/A,TRUE,"Summary";#N/A,#N/A,TRUE,"Detail"}</definedName>
    <definedName name="pppppppppp">#REF!</definedName>
    <definedName name="pqr">#REF!</definedName>
    <definedName name="pr">#REF!</definedName>
    <definedName name="pra">#REF!</definedName>
    <definedName name="Prabakar">#REF!</definedName>
    <definedName name="PRADEEP">#REF!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nthi">#N/A</definedName>
    <definedName name="pre">#REF!</definedName>
    <definedName name="preli">#REF!</definedName>
    <definedName name="PRELIM">#REF!</definedName>
    <definedName name="Preliminaries">#REF!</definedName>
    <definedName name="preliminary">#REF!</definedName>
    <definedName name="prelimnaries" hidden="1">{#N/A,#N/A,TRUE,"Front";#N/A,#N/A,TRUE,"Simple Letter";#N/A,#N/A,TRUE,"Inside";#N/A,#N/A,TRUE,"Contents";#N/A,#N/A,TRUE,"Basis";#N/A,#N/A,TRUE,"Inclusions";#N/A,#N/A,TRUE,"Exclusions";#N/A,#N/A,TRUE,"Areas";#N/A,#N/A,TRUE,"Summary";#N/A,#N/A,TRUE,"Detail"}</definedName>
    <definedName name="prelims" hidden="1">{#N/A,#N/A,TRUE,"Front";#N/A,#N/A,TRUE,"Simple Letter";#N/A,#N/A,TRUE,"Inside";#N/A,#N/A,TRUE,"Contents";#N/A,#N/A,TRUE,"Basis";#N/A,#N/A,TRUE,"Inclusions";#N/A,#N/A,TRUE,"Exclusions";#N/A,#N/A,TRUE,"Areas";#N/A,#N/A,TRUE,"Summary";#N/A,#N/A,TRUE,"Detail"}</definedName>
    <definedName name="Prelm_Exp">#REF!</definedName>
    <definedName name="prepared.by" hidden="1">#REF!</definedName>
    <definedName name="PRESENT_VALUE_DISCOUNT_ACCOUNT">"ㅣ"</definedName>
    <definedName name="PrevYears">"'file:///C:/Documents%20and%20Settings/anpcpmc/Desktop/RA-44%20final/DLA%20Standard%20Cost%20Report1'#$'Fill this out first...'.$A$1"</definedName>
    <definedName name="PrevYears_11">"'file:///c:/documents%20and%20settings/uma.r.anprakashpmc/desktop/bills/docume~1/admini~1/locals~1/temp/rar$di01.859/dla%20standard%20cost%20report1'#$'fill this out first...'.$aa$27"</definedName>
    <definedName name="PrevYears_12">"'file:///C:/Documents%20and%20Settings/anpcpmc/Desktop/RA-44%20final/DLA%20Standard%20Cost%20Report1'#$'Fill this out first...'.$AA$27"</definedName>
    <definedName name="price">#REF!</definedName>
    <definedName name="price_1">NA()</definedName>
    <definedName name="price_1_1">NA()</definedName>
    <definedName name="price_15">"$#REF!.$#REF!$#REF!"</definedName>
    <definedName name="price_2">NA()</definedName>
    <definedName name="price_2_1">NA()</definedName>
    <definedName name="price_3">NA()</definedName>
    <definedName name="price_3_1">"$#REF!.$#REF!$#REF!"</definedName>
    <definedName name="price_4">"$#REF!.$#REF!$#REF!"</definedName>
    <definedName name="price_5">NA()</definedName>
    <definedName name="price_6">"$#REF!.$#REF!$#REF!"</definedName>
    <definedName name="price_decline">(1-15%/4)</definedName>
    <definedName name="PriceList2002PriceChange">#REF!</definedName>
    <definedName name="PriceList2002価格修正">#REF!</definedName>
    <definedName name="PriceList2002価格修正分">#REF!</definedName>
    <definedName name="PriceRegion">#REF!</definedName>
    <definedName name="PriceRegionNo">#REF!</definedName>
    <definedName name="PrimeAddress">#REF!</definedName>
    <definedName name="PrimeAddress_4">#REF!</definedName>
    <definedName name="PrimeAddress_6">#REF!</definedName>
    <definedName name="PrimeCity">#REF!</definedName>
    <definedName name="PrimeCity_4">#REF!</definedName>
    <definedName name="PrimeCity_6">#REF!</definedName>
    <definedName name="PrimeName">#REF!</definedName>
    <definedName name="PrimeName_4">#REF!</definedName>
    <definedName name="PrimeName_6">#REF!</definedName>
    <definedName name="PrimePostal">#REF!</definedName>
    <definedName name="PrimePostal_4">#REF!</definedName>
    <definedName name="PrimePostal_6">#REF!</definedName>
    <definedName name="PrimePrio">#REF!</definedName>
    <definedName name="PrimePrio_4">#REF!</definedName>
    <definedName name="PrimePrio_6">#REF!</definedName>
    <definedName name="PrimePrio_Text">#REF!</definedName>
    <definedName name="PrimePrio_Text_4">#REF!</definedName>
    <definedName name="PrimePrio_Text_6">#REF!</definedName>
    <definedName name="PrimeState">#REF!</definedName>
    <definedName name="PrimeState_4">#REF!</definedName>
    <definedName name="PrimeState_6">#REF!</definedName>
    <definedName name="Princ">#REF!</definedName>
    <definedName name="prince">#REF!</definedName>
    <definedName name="prince1">#REF!</definedName>
    <definedName name="PRINCE2">#REF!</definedName>
    <definedName name="PRINCE22">#REF!</definedName>
    <definedName name="prince25">#REF!</definedName>
    <definedName name="Principal">#REF!</definedName>
    <definedName name="Principal_1">NA()</definedName>
    <definedName name="Principal_2">NA()</definedName>
    <definedName name="Principal_3">NA()</definedName>
    <definedName name="Principal_5">NA()</definedName>
    <definedName name="Print">#REF!</definedName>
    <definedName name="_xlnm.Print_Area" localSheetId="5">'Abstract '!$A$2:$N$50</definedName>
    <definedName name="_xlnm.Print_Area" localSheetId="8">BBS!$B$1:$X$70</definedName>
    <definedName name="_xlnm.Print_Area" localSheetId="0">'Bill Tracker'!$A$1:$E$42</definedName>
    <definedName name="_xlnm.Print_Area" localSheetId="9">'DC S '!$C$1:$I$165</definedName>
    <definedName name="_xlnm.Print_Area" localSheetId="11">DCS!$C$3:$I$160</definedName>
    <definedName name="_xlnm.Print_Area" localSheetId="15">'ISSUE BACKUP'!$C$3:$K$119</definedName>
    <definedName name="_xlnm.Print_Area" localSheetId="12">'ISSUE DETAILS'!$C$3:$K$127</definedName>
    <definedName name="_xlnm.Print_Area" localSheetId="7">'M BOOK'!$B$2:$J$413</definedName>
    <definedName name="_xlnm.Print_Area" localSheetId="10">NT!$B$2:$J$73</definedName>
    <definedName name="_xlnm.Print_Area" localSheetId="6">'NT MEAS'!$B$2:$J$72</definedName>
    <definedName name="_xlnm.Print_Area" localSheetId="4">'PRAG SUMMURY'!$B$2:$H$17</definedName>
    <definedName name="_xlnm.Print_Area" localSheetId="2">'PRAG SUMMURY '!$A$1:$G$15</definedName>
    <definedName name="_xlnm.Print_Area" localSheetId="13">RECON!$B$2:$N$29</definedName>
    <definedName name="_xlnm.Print_Area" localSheetId="14">RLS!$A$1:$M$90</definedName>
    <definedName name="_xlnm.Print_Area">#REF!</definedName>
    <definedName name="PRINT_AREA_MI">#REF!</definedName>
    <definedName name="PRINT_AREA_MI___0">#REF!</definedName>
    <definedName name="PRINT_AREA_MI___0_1">NA()</definedName>
    <definedName name="PRINT_AREA_MI___0_2">NA()</definedName>
    <definedName name="PRINT_AREA_MI___0_3">NA()</definedName>
    <definedName name="PRINT_AREA_MI___0_5">NA()</definedName>
    <definedName name="PRINT_AREA_MI_1">NA()</definedName>
    <definedName name="PRINT_AREA_MI_2">NA()</definedName>
    <definedName name="PRINT_AREA_MI_3">NA()</definedName>
    <definedName name="PRINT_AREA_MI_4">#REF!</definedName>
    <definedName name="PRINT_AREA_MI_5">NA()</definedName>
    <definedName name="PRINT_AREA_MI_6">#REF!</definedName>
    <definedName name="Print_Area_MT">#REF!</definedName>
    <definedName name="Print_Area_Reset">OFFSET(Full_Print,0,0,Last_Row)</definedName>
    <definedName name="Print_Area_Reset_1">#N/A</definedName>
    <definedName name="Print_Area_Reset_2">NA()</definedName>
    <definedName name="Print_Area_Reset_3">#N/A</definedName>
    <definedName name="print_areas">#REF!</definedName>
    <definedName name="Print_Range">#REF!</definedName>
    <definedName name="Print_Range___0">#REF!</definedName>
    <definedName name="Print_Range___1">#REF!</definedName>
    <definedName name="Print_Range_15">"$#REF!.$#REF!$#REF!"</definedName>
    <definedName name="Print_Range_3">"$#REF!.$#REF!$#REF!"</definedName>
    <definedName name="Print_Range_4">"$#REF!.$#REF!$#REF!"</definedName>
    <definedName name="Print_Range_5">NA()</definedName>
    <definedName name="Print_Range_6">"$#REF!.$#REF!$#REF!"</definedName>
    <definedName name="print_ranges">#REF!</definedName>
    <definedName name="_xlnm.Print_Titles" localSheetId="5">'Abstract '!$8:$10</definedName>
    <definedName name="_xlnm.Print_Titles" localSheetId="11">DCS!$3:$5</definedName>
    <definedName name="_xlnm.Print_Titles" localSheetId="7">'M BOOK'!$9:$10</definedName>
    <definedName name="_xlnm.Print_Titles">#N/A</definedName>
    <definedName name="priya">#REF!</definedName>
    <definedName name="PROD">#N/A</definedName>
    <definedName name="ProdCode1">#REF!</definedName>
    <definedName name="ProdCode1_4">#REF!</definedName>
    <definedName name="ProdCode1_6">#REF!</definedName>
    <definedName name="ProdCode1_Text">#REF!</definedName>
    <definedName name="ProdCode1_Text_4">#REF!</definedName>
    <definedName name="ProdCode1_Text_6">#REF!</definedName>
    <definedName name="ProdCode2">#REF!</definedName>
    <definedName name="ProdCode2_4">#REF!</definedName>
    <definedName name="ProdCode2_6">#REF!</definedName>
    <definedName name="ProdCode2_Text">#REF!</definedName>
    <definedName name="ProdCode2_Text_4">#REF!</definedName>
    <definedName name="ProdCode2_Text_6">#REF!</definedName>
    <definedName name="ProdCode3">#REF!</definedName>
    <definedName name="ProdCode3_4">#REF!</definedName>
    <definedName name="ProdCode3_6">#REF!</definedName>
    <definedName name="ProdCode3_Text">#REF!</definedName>
    <definedName name="ProdCode3_Text_4">#REF!</definedName>
    <definedName name="ProdCode3_Text_6">#REF!</definedName>
    <definedName name="PRODCODE3KJGSCJKSDHCV">#REF!</definedName>
    <definedName name="ProdCode4">#REF!</definedName>
    <definedName name="ProdCode4_4">#REF!</definedName>
    <definedName name="ProdCode4_6">#REF!</definedName>
    <definedName name="ProdCode4_Text">#REF!</definedName>
    <definedName name="ProdCode4_Text_4">#REF!</definedName>
    <definedName name="ProdCode4_Text_6">#REF!</definedName>
    <definedName name="ProdCode5">#REF!</definedName>
    <definedName name="ProdCode5_4">#REF!</definedName>
    <definedName name="ProdCode5_6">#REF!</definedName>
    <definedName name="ProdCode5_Text">#REF!</definedName>
    <definedName name="ProdCode5_Text_4">#REF!</definedName>
    <definedName name="ProdCode5_Text_6">#REF!</definedName>
    <definedName name="ProdForm" hidden="1">#REF!</definedName>
    <definedName name="ProdPct1">#REF!</definedName>
    <definedName name="ProdPct1_4">#REF!</definedName>
    <definedName name="ProdPct1_6">#REF!</definedName>
    <definedName name="ProdPct2">#REF!</definedName>
    <definedName name="ProdPct2_4">#REF!</definedName>
    <definedName name="ProdPct2_6">#REF!</definedName>
    <definedName name="ProdPct3">#REF!</definedName>
    <definedName name="ProdPct3_4">#REF!</definedName>
    <definedName name="ProdPct3_6">#REF!</definedName>
    <definedName name="ProdPct4">#REF!</definedName>
    <definedName name="ProdPct4_4">#REF!</definedName>
    <definedName name="ProdPct4_6">#REF!</definedName>
    <definedName name="ProdPct5">#REF!</definedName>
    <definedName name="ProdPct5_4">#REF!</definedName>
    <definedName name="ProdPct5_6">#REF!</definedName>
    <definedName name="Product" hidden="1">#REF!</definedName>
    <definedName name="Prof" hidden="1">{#N/A,#N/A,FALSE,"gc (2)"}</definedName>
    <definedName name="profit" hidden="1">{#N/A,"Good",TRUE,"Sheet1";#N/A,"Normal",TRUE,"Sheet1";#N/A,"Bad",TRUE,"Sheet1"}</definedName>
    <definedName name="PROFITABILITYSCHEDULES">#REF!</definedName>
    <definedName name="Proj_Cat">#REF!</definedName>
    <definedName name="ProjAddress1">#REF!</definedName>
    <definedName name="ProjAddress1_4">#REF!</definedName>
    <definedName name="ProjAddress1_6">#REF!</definedName>
    <definedName name="ProjAddress2">#REF!</definedName>
    <definedName name="ProjAddress2_4">#REF!</definedName>
    <definedName name="ProjAddress2_6">#REF!</definedName>
    <definedName name="ProjCity">#REF!</definedName>
    <definedName name="ProjCity_4">#REF!</definedName>
    <definedName name="ProjCity_6">#REF!</definedName>
    <definedName name="ProjCity1">#REF!</definedName>
    <definedName name="ProjCountry">#REF!</definedName>
    <definedName name="ProjCountry_4">#REF!</definedName>
    <definedName name="ProjCountry_6">#REF!</definedName>
    <definedName name="ProjCounty">#REF!</definedName>
    <definedName name="ProjCounty_4">#REF!</definedName>
    <definedName name="ProjCounty_6">#REF!</definedName>
    <definedName name="project">#REF!</definedName>
    <definedName name="project_1">NA()</definedName>
    <definedName name="project_10">#REF!</definedName>
    <definedName name="project_11">#REF!</definedName>
    <definedName name="project_12">#REF!</definedName>
    <definedName name="project_2">NA()</definedName>
    <definedName name="project_20">#REF!</definedName>
    <definedName name="project_21">#REF!</definedName>
    <definedName name="project_24">#REF!</definedName>
    <definedName name="project_25">#REF!</definedName>
    <definedName name="project_26">#REF!</definedName>
    <definedName name="project_27">#REF!</definedName>
    <definedName name="project_28">#REF!</definedName>
    <definedName name="project_29">#REF!</definedName>
    <definedName name="project_3">NA()</definedName>
    <definedName name="project_30">#REF!</definedName>
    <definedName name="project_31">#REF!</definedName>
    <definedName name="project_32">#REF!</definedName>
    <definedName name="project_33">#REF!</definedName>
    <definedName name="project_34">#REF!</definedName>
    <definedName name="project_35">#REF!</definedName>
    <definedName name="project_36">#REF!</definedName>
    <definedName name="project_37">#REF!</definedName>
    <definedName name="project_38">#REF!</definedName>
    <definedName name="project_39">#REF!</definedName>
    <definedName name="project_4">#REF!</definedName>
    <definedName name="project_40">#REF!</definedName>
    <definedName name="project_41">#REF!</definedName>
    <definedName name="project_42">#REF!</definedName>
    <definedName name="project_43">#REF!</definedName>
    <definedName name="project_44">#REF!</definedName>
    <definedName name="project_45">#REF!</definedName>
    <definedName name="project_46">#REF!</definedName>
    <definedName name="project_47">#REF!</definedName>
    <definedName name="project_48">#REF!</definedName>
    <definedName name="project_49">#REF!</definedName>
    <definedName name="project_5">NA()</definedName>
    <definedName name="project_50">#REF!</definedName>
    <definedName name="project_51">#REF!</definedName>
    <definedName name="project_52">#REF!</definedName>
    <definedName name="project_53">#REF!</definedName>
    <definedName name="project_55">#REF!</definedName>
    <definedName name="project_56">#REF!</definedName>
    <definedName name="project_57">#REF!</definedName>
    <definedName name="project_61">#REF!</definedName>
    <definedName name="project_62">#REF!</definedName>
    <definedName name="project_63">#REF!</definedName>
    <definedName name="project_64">#REF!</definedName>
    <definedName name="project_65">#REF!</definedName>
    <definedName name="project_66">#REF!</definedName>
    <definedName name="project_8">#REF!</definedName>
    <definedName name="project_9">#REF!</definedName>
    <definedName name="ProjectLocation">"'file:///C:/Documents%20and%20Settings/anpcpmc/Desktop/RA-44%20final/DLA%20Standard%20Cost%20Report1'#$'Fill this out first...'.$D$10"</definedName>
    <definedName name="ProjectLocation_1">NA()</definedName>
    <definedName name="ProjectLocation_2">NA()</definedName>
    <definedName name="ProjectLocation_3">NA()</definedName>
    <definedName name="ProjectLocation_5">NA()</definedName>
    <definedName name="ProjectName">"Test"</definedName>
    <definedName name="ProjectName1">"Test"</definedName>
    <definedName name="ProjectName2">"Test"</definedName>
    <definedName name="ProjectName3">"Test"</definedName>
    <definedName name="ProjectNumber">"'file:///C:/Documents%20and%20Settings/anpcpmc/Desktop/RA-44%20final/DLA%20Standard%20Cost%20Report1'#$'Fill this out first...'.$D$16"</definedName>
    <definedName name="ProjectNumber_1">NA()</definedName>
    <definedName name="ProjectNumber_2">NA()</definedName>
    <definedName name="ProjectNumber_3">NA()</definedName>
    <definedName name="ProjectNumber_5">NA()</definedName>
    <definedName name="ProjectSubtitle">"'file:///C:/Documents%20and%20Settings/anpcpmc/Desktop/RA-44%20final/DLA%20Standard%20Cost%20Report1'#$'Fill this out first...'.$D$9"</definedName>
    <definedName name="ProjectSubtitle_1">NA()</definedName>
    <definedName name="ProjectSubtitle_2">NA()</definedName>
    <definedName name="ProjectSubtitle_3">NA()</definedName>
    <definedName name="ProjectSubtitle_5">NA()</definedName>
    <definedName name="ProjectTitle">"'file:///C:/Documents%20and%20Settings/anpcpmc/Desktop/RA-44%20final/DLA%20Standard%20Cost%20Report1'#$'Fill this out first...'.$D$8"</definedName>
    <definedName name="ProjectTitle_1">NA()</definedName>
    <definedName name="ProjectTitle_2">NA()</definedName>
    <definedName name="ProjectTitle_3">NA()</definedName>
    <definedName name="ProjectTitle_5">NA()</definedName>
    <definedName name="ProjName">#REF!</definedName>
    <definedName name="ProjNum">#REF!</definedName>
    <definedName name="ProjNum_4">#REF!</definedName>
    <definedName name="ProjNum_6">#REF!</definedName>
    <definedName name="ProjPostal">#REF!</definedName>
    <definedName name="ProjPostal_4">#REF!</definedName>
    <definedName name="ProjPostal_6">#REF!</definedName>
    <definedName name="ProjState">#REF!</definedName>
    <definedName name="ProjState_4">#REF!</definedName>
    <definedName name="ProjState_6">#REF!</definedName>
    <definedName name="PROPS_1">NA()</definedName>
    <definedName name="PROPS_2">NA()</definedName>
    <definedName name="PROPS_3">NA()</definedName>
    <definedName name="PROPS_5">NA()</definedName>
    <definedName name="PROPS_6">NA()</definedName>
    <definedName name="PR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S">#REF!</definedName>
    <definedName name="PS___0">#REF!</definedName>
    <definedName name="PS___0_1">NA()</definedName>
    <definedName name="PS___0_2">NA()</definedName>
    <definedName name="PS___0_3">NA()</definedName>
    <definedName name="PS___0_5">NA()</definedName>
    <definedName name="PS___13">#REF!</definedName>
    <definedName name="PS___13_1">NA()</definedName>
    <definedName name="PS___13_2">NA()</definedName>
    <definedName name="PS___13_3">NA()</definedName>
    <definedName name="PS___13_5">NA()</definedName>
    <definedName name="PS_1">NA()</definedName>
    <definedName name="PS_2">NA()</definedName>
    <definedName name="PS_3">NA()</definedName>
    <definedName name="PS_5">NA()</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ABillingMethod_4">#REF!</definedName>
    <definedName name="PSABillingMethod_6">#REF!</definedName>
    <definedName name="PUB_FileID" hidden="1">"L10003363.xls"</definedName>
    <definedName name="PUB_UserID" hidden="1">"MAYERX"</definedName>
    <definedName name="pune" hidden="1">{#N/A,#N/A,TRUE,"Front";#N/A,#N/A,TRUE,"Simple Letter";#N/A,#N/A,TRUE,"Inside";#N/A,#N/A,TRUE,"Contents";#N/A,#N/A,TRUE,"Basis";#N/A,#N/A,TRUE,"Inclusions";#N/A,#N/A,TRUE,"Exclusions";#N/A,#N/A,TRUE,"Areas";#N/A,#N/A,TRUE,"Summary";#N/A,#N/A,TRUE,"Detail"}</definedName>
    <definedName name="pvc_100">#REF!</definedName>
    <definedName name="pvc_15">#REF!</definedName>
    <definedName name="pvc_150">#REF!</definedName>
    <definedName name="pvc_20">#REF!</definedName>
    <definedName name="pvc_200">#REF!</definedName>
    <definedName name="pvc_25">#REF!</definedName>
    <definedName name="pvc_250">#REF!</definedName>
    <definedName name="pvc_300">#REF!</definedName>
    <definedName name="pvc_32">#REF!</definedName>
    <definedName name="pvc_40">#REF!</definedName>
    <definedName name="pvc_400">#REF!</definedName>
    <definedName name="pvc_50">#REF!</definedName>
    <definedName name="pvc_600">#REF!</definedName>
    <definedName name="pvc_65">#REF!</definedName>
    <definedName name="pvc_80">#REF!</definedName>
    <definedName name="pvf">#REF!</definedName>
    <definedName name="q"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_15">"$#REF!.$#REF!$#REF!"</definedName>
    <definedName name="Q_3">"$#REF!.$#REF!$#REF!"</definedName>
    <definedName name="Q_4">"$#REF!.$#REF!$#REF!"</definedName>
    <definedName name="Q_5">NA()</definedName>
    <definedName name="Q_6">"$#REF!.$#REF!$#REF!"</definedName>
    <definedName name="qa" hidden="1">{#N/A,#N/A,TRUE,"Krycí list"}</definedName>
    <definedName name="QAMT86106">#N/A</definedName>
    <definedName name="qap" hidden="1">{"'Typical Costs Estimates'!$C$158:$H$161"}</definedName>
    <definedName name="qater" hidden="1">{#N/A,#N/A,TRUE,"Front";#N/A,#N/A,TRUE,"Simple Letter";#N/A,#N/A,TRUE,"Inside";#N/A,#N/A,TRUE,"Contents";#N/A,#N/A,TRUE,"Basis";#N/A,#N/A,TRUE,"Inclusions";#N/A,#N/A,TRUE,"Exclusions";#N/A,#N/A,TRUE,"Areas";#N/A,#N/A,TRUE,"Summary";#N/A,#N/A,TRUE,"Detail"}</definedName>
    <definedName name="Qc">#REF!</definedName>
    <definedName name="Qc___0">#REF!</definedName>
    <definedName name="Qc___0_1">NA()</definedName>
    <definedName name="Qc___0_2">NA()</definedName>
    <definedName name="Qc___0_3">NA()</definedName>
    <definedName name="Qc___0_5">NA()</definedName>
    <definedName name="Qc___13">#REF!</definedName>
    <definedName name="Qc___13_1">NA()</definedName>
    <definedName name="Qc___13_2">NA()</definedName>
    <definedName name="Qc___13_3">NA()</definedName>
    <definedName name="Qc___13_5">NA()</definedName>
    <definedName name="Qc_1">NA()</definedName>
    <definedName name="Qc_2">NA()</definedName>
    <definedName name="Qc_3">NA()</definedName>
    <definedName name="Qc_5">NA()</definedName>
    <definedName name="qcreport" hidden="1">{#N/A,#N/A,TRUE,"Front";#N/A,#N/A,TRUE,"Simple Letter";#N/A,#N/A,TRUE,"Inside";#N/A,#N/A,TRUE,"Contents";#N/A,#N/A,TRUE,"Basis";#N/A,#N/A,TRUE,"Inclusions";#N/A,#N/A,TRUE,"Exclusions";#N/A,#N/A,TRUE,"Areas";#N/A,#N/A,TRUE,"Summary";#N/A,#N/A,TRUE,"Detail"}</definedName>
    <definedName name="qdrn" hidden="1">{#N/A,#N/A,TRUE,"Front";#N/A,#N/A,TRUE,"Simple Letter";#N/A,#N/A,TRUE,"Inside";#N/A,#N/A,TRUE,"Contents";#N/A,#N/A,TRUE,"Basis";#N/A,#N/A,TRUE,"Inclusions";#N/A,#N/A,TRUE,"Exclusions";#N/A,#N/A,TRUE,"Areas";#N/A,#N/A,TRUE,"Summary";#N/A,#N/A,TRUE,"Detail"}</definedName>
    <definedName name="qewr" hidden="1">#REF!</definedName>
    <definedName name="Qf">#REF!</definedName>
    <definedName name="Qf___0">#REF!</definedName>
    <definedName name="Qf___0_1">NA()</definedName>
    <definedName name="Qf___0_2">NA()</definedName>
    <definedName name="Qf___0_3">NA()</definedName>
    <definedName name="Qf___0_5">NA()</definedName>
    <definedName name="Qf___13">#REF!</definedName>
    <definedName name="Qf___13_1">NA()</definedName>
    <definedName name="Qf___13_2">NA()</definedName>
    <definedName name="Qf___13_3">NA()</definedName>
    <definedName name="Qf___13_5">NA()</definedName>
    <definedName name="Qf_1">NA()</definedName>
    <definedName name="Qf_2">NA()</definedName>
    <definedName name="Qf_3">NA()</definedName>
    <definedName name="Qf_5">NA()</definedName>
    <definedName name="Qi">#REF!</definedName>
    <definedName name="Qi___0">#REF!</definedName>
    <definedName name="Qi___0_1">NA()</definedName>
    <definedName name="Qi___0_2">NA()</definedName>
    <definedName name="Qi___0_3">NA()</definedName>
    <definedName name="Qi___0_5">NA()</definedName>
    <definedName name="Qi___13">#REF!</definedName>
    <definedName name="Qi___13_1">NA()</definedName>
    <definedName name="Qi___13_2">NA()</definedName>
    <definedName name="Qi___13_3">NA()</definedName>
    <definedName name="Qi___13_5">NA()</definedName>
    <definedName name="Qi_1">NA()</definedName>
    <definedName name="Qi_2">NA()</definedName>
    <definedName name="Qi_3">NA()</definedName>
    <definedName name="Qi_5">NA()</definedName>
    <definedName name="Ql">#REF!</definedName>
    <definedName name="Ql___0">#REF!</definedName>
    <definedName name="Ql___0_1">NA()</definedName>
    <definedName name="Ql___0_2">NA()</definedName>
    <definedName name="Ql___0_3">NA()</definedName>
    <definedName name="Ql___0_5">NA()</definedName>
    <definedName name="Ql___13">#REF!</definedName>
    <definedName name="Ql___13_1">NA()</definedName>
    <definedName name="Ql___13_2">NA()</definedName>
    <definedName name="Ql___13_3">NA()</definedName>
    <definedName name="Ql___13_5">NA()</definedName>
    <definedName name="Ql_1">NA()</definedName>
    <definedName name="Ql_2">NA()</definedName>
    <definedName name="Ql_3">NA()</definedName>
    <definedName name="Ql_5">NA()</definedName>
    <definedName name="qq" hidden="1">#REF!</definedName>
    <definedName name="qqq" hidden="1">#REF!</definedName>
    <definedName name="qqqq" hidden="1">{#N/A,#N/A,TRUE,"Krycí list"}</definedName>
    <definedName name="ｑｑｑｑ">#N/A</definedName>
    <definedName name="qqqqq" hidden="1">{#N/A,#N/A,TRUE,"Front";#N/A,#N/A,TRUE,"Simple Letter";#N/A,#N/A,TRUE,"Inside";#N/A,#N/A,TRUE,"Contents";#N/A,#N/A,TRUE,"Basis";#N/A,#N/A,TRUE,"Inclusions";#N/A,#N/A,TRUE,"Exclusions";#N/A,#N/A,TRUE,"Areas";#N/A,#N/A,TRUE,"Summary";#N/A,#N/A,TRUE,"Detail"}</definedName>
    <definedName name="qqqqqq" hidden="1">{#N/A,#N/A,TRUE,"Krycí list"}</definedName>
    <definedName name="qqqqqqqqqqqqq">#REF!</definedName>
    <definedName name="qqqqqqqqqqqqqqqqqqq" hidden="1">{#N/A,#N/A,TRUE,"Krycí list"}</definedName>
    <definedName name="QRABOH">#N/A</definedName>
    <definedName name="QRAEOH">#N/A</definedName>
    <definedName name="qrewgewqrg" hidden="1">#REF!</definedName>
    <definedName name="QRQWD">#REF!</definedName>
    <definedName name="qrst">#N/A</definedName>
    <definedName name="qrtg" hidden="1">#REF!</definedName>
    <definedName name="qrwteqry" hidden="1">#REF!</definedName>
    <definedName name="QS" hidden="1">{#N/A,#N/A,TRUE,"Front";#N/A,#N/A,TRUE,"Simple Letter";#N/A,#N/A,TRUE,"Inside";#N/A,#N/A,TRUE,"Contents";#N/A,#N/A,TRUE,"Basis";#N/A,#N/A,TRUE,"Inclusions";#N/A,#N/A,TRUE,"Exclusions";#N/A,#N/A,TRUE,"Areas";#N/A,#N/A,TRUE,"Summary";#N/A,#N/A,TRUE,"Detail"}</definedName>
    <definedName name="qsfsqfsfasfsfssafsafff">#REF!</definedName>
    <definedName name="Qspan">#REF!</definedName>
    <definedName name="Qspan_1">NA()</definedName>
    <definedName name="Qspan_2">NA()</definedName>
    <definedName name="Qspan_3">NA()</definedName>
    <definedName name="Qspan_5">NA()</definedName>
    <definedName name="qttty" hidden="1">{#N/A,#N/A,TRUE,"Front";#N/A,#N/A,TRUE,"Simple Letter";#N/A,#N/A,TRUE,"Inside";#N/A,#N/A,TRUE,"Contents";#N/A,#N/A,TRUE,"Basis";#N/A,#N/A,TRUE,"Inclusions";#N/A,#N/A,TRUE,"Exclusions";#N/A,#N/A,TRUE,"Areas";#N/A,#N/A,TRUE,"Summary";#N/A,#N/A,TRUE,"Detail"}</definedName>
    <definedName name="QTY">#REF!</definedName>
    <definedName name="qty_1">NA()</definedName>
    <definedName name="qty_2">NA()</definedName>
    <definedName name="qty_3">NA()</definedName>
    <definedName name="qty_5">NA()</definedName>
    <definedName name="Qty_as_on_apr">#REF!</definedName>
    <definedName name="Qty_as_on_apr_15">"$#REF!.$#REF!$#REF!"</definedName>
    <definedName name="Qty_as_on_apr_3">"$#REF!.$#REF!$#REF!"</definedName>
    <definedName name="Qty_as_on_apr_4">"$#REF!.$#REF!$#REF!"</definedName>
    <definedName name="Qty_as_on_apr_5">NA()</definedName>
    <definedName name="Qty_as_on_apr_6">"$#REF!.$#REF!$#REF!"</definedName>
    <definedName name="QtyB02">#REF!</definedName>
    <definedName name="QtyB05">#REF!</definedName>
    <definedName name="QtyB06">#REF!</definedName>
    <definedName name="QtyB07">#REF!</definedName>
    <definedName name="qtyunitsum">#REF!</definedName>
    <definedName name="qua">#REF!</definedName>
    <definedName name="Quantity">#REF!</definedName>
    <definedName name="QUANTITY1">#REF!</definedName>
    <definedName name="quar">#REF!</definedName>
    <definedName name="quarter_1">#REF!</definedName>
    <definedName name="quarter_2">#REF!</definedName>
    <definedName name="quarter_3">#REF!</definedName>
    <definedName name="quarter_4">#REF!</definedName>
    <definedName name="quarterly_report">#REF!</definedName>
    <definedName name="QUARTZ">#REF!</definedName>
    <definedName name="quotient">"denominator"</definedName>
    <definedName name="qw">#REF!</definedName>
    <definedName name="qwe" hidden="1">{#N/A,#N/A,TRUE,"Front";#N/A,#N/A,TRUE,"Simple Letter";#N/A,#N/A,TRUE,"Inside";#N/A,#N/A,TRUE,"Contents";#N/A,#N/A,TRUE,"Basis";#N/A,#N/A,TRUE,"Inclusions";#N/A,#N/A,TRUE,"Exclusions";#N/A,#N/A,TRUE,"Areas";#N/A,#N/A,TRUE,"Summary";#N/A,#N/A,TRUE,"Detail"}</definedName>
    <definedName name="QWEQWR" hidden="1">{#N/A,#N/A,TRUE,"Krycí list"}</definedName>
    <definedName name="QZ" hidden="1">{#N/A,#N/A,TRUE,"Front";#N/A,#N/A,TRUE,"Simple Letter";#N/A,#N/A,TRUE,"Inside";#N/A,#N/A,TRUE,"Contents";#N/A,#N/A,TRUE,"Basis";#N/A,#N/A,TRUE,"Inclusions";#N/A,#N/A,TRUE,"Exclusions";#N/A,#N/A,TRUE,"Areas";#N/A,#N/A,TRUE,"Summary";#N/A,#N/A,TRUE,"Detail"}</definedName>
    <definedName name="R_">#REF!</definedName>
    <definedName name="R__15">"$#REF!.$#REF!$#REF!"</definedName>
    <definedName name="R__3">"$#REF!.$#REF!$#REF!"</definedName>
    <definedName name="R__4">"$#REF!.$#REF!$#REF!"</definedName>
    <definedName name="R__5">NA()</definedName>
    <definedName name="R__6">"$#REF!.$#REF!$#REF!"</definedName>
    <definedName name="RA">#REF!</definedName>
    <definedName name="RAAAAAA">#REF!</definedName>
    <definedName name="raams">#REF!</definedName>
    <definedName name="RAAMS12">#REF!</definedName>
    <definedName name="raams23">#REF!</definedName>
    <definedName name="rad" localSheetId="1" hidden="1">#REF!</definedName>
    <definedName name="rad" hidden="1">#REF!</definedName>
    <definedName name="RAFTArea">#REF!</definedName>
    <definedName name="raftboq03">#N/A</definedName>
    <definedName name="RAFTPerimeter">#REF!</definedName>
    <definedName name="railing">#REF!</definedName>
    <definedName name="Raj" hidden="1">{"'Sheet1'!$A$4386:$N$4591"}</definedName>
    <definedName name="raja">#N/A</definedName>
    <definedName name="RAJNAGAR">#REF!</definedName>
    <definedName name="ram">#REF!</definedName>
    <definedName name="ramj" hidden="1">{#N/A,#N/A,TRUE,"Front";#N/A,#N/A,TRUE,"Simple Letter";#N/A,#N/A,TRUE,"Inside";#N/A,#N/A,TRUE,"Contents";#N/A,#N/A,TRUE,"Basis";#N/A,#N/A,TRUE,"Inclusions";#N/A,#N/A,TRUE,"Exclusions";#N/A,#N/A,TRUE,"Areas";#N/A,#N/A,TRUE,"Summary";#N/A,#N/A,TRUE,"Detail"}</definedName>
    <definedName name="ramu" hidden="1">{#N/A,#N/A,TRUE,"Front";#N/A,#N/A,TRUE,"Simple Letter";#N/A,#N/A,TRUE,"Inside";#N/A,#N/A,TRUE,"Contents";#N/A,#N/A,TRUE,"Basis";#N/A,#N/A,TRUE,"Inclusions";#N/A,#N/A,TRUE,"Exclusions";#N/A,#N/A,TRUE,"Areas";#N/A,#N/A,TRUE,"Summary";#N/A,#N/A,TRUE,"Detail"}</definedName>
    <definedName name="RAMYA">#REF!</definedName>
    <definedName name="RANGE">#REF!</definedName>
    <definedName name="range_mix_M30">#REF!</definedName>
    <definedName name="RANGE1">#REF!</definedName>
    <definedName name="RANGE2">NA()</definedName>
    <definedName name="RANGE21">#REF!</definedName>
    <definedName name="range3">#REF!</definedName>
    <definedName name="RANGE6">NA()</definedName>
    <definedName name="RANGEA">#N/A</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SH">#REF!</definedName>
    <definedName name="RatAna">#REF!</definedName>
    <definedName name="Rate">#REF!</definedName>
    <definedName name="rate_15">"$#REF!.$#REF!$#REF!"</definedName>
    <definedName name="rate_3">"$#REF!.$#REF!$#REF!"</definedName>
    <definedName name="rate_4">"$#REF!.$#REF!$#REF!"</definedName>
    <definedName name="rate_5">NA()</definedName>
    <definedName name="rate_6">"$#REF!.$#REF!$#REF!"</definedName>
    <definedName name="rates">#REF!</definedName>
    <definedName name="RATEST">#REF!</definedName>
    <definedName name="ratio_theorical_to_actual_weight_reinforcement">#REF!</definedName>
    <definedName name="ravi" hidden="1">{#N/A,#N/A,TRUE,"Front";#N/A,#N/A,TRUE,"Simple Letter";#N/A,#N/A,TRUE,"Inside";#N/A,#N/A,TRUE,"Contents";#N/A,#N/A,TRUE,"Basis";#N/A,#N/A,TRUE,"Inclusions";#N/A,#N/A,TRUE,"Exclusions";#N/A,#N/A,TRUE,"Areas";#N/A,#N/A,TRUE,"Summary";#N/A,#N/A,TRUE,"Detail"}</definedName>
    <definedName name="rayh" hidden="1">#REF!</definedName>
    <definedName name="RCArea" hidden="1">#REF!</definedName>
    <definedName name="RCC_pipE_cost">#REF!</definedName>
    <definedName name="rccm20">#REF!</definedName>
    <definedName name="rcwbgl">#REF!</definedName>
    <definedName name="rcwbgl_1">NA()</definedName>
    <definedName name="rcwbgl_2">NA()</definedName>
    <definedName name="rcwbgl_3">NA()</definedName>
    <definedName name="rcwbgl_5">NA()</definedName>
    <definedName name="rcwbgl2">#REF!</definedName>
    <definedName name="rcwbgl2_1">NA()</definedName>
    <definedName name="rcwbgl2_2">NA()</definedName>
    <definedName name="rcwbgl2_3">NA()</definedName>
    <definedName name="rcwbgl2_5">NA()</definedName>
    <definedName name="RDN" hidden="1">{#N/A,#N/A,FALSE,"COVER.XLS";#N/A,#N/A,FALSE,"RACT1.XLS";#N/A,#N/A,FALSE,"RACT2.XLS";#N/A,#N/A,FALSE,"ECCMP";#N/A,#N/A,FALSE,"WELDER.XLS"}</definedName>
    <definedName name="rdtd">#REF!</definedName>
    <definedName name="rdtd_15">"$#REF!.$#REF!$#REF!"</definedName>
    <definedName name="rdtd_3">"$#REF!.$#REF!$#REF!"</definedName>
    <definedName name="rdtd_4">"$#REF!.$#REF!$#REF!"</definedName>
    <definedName name="rdtd_5">NA()</definedName>
    <definedName name="rdtd_6">"$#REF!.$#REF!$#REF!"</definedName>
    <definedName name="re" hidden="1">{#N/A,#N/A,TRUE,"Front";#N/A,#N/A,TRUE,"Simple Letter";#N/A,#N/A,TRUE,"Inside";#N/A,#N/A,TRUE,"Contents";#N/A,#N/A,TRUE,"Basis";#N/A,#N/A,TRUE,"Inclusions";#N/A,#N/A,TRUE,"Exclusions";#N/A,#N/A,TRUE,"Areas";#N/A,#N/A,TRUE,"Summary";#N/A,#N/A,TRUE,"Detail"}</definedName>
    <definedName name="Re___0">#REF!</definedName>
    <definedName name="Re___0_1">NA()</definedName>
    <definedName name="Re___0_2">NA()</definedName>
    <definedName name="Re___0_3">NA()</definedName>
    <definedName name="Re___0_5">NA()</definedName>
    <definedName name="Re___13">#REF!</definedName>
    <definedName name="Re___13_1">NA()</definedName>
    <definedName name="Re___13_2">NA()</definedName>
    <definedName name="Re___13_3">NA()</definedName>
    <definedName name="Re___13_5">NA()</definedName>
    <definedName name="Re_1">NA()</definedName>
    <definedName name="re_10">#REF!</definedName>
    <definedName name="re_11">#REF!</definedName>
    <definedName name="Re_2">NA()</definedName>
    <definedName name="re_20">#REF!</definedName>
    <definedName name="re_21">#REF!</definedName>
    <definedName name="re_27">#REF!</definedName>
    <definedName name="Re_3">NA()</definedName>
    <definedName name="re_31">#REF!</definedName>
    <definedName name="re_32">#REF!</definedName>
    <definedName name="re_33">#REF!</definedName>
    <definedName name="re_34">#REF!</definedName>
    <definedName name="re_35">#REF!</definedName>
    <definedName name="re_36">#REF!</definedName>
    <definedName name="re_39">#REF!</definedName>
    <definedName name="re_4">#REF!</definedName>
    <definedName name="re_40">#REF!</definedName>
    <definedName name="re_41">#REF!</definedName>
    <definedName name="re_42">#REF!</definedName>
    <definedName name="re_43">#REF!</definedName>
    <definedName name="re_44">#REF!</definedName>
    <definedName name="re_46">#REF!</definedName>
    <definedName name="re_47">#REF!</definedName>
    <definedName name="re_48">#REF!</definedName>
    <definedName name="re_49">#REF!</definedName>
    <definedName name="Re_5">NA()</definedName>
    <definedName name="re_50">#REF!</definedName>
    <definedName name="re_51">#REF!</definedName>
    <definedName name="re_52">#REF!</definedName>
    <definedName name="re_53">#REF!</definedName>
    <definedName name="re_55">#REF!</definedName>
    <definedName name="re_56">#REF!</definedName>
    <definedName name="re_57">#REF!</definedName>
    <definedName name="re_58">#REF!</definedName>
    <definedName name="re_61">#REF!</definedName>
    <definedName name="re_62">#REF!</definedName>
    <definedName name="re_63">#REF!</definedName>
    <definedName name="re_64">#REF!</definedName>
    <definedName name="re_65">#REF!</definedName>
    <definedName name="re_66">#REF!</definedName>
    <definedName name="re_8">#REF!</definedName>
    <definedName name="re_9">#REF!</definedName>
    <definedName name="rebar_10mm">#REF!</definedName>
    <definedName name="rebar_12mm">#REF!</definedName>
    <definedName name="Rebar_16mm">#REF!</definedName>
    <definedName name="rebar_8mm">#REF!</definedName>
    <definedName name="REC" hidden="1">{#N/A,#N/A,TRUE,"Front";#N/A,#N/A,TRUE,"Simple Letter";#N/A,#N/A,TRUE,"Inside";#N/A,#N/A,TRUE,"Contents";#N/A,#N/A,TRUE,"Basis";#N/A,#N/A,TRUE,"Inclusions";#N/A,#N/A,TRUE,"Exclusions";#N/A,#N/A,TRUE,"Areas";#N/A,#N/A,TRUE,"Summary";#N/A,#N/A,TRUE,"Detail"}</definedName>
    <definedName name="RECAP">#REF!</definedName>
    <definedName name="receipt">#REF!</definedName>
    <definedName name="Recon" hidden="1">{#N/A,#N/A,TRUE,"Front";#N/A,#N/A,TRUE,"Simple Letter";#N/A,#N/A,TRUE,"Inside";#N/A,#N/A,TRUE,"Contents";#N/A,#N/A,TRUE,"Basis";#N/A,#N/A,TRUE,"Inclusions";#N/A,#N/A,TRUE,"Exclusions";#N/A,#N/A,TRUE,"Areas";#N/A,#N/A,TRUE,"Summary";#N/A,#N/A,TRUE,"Detail"}</definedName>
    <definedName name="reconcilation">#REF!</definedName>
    <definedName name="_xlnm.Recorder">#REF!</definedName>
    <definedName name="RECOUT">#N/A</definedName>
    <definedName name="rect_4_415">#REF!</definedName>
    <definedName name="rect_4_415_1">#REF!</definedName>
    <definedName name="rect_4_415_10">#REF!</definedName>
    <definedName name="rect_4_415_11">#REF!</definedName>
    <definedName name="rect_4_415_12">#REF!</definedName>
    <definedName name="rect_4_415_20">#REF!</definedName>
    <definedName name="rect_4_415_21">#REF!</definedName>
    <definedName name="rect_4_415_24">#REF!</definedName>
    <definedName name="rect_4_415_25">#REF!</definedName>
    <definedName name="rect_4_415_26">#REF!</definedName>
    <definedName name="rect_4_415_27">#REF!</definedName>
    <definedName name="rect_4_415_28">#REF!</definedName>
    <definedName name="rect_4_415_29">#REF!</definedName>
    <definedName name="rect_4_415_30">#REF!</definedName>
    <definedName name="rect_4_415_31">#REF!</definedName>
    <definedName name="rect_4_415_32">#REF!</definedName>
    <definedName name="rect_4_415_33">#REF!</definedName>
    <definedName name="rect_4_415_34">#REF!</definedName>
    <definedName name="rect_4_415_35">#REF!</definedName>
    <definedName name="rect_4_415_36">#REF!</definedName>
    <definedName name="rect_4_415_37">#REF!</definedName>
    <definedName name="rect_4_415_38">#REF!</definedName>
    <definedName name="rect_4_415_39">#REF!</definedName>
    <definedName name="rect_4_415_40">#REF!</definedName>
    <definedName name="rect_4_415_41">#REF!</definedName>
    <definedName name="rect_4_415_42">#REF!</definedName>
    <definedName name="rect_4_415_43">#REF!</definedName>
    <definedName name="rect_4_415_44">#REF!</definedName>
    <definedName name="rect_4_415_45">#REF!</definedName>
    <definedName name="rect_4_415_46">#REF!</definedName>
    <definedName name="rect_4_415_47">#REF!</definedName>
    <definedName name="rect_4_415_48">#REF!</definedName>
    <definedName name="rect_4_415_49">#REF!</definedName>
    <definedName name="rect_4_415_50">#REF!</definedName>
    <definedName name="rect_4_415_51">#REF!</definedName>
    <definedName name="rect_4_415_52">#REF!</definedName>
    <definedName name="rect_4_415_53">#REF!</definedName>
    <definedName name="rect_4_415_55">#REF!</definedName>
    <definedName name="rect_4_415_56">#REF!</definedName>
    <definedName name="rect_4_415_57">#REF!</definedName>
    <definedName name="rect_4_415_61">#REF!</definedName>
    <definedName name="rect_4_415_62">#REF!</definedName>
    <definedName name="rect_4_415_63">#REF!</definedName>
    <definedName name="rect_4_415_64">#REF!</definedName>
    <definedName name="rect_4_415_65">#REF!</definedName>
    <definedName name="rect_4_415_66">#REF!</definedName>
    <definedName name="rect_4_415_8">#REF!</definedName>
    <definedName name="rect_4_415_9">#REF!</definedName>
    <definedName name="redo" hidden="1">{#N/A,#N/A,FALSE,"ACQ_GRAPHS";#N/A,#N/A,FALSE,"T_1 GRAPHS";#N/A,#N/A,FALSE,"T_2 GRAPHS";#N/A,#N/A,FALSE,"COMB_GRAPHS"}</definedName>
    <definedName name="REDSAND">#REF!</definedName>
    <definedName name="ree">#REF!</definedName>
    <definedName name="ree_1">#REF!</definedName>
    <definedName name="ree_10">#REF!</definedName>
    <definedName name="ree_11">#REF!</definedName>
    <definedName name="ree_20">#REF!</definedName>
    <definedName name="ree_21">#REF!</definedName>
    <definedName name="ree_27">#REF!</definedName>
    <definedName name="ree_31">#REF!</definedName>
    <definedName name="ree_32">#REF!</definedName>
    <definedName name="ree_33">#REF!</definedName>
    <definedName name="ree_34">#REF!</definedName>
    <definedName name="ree_35">#REF!</definedName>
    <definedName name="ree_36">#REF!</definedName>
    <definedName name="ree_39">#REF!</definedName>
    <definedName name="ree_4">#REF!</definedName>
    <definedName name="ree_40">#REF!</definedName>
    <definedName name="ree_41">#REF!</definedName>
    <definedName name="ree_42">#REF!</definedName>
    <definedName name="ree_43">#REF!</definedName>
    <definedName name="ree_44">#REF!</definedName>
    <definedName name="ree_46">#REF!</definedName>
    <definedName name="ree_47">#REF!</definedName>
    <definedName name="ree_48">#REF!</definedName>
    <definedName name="ree_49">#REF!</definedName>
    <definedName name="ree_50">#REF!</definedName>
    <definedName name="ree_51">#REF!</definedName>
    <definedName name="ree_52">#REF!</definedName>
    <definedName name="ree_53">#REF!</definedName>
    <definedName name="ree_55">#REF!</definedName>
    <definedName name="ree_56">#REF!</definedName>
    <definedName name="ree_57">#REF!</definedName>
    <definedName name="ree_58">#REF!</definedName>
    <definedName name="ree_61">#REF!</definedName>
    <definedName name="ree_62">#REF!</definedName>
    <definedName name="ree_63">#REF!</definedName>
    <definedName name="ree_64">#REF!</definedName>
    <definedName name="ree_65">#REF!</definedName>
    <definedName name="ree_66">#REF!</definedName>
    <definedName name="ree_8">#REF!</definedName>
    <definedName name="ree_9">#REF!</definedName>
    <definedName name="reee">#REF!</definedName>
    <definedName name="RefDwg">#REF!</definedName>
    <definedName name="REG">#REF!</definedName>
    <definedName name="Regional" hidden="1">{#N/A,#N/A,FALSE,"mgtsum.XLS";#N/A,#N/A,FALSE,"CAPONE";#N/A,#N/A,FALSE,"CAPTWO";#N/A,#N/A,FALSE,"CAPTHREE"}</definedName>
    <definedName name="REGULAR_STAFF">#REF!</definedName>
    <definedName name="REGULAR_STAFF_ENTRY">#REF!</definedName>
    <definedName name="rel">#REF!</definedName>
    <definedName name="rel_1">NA()</definedName>
    <definedName name="rel_10">#REF!</definedName>
    <definedName name="rel_11">#REF!</definedName>
    <definedName name="rel_12">#REF!</definedName>
    <definedName name="rel_2">NA()</definedName>
    <definedName name="rel_20">#REF!</definedName>
    <definedName name="rel_21">#REF!</definedName>
    <definedName name="rel_24">#REF!</definedName>
    <definedName name="rel_25">#REF!</definedName>
    <definedName name="rel_26">#REF!</definedName>
    <definedName name="rel_27">#REF!</definedName>
    <definedName name="rel_28">#REF!</definedName>
    <definedName name="rel_29">#REF!</definedName>
    <definedName name="rel_3">NA()</definedName>
    <definedName name="rel_30">#REF!</definedName>
    <definedName name="rel_31">#REF!</definedName>
    <definedName name="rel_32">#REF!</definedName>
    <definedName name="rel_33">#REF!</definedName>
    <definedName name="rel_34">#REF!</definedName>
    <definedName name="rel_35">#REF!</definedName>
    <definedName name="rel_36">#REF!</definedName>
    <definedName name="rel_37">#REF!</definedName>
    <definedName name="rel_38">#REF!</definedName>
    <definedName name="rel_39">#REF!</definedName>
    <definedName name="rel_40">#REF!</definedName>
    <definedName name="rel_41">#REF!</definedName>
    <definedName name="rel_42">#REF!</definedName>
    <definedName name="rel_43">#REF!</definedName>
    <definedName name="rel_44">#REF!</definedName>
    <definedName name="rel_45">#REF!</definedName>
    <definedName name="rel_46">#REF!</definedName>
    <definedName name="rel_47">#REF!</definedName>
    <definedName name="rel_48">#REF!</definedName>
    <definedName name="rel_49">#REF!</definedName>
    <definedName name="rel_5">NA()</definedName>
    <definedName name="rel_50">#REF!</definedName>
    <definedName name="rel_51">#REF!</definedName>
    <definedName name="rel_52">#REF!</definedName>
    <definedName name="rel_53">#REF!</definedName>
    <definedName name="rel_55">#REF!</definedName>
    <definedName name="rel_56">#REF!</definedName>
    <definedName name="rel_57">#REF!</definedName>
    <definedName name="rel_61">#REF!</definedName>
    <definedName name="rel_62">#REF!</definedName>
    <definedName name="rel_63">#REF!</definedName>
    <definedName name="rel_64">#REF!</definedName>
    <definedName name="rel_65">#REF!</definedName>
    <definedName name="rel_66">#REF!</definedName>
    <definedName name="rel_8">#REF!</definedName>
    <definedName name="rel_9">#REF!</definedName>
    <definedName name="REMOVE">#N/A</definedName>
    <definedName name="removes">#N/A</definedName>
    <definedName name="rename" hidden="1">{#N/A,#N/A,TRUE,"Front";#N/A,#N/A,TRUE,"Simple Letter";#N/A,#N/A,TRUE,"Inside";#N/A,#N/A,TRUE,"Contents";#N/A,#N/A,TRUE,"Basis";#N/A,#N/A,TRUE,"Inclusions";#N/A,#N/A,TRUE,"Exclusions";#N/A,#N/A,TRUE,"Areas";#N/A,#N/A,TRUE,"Summary";#N/A,#N/A,TRUE,"Detail"}</definedName>
    <definedName name="renamedetailcalk" hidden="1">{#N/A,#N/A,FALSE,"Kalk"}</definedName>
    <definedName name="Report_Area">#REF!</definedName>
    <definedName name="report2" hidden="1">{#N/A,#N/A,TRUE,"Front";#N/A,#N/A,TRUE,"Simple Letter";#N/A,#N/A,TRUE,"Inside";#N/A,#N/A,TRUE,"Contents";#N/A,#N/A,TRUE,"Basis";#N/A,#N/A,TRUE,"Inclusions";#N/A,#N/A,TRUE,"Exclusions";#N/A,#N/A,TRUE,"Areas";#N/A,#N/A,TRUE,"Summary";#N/A,#N/A,TRUE,"Detail"}</definedName>
    <definedName name="reports" hidden="1">{#N/A,#N/A,TRUE,"Front";#N/A,#N/A,TRUE,"Simple Letter";#N/A,#N/A,TRUE,"Inside";#N/A,#N/A,TRUE,"Contents";#N/A,#N/A,TRUE,"Basis";#N/A,#N/A,TRUE,"Inclusions";#N/A,#N/A,TRUE,"Exclusions";#N/A,#N/A,TRUE,"Areas";#N/A,#N/A,TRUE,"Summary";#N/A,#N/A,TRUE,"Detail"}</definedName>
    <definedName name="reree" hidden="1">{#N/A,#N/A,TRUE,"Krycí list"}</definedName>
    <definedName name="REREWREEW" hidden="1">{#N/A,#N/A,TRUE,"Front";#N/A,#N/A,TRUE,"Simple Letter";#N/A,#N/A,TRUE,"Inside";#N/A,#N/A,TRUE,"Contents";#N/A,#N/A,TRUE,"Basis";#N/A,#N/A,TRUE,"Inclusions";#N/A,#N/A,TRUE,"Exclusions";#N/A,#N/A,TRUE,"Areas";#N/A,#N/A,TRUE,"Summary";#N/A,#N/A,TRUE,"Detail"}</definedName>
    <definedName name="res_sum" hidden="1">{#N/A,#N/A,FALSE,"COVER1.XLS ";#N/A,#N/A,FALSE,"RACT1.XLS";#N/A,#N/A,FALSE,"RACT2.XLS";#N/A,#N/A,FALSE,"ECCMP";#N/A,#N/A,FALSE,"WELDER.XLS"}</definedName>
    <definedName name="results_range">#REF!</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ngWallLength">#REF!</definedName>
    <definedName name="retn">#REF!</definedName>
    <definedName name="reu" hidden="1">{#N/A,#N/A,FALSE,"gc (2)"}</definedName>
    <definedName name="reuse" hidden="1">{#N/A,#N/A,FALSE,"mgtsum.XLS";#N/A,#N/A,FALSE,"CAPONE";#N/A,#N/A,FALSE,"CAPTWO";#N/A,#N/A,FALSE,"CAPTHREE"}</definedName>
    <definedName name="Rev">#REF!</definedName>
    <definedName name="Rev_1">NA()</definedName>
    <definedName name="Rev_10">#REF!</definedName>
    <definedName name="Rev_11">#REF!</definedName>
    <definedName name="Rev_12">#REF!</definedName>
    <definedName name="Rev_2">NA()</definedName>
    <definedName name="Rev_20">#REF!</definedName>
    <definedName name="Rev_21">#REF!</definedName>
    <definedName name="Rev_24">#REF!</definedName>
    <definedName name="Rev_25">#REF!</definedName>
    <definedName name="Rev_26">#REF!</definedName>
    <definedName name="Rev_27">#REF!</definedName>
    <definedName name="Rev_28">#REF!</definedName>
    <definedName name="Rev_29">#REF!</definedName>
    <definedName name="Rev_3">NA()</definedName>
    <definedName name="Rev_30">#REF!</definedName>
    <definedName name="Rev_31">#REF!</definedName>
    <definedName name="Rev_32">#REF!</definedName>
    <definedName name="Rev_33">#REF!</definedName>
    <definedName name="Rev_34">#REF!</definedName>
    <definedName name="Rev_35">#REF!</definedName>
    <definedName name="Rev_36">#REF!</definedName>
    <definedName name="Rev_37">#REF!</definedName>
    <definedName name="Rev_38">#REF!</definedName>
    <definedName name="Rev_39">#REF!</definedName>
    <definedName name="Rev_4">#REF!</definedName>
    <definedName name="Rev_40">#REF!</definedName>
    <definedName name="Rev_41">#REF!</definedName>
    <definedName name="Rev_42">#REF!</definedName>
    <definedName name="Rev_43">#REF!</definedName>
    <definedName name="Rev_44">#REF!</definedName>
    <definedName name="Rev_45">#REF!</definedName>
    <definedName name="Rev_46">#REF!</definedName>
    <definedName name="Rev_47">#REF!</definedName>
    <definedName name="Rev_48">#REF!</definedName>
    <definedName name="Rev_49">#REF!</definedName>
    <definedName name="Rev_5">NA()</definedName>
    <definedName name="Rev_50">#REF!</definedName>
    <definedName name="Rev_51">#REF!</definedName>
    <definedName name="Rev_52">#REF!</definedName>
    <definedName name="Rev_53">#REF!</definedName>
    <definedName name="Rev_55">#REF!</definedName>
    <definedName name="Rev_56">#REF!</definedName>
    <definedName name="Rev_57">#REF!</definedName>
    <definedName name="Rev_61">#REF!</definedName>
    <definedName name="Rev_62">#REF!</definedName>
    <definedName name="Rev_63">#REF!</definedName>
    <definedName name="Rev_64">#REF!</definedName>
    <definedName name="Rev_65">#REF!</definedName>
    <definedName name="Rev_66">#REF!</definedName>
    <definedName name="Rev_8">#REF!</definedName>
    <definedName name="Rev_9">#REF!</definedName>
    <definedName name="REVISED">#REF!</definedName>
    <definedName name="Revision">#REF!</definedName>
    <definedName name="Revision_1">NA()</definedName>
    <definedName name="Revision_10">#REF!</definedName>
    <definedName name="Revision_11">#REF!</definedName>
    <definedName name="Revision_12">#REF!</definedName>
    <definedName name="Revision_2">NA()</definedName>
    <definedName name="Revision_20">#REF!</definedName>
    <definedName name="Revision_21">#REF!</definedName>
    <definedName name="Revision_24">#REF!</definedName>
    <definedName name="Revision_25">#REF!</definedName>
    <definedName name="Revision_26">#REF!</definedName>
    <definedName name="Revision_27">#REF!</definedName>
    <definedName name="Revision_28">#REF!</definedName>
    <definedName name="Revision_29">#REF!</definedName>
    <definedName name="Revision_3">NA()</definedName>
    <definedName name="Revision_30">#REF!</definedName>
    <definedName name="Revision_31">#REF!</definedName>
    <definedName name="Revision_32">#REF!</definedName>
    <definedName name="Revision_33">#REF!</definedName>
    <definedName name="Revision_34">#REF!</definedName>
    <definedName name="Revision_35">#REF!</definedName>
    <definedName name="Revision_36">#REF!</definedName>
    <definedName name="Revision_37">#REF!</definedName>
    <definedName name="Revision_38">#REF!</definedName>
    <definedName name="Revision_39">#REF!</definedName>
    <definedName name="Revision_4">#REF!</definedName>
    <definedName name="Revision_40">#REF!</definedName>
    <definedName name="Revision_41">#REF!</definedName>
    <definedName name="Revision_42">#REF!</definedName>
    <definedName name="Revision_43">#REF!</definedName>
    <definedName name="Revision_44">#REF!</definedName>
    <definedName name="Revision_45">#REF!</definedName>
    <definedName name="Revision_46">#REF!</definedName>
    <definedName name="Revision_47">#REF!</definedName>
    <definedName name="Revision_48">#REF!</definedName>
    <definedName name="Revision_49">#REF!</definedName>
    <definedName name="Revision_5">NA()</definedName>
    <definedName name="Revision_50">#REF!</definedName>
    <definedName name="Revision_51">#REF!</definedName>
    <definedName name="Revision_52">#REF!</definedName>
    <definedName name="Revision_53">#REF!</definedName>
    <definedName name="Revision_55">#REF!</definedName>
    <definedName name="Revision_56">#REF!</definedName>
    <definedName name="Revision_57">#REF!</definedName>
    <definedName name="Revision_61">#REF!</definedName>
    <definedName name="Revision_62">#REF!</definedName>
    <definedName name="Revision_63">#REF!</definedName>
    <definedName name="Revision_64">#REF!</definedName>
    <definedName name="Revision_65">#REF!</definedName>
    <definedName name="Revision_66">#REF!</definedName>
    <definedName name="Revision_8">#REF!</definedName>
    <definedName name="Revision_9">#REF!</definedName>
    <definedName name="revision1">#REF!</definedName>
    <definedName name="REVISION12">#REF!</definedName>
    <definedName name="REVISION23">#REF!</definedName>
    <definedName name="rew" hidden="1">{#N/A,#N/A,TRUE,"Krycí list"}</definedName>
    <definedName name="reww" hidden="1">{#N/A,#N/A,TRUE,"Krycí list"}</definedName>
    <definedName name="reya" hidden="1">{"office ltcg",#N/A,FALSE,"gain01";"IT LTCG",#N/A,FALSE,"gain01"}</definedName>
    <definedName name="reyh"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H">#REF!</definedName>
    <definedName name="RHS">#REF!</definedName>
    <definedName name="rig">#REF!</definedName>
    <definedName name="rig_1">NA()</definedName>
    <definedName name="rig_10">#REF!</definedName>
    <definedName name="rig_11">#REF!</definedName>
    <definedName name="rig_12">#REF!</definedName>
    <definedName name="rig_2">NA()</definedName>
    <definedName name="rig_20">#REF!</definedName>
    <definedName name="rig_21">#REF!</definedName>
    <definedName name="rig_24">#REF!</definedName>
    <definedName name="rig_25">#REF!</definedName>
    <definedName name="rig_26">#REF!</definedName>
    <definedName name="rig_27">#REF!</definedName>
    <definedName name="rig_28">#REF!</definedName>
    <definedName name="rig_29">#REF!</definedName>
    <definedName name="rig_3">NA()</definedName>
    <definedName name="rig_30">#REF!</definedName>
    <definedName name="rig_31">#REF!</definedName>
    <definedName name="rig_32">#REF!</definedName>
    <definedName name="rig_33">#REF!</definedName>
    <definedName name="rig_34">#REF!</definedName>
    <definedName name="rig_35">#REF!</definedName>
    <definedName name="rig_36">#REF!</definedName>
    <definedName name="rig_37">#REF!</definedName>
    <definedName name="rig_38">#REF!</definedName>
    <definedName name="rig_39">#REF!</definedName>
    <definedName name="rig_40">#REF!</definedName>
    <definedName name="rig_41">#REF!</definedName>
    <definedName name="rig_42">#REF!</definedName>
    <definedName name="rig_43">#REF!</definedName>
    <definedName name="rig_44">#REF!</definedName>
    <definedName name="rig_45">#REF!</definedName>
    <definedName name="rig_46">#REF!</definedName>
    <definedName name="rig_47">#REF!</definedName>
    <definedName name="rig_48">#REF!</definedName>
    <definedName name="rig_49">#REF!</definedName>
    <definedName name="rig_5">NA()</definedName>
    <definedName name="rig_50">#REF!</definedName>
    <definedName name="rig_51">#REF!</definedName>
    <definedName name="rig_52">#REF!</definedName>
    <definedName name="rig_53">#REF!</definedName>
    <definedName name="rig_55">#REF!</definedName>
    <definedName name="rig_56">#REF!</definedName>
    <definedName name="rig_57">#REF!</definedName>
    <definedName name="rig_61">#REF!</definedName>
    <definedName name="rig_62">#REF!</definedName>
    <definedName name="rig_63">#REF!</definedName>
    <definedName name="rig_64">#REF!</definedName>
    <definedName name="rig_65">#REF!</definedName>
    <definedName name="rig_66">#REF!</definedName>
    <definedName name="rig_8">#REF!</definedName>
    <definedName name="rig_9">#REF!</definedName>
    <definedName name="rim4_4">#REF!</definedName>
    <definedName name="rim4_6">#REF!</definedName>
    <definedName name="rimc">#REF!</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lvl">#REF!</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itz">#REF!</definedName>
    <definedName name="Rl">#REF!</definedName>
    <definedName name="Rl___0">#REF!</definedName>
    <definedName name="Rl___0_1">NA()</definedName>
    <definedName name="Rl___0_2">NA()</definedName>
    <definedName name="Rl___0_3">NA()</definedName>
    <definedName name="Rl___0_5">NA()</definedName>
    <definedName name="Rl___13">#REF!</definedName>
    <definedName name="Rl___13_1">NA()</definedName>
    <definedName name="Rl___13_2">NA()</definedName>
    <definedName name="Rl___13_3">NA()</definedName>
    <definedName name="Rl___13_5">NA()</definedName>
    <definedName name="Rl_1">NA()</definedName>
    <definedName name="Rl_2">NA()</definedName>
    <definedName name="Rl_3">NA()</definedName>
    <definedName name="Rl_5">NA()</definedName>
    <definedName name="rm4e">#REF!</definedName>
    <definedName name="RMC">#REF!</definedName>
    <definedName name="RMIN">#N/A</definedName>
    <definedName name="RMREOH">#N/A</definedName>
    <definedName name="RMRNOT">#N/A</definedName>
    <definedName name="RNDBOH">#N/A</definedName>
    <definedName name="RNDEOH">#N/A</definedName>
    <definedName name="rngType">#REF!</definedName>
    <definedName name="RNNN">#REF!</definedName>
    <definedName name="RO">#REF!</definedName>
    <definedName name="Road">#N/A</definedName>
    <definedName name="ROAD_11">"'file:///c:/documents%20and%20settings/uma.r.anprakashpmc/desktop/bills/docume~1/admini~1/locals~1/temp/rar$di01.859/ra_bill___13_corrected_20100213%20at%20home.xls'#$''.br$17734"</definedName>
    <definedName name="ROAD_5">"'file:///g:/ra%20bill%20corrected%20at%20home/ra%20bill%20%252525252525252525252525252525252525252525252525252525252525252525252525252525252525252525252523%2010%20corrected%20(%20r%20p%20)/ibis%20hotel%20project-ra%20bills/ibis-ra-08(blk%20submit).xls'#$'"</definedName>
    <definedName name="ROAD_6">"'file:///g:/ra%20bill%20corrected%20at%20home/ra%20bill%20%252525252525252525252525252525252525252525252525252525252525252525252525252525252525252525252523%2010%20corrected%20(%20r%20p%20)/ibis%20hotel%20project-ra%20bills/ibis-ra-08(blk%20submit).xls'#$'"</definedName>
    <definedName name="ROAD_8">"$#REF!.#REF!$#REF!"</definedName>
    <definedName name="robot">#REF!</definedName>
    <definedName name="robot_1">NA()</definedName>
    <definedName name="robot_10">#REF!</definedName>
    <definedName name="robot_11">#REF!</definedName>
    <definedName name="robot_12">#REF!</definedName>
    <definedName name="robot_2">NA()</definedName>
    <definedName name="robot_20">#REF!</definedName>
    <definedName name="robot_21">#REF!</definedName>
    <definedName name="robot_24">#REF!</definedName>
    <definedName name="robot_25">#REF!</definedName>
    <definedName name="robot_26">#REF!</definedName>
    <definedName name="robot_27">#REF!</definedName>
    <definedName name="robot_28">#REF!</definedName>
    <definedName name="robot_29">#REF!</definedName>
    <definedName name="robot_3">NA()</definedName>
    <definedName name="robot_30">#REF!</definedName>
    <definedName name="robot_31">#REF!</definedName>
    <definedName name="robot_32">#REF!</definedName>
    <definedName name="robot_33">#REF!</definedName>
    <definedName name="robot_34">#REF!</definedName>
    <definedName name="robot_35">#REF!</definedName>
    <definedName name="robot_36">#REF!</definedName>
    <definedName name="robot_37">#REF!</definedName>
    <definedName name="robot_38">#REF!</definedName>
    <definedName name="robot_39">#REF!</definedName>
    <definedName name="robot_40">#REF!</definedName>
    <definedName name="robot_41">#REF!</definedName>
    <definedName name="robot_42">#REF!</definedName>
    <definedName name="robot_43">#REF!</definedName>
    <definedName name="robot_44">#REF!</definedName>
    <definedName name="robot_45">#REF!</definedName>
    <definedName name="robot_46">#REF!</definedName>
    <definedName name="robot_47">#REF!</definedName>
    <definedName name="robot_48">#REF!</definedName>
    <definedName name="robot_49">#REF!</definedName>
    <definedName name="robot_5">NA()</definedName>
    <definedName name="robot_50">#REF!</definedName>
    <definedName name="robot_51">#REF!</definedName>
    <definedName name="robot_52">#REF!</definedName>
    <definedName name="robot_53">#REF!</definedName>
    <definedName name="robot_55">#REF!</definedName>
    <definedName name="robot_56">#REF!</definedName>
    <definedName name="robot_57">#REF!</definedName>
    <definedName name="robot_61">#REF!</definedName>
    <definedName name="robot_62">#REF!</definedName>
    <definedName name="robot_63">#REF!</definedName>
    <definedName name="robot_64">#REF!</definedName>
    <definedName name="robot_65">#REF!</definedName>
    <definedName name="robot_66">#REF!</definedName>
    <definedName name="robot_8">#REF!</definedName>
    <definedName name="robot_9">#REF!</definedName>
    <definedName name="Roofer">#REF!</definedName>
    <definedName name="ROOFING">#REF!</definedName>
    <definedName name="ROOFING_11">"'file:///c:/documents%20and%20settings/uma.r.anprakashpmc/desktop/bills/docume~1/admini~1/locals~1/temp/rar$di01.859/ra_bill___13_corrected_20100213%20at%20home.xls'#$''.$ez1"</definedName>
    <definedName name="ROOFING_5">"'file:///g:/ra%20bill%20corrected%20at%20home/ra%20bill%20%252525252525252525252525252525252525252525252525252525252525252525252525252525252525252525252523%2010%20corrected%20(%20r%20p%20)/ibis%20hotel%20project-ra%20bills/ibis-ra-08(blk%20submit).xls'#$'"</definedName>
    <definedName name="ROOFING_6">"'file:///g:/ra%20bill%20corrected%20at%20home/ra%20bill%20%252525252525252525252525252525252525252525252525252525252525252525252525252525252525252525252523%2010%20corrected%20(%20r%20p%20)/ibis%20hotel%20project-ra%20bills/ibis-ra-08(blk%20submit).xls'#$'"</definedName>
    <definedName name="ROOFING_8">"$#REF!.$#REF!#REF!"</definedName>
    <definedName name="Roofing1">#REF!</definedName>
    <definedName name="rose">#REF!</definedName>
    <definedName name="rosid">#REF!</definedName>
    <definedName name="rosid_1">NA()</definedName>
    <definedName name="rosid_10">#REF!</definedName>
    <definedName name="rosid_11">#REF!</definedName>
    <definedName name="rosid_12">#REF!</definedName>
    <definedName name="rosid_2">NA()</definedName>
    <definedName name="rosid_20">#REF!</definedName>
    <definedName name="rosid_21">#REF!</definedName>
    <definedName name="rosid_24">#REF!</definedName>
    <definedName name="rosid_25">#REF!</definedName>
    <definedName name="rosid_26">#REF!</definedName>
    <definedName name="rosid_27">#REF!</definedName>
    <definedName name="rosid_28">#REF!</definedName>
    <definedName name="rosid_29">#REF!</definedName>
    <definedName name="rosid_3">NA()</definedName>
    <definedName name="rosid_30">#REF!</definedName>
    <definedName name="rosid_31">#REF!</definedName>
    <definedName name="rosid_32">#REF!</definedName>
    <definedName name="rosid_33">#REF!</definedName>
    <definedName name="rosid_34">#REF!</definedName>
    <definedName name="rosid_35">#REF!</definedName>
    <definedName name="rosid_36">#REF!</definedName>
    <definedName name="rosid_37">#REF!</definedName>
    <definedName name="rosid_38">#REF!</definedName>
    <definedName name="rosid_39">#REF!</definedName>
    <definedName name="rosid_40">#REF!</definedName>
    <definedName name="rosid_41">#REF!</definedName>
    <definedName name="rosid_42">#REF!</definedName>
    <definedName name="rosid_43">#REF!</definedName>
    <definedName name="rosid_44">#REF!</definedName>
    <definedName name="rosid_45">#REF!</definedName>
    <definedName name="rosid_46">#REF!</definedName>
    <definedName name="rosid_47">#REF!</definedName>
    <definedName name="rosid_48">#REF!</definedName>
    <definedName name="rosid_49">#REF!</definedName>
    <definedName name="rosid_5">NA()</definedName>
    <definedName name="rosid_50">#REF!</definedName>
    <definedName name="rosid_51">#REF!</definedName>
    <definedName name="rosid_52">#REF!</definedName>
    <definedName name="rosid_53">#REF!</definedName>
    <definedName name="rosid_55">#REF!</definedName>
    <definedName name="rosid_56">#REF!</definedName>
    <definedName name="rosid_57">#REF!</definedName>
    <definedName name="rosid_61">#REF!</definedName>
    <definedName name="rosid_62">#REF!</definedName>
    <definedName name="rosid_63">#REF!</definedName>
    <definedName name="rosid_64">#REF!</definedName>
    <definedName name="rosid_65">#REF!</definedName>
    <definedName name="rosid_66">#REF!</definedName>
    <definedName name="rosid_8">#REF!</definedName>
    <definedName name="rosid_9">#REF!</definedName>
    <definedName name="Royal">#REF!</definedName>
    <definedName name="rozp" hidden="1">{#N/A,#N/A,TRUE,"Krycí list"}</definedName>
    <definedName name="RP">250</definedName>
    <definedName name="RP_11">NA()</definedName>
    <definedName name="RQQQ">#REF!</definedName>
    <definedName name="rr">#REF!</definedName>
    <definedName name="rrcost">#REF!</definedName>
    <definedName name="rrew" hidden="1">{#N/A,#N/A,TRUE,"Krycí list"}</definedName>
    <definedName name="rrr">#N/A</definedName>
    <definedName name="RRRR" hidden="1">{#N/A,#N/A,TRUE,"Front";#N/A,#N/A,TRUE,"Simple Letter";#N/A,#N/A,TRUE,"Inside";#N/A,#N/A,TRUE,"Contents";#N/A,#N/A,TRUE,"Basis";#N/A,#N/A,TRUE,"Inclusions";#N/A,#N/A,TRUE,"Exclusions";#N/A,#N/A,TRUE,"Areas";#N/A,#N/A,TRUE,"Summary";#N/A,#N/A,TRUE,"Detail"}</definedName>
    <definedName name="RRRRR" hidden="1">{#N/A,#N/A,TRUE,"Front";#N/A,#N/A,TRUE,"Simple Letter";#N/A,#N/A,TRUE,"Inside";#N/A,#N/A,TRUE,"Contents";#N/A,#N/A,TRUE,"Basis";#N/A,#N/A,TRUE,"Inclusions";#N/A,#N/A,TRUE,"Exclusions";#N/A,#N/A,TRUE,"Areas";#N/A,#N/A,TRUE,"Summary";#N/A,#N/A,TRUE,"Detail"}</definedName>
    <definedName name="rrrrrr">#REF!</definedName>
    <definedName name="rrrrrrrrr">#REF!</definedName>
    <definedName name="rrrrrrrrrr">#REF!</definedName>
    <definedName name="rrrrrrrrrrr">#REF!</definedName>
    <definedName name="RRTRTRTR" hidden="1">{#N/A,#N/A,TRUE,"Front";#N/A,#N/A,TRUE,"Simple Letter";#N/A,#N/A,TRUE,"Inside";#N/A,#N/A,TRUE,"Contents";#N/A,#N/A,TRUE,"Basis";#N/A,#N/A,TRUE,"Inclusions";#N/A,#N/A,TRUE,"Exclusions";#N/A,#N/A,TRUE,"Areas";#N/A,#N/A,TRUE,"Summary";#N/A,#N/A,TRUE,"Detail"}</definedName>
    <definedName name="Rs">#REF!</definedName>
    <definedName name="Rs___0">#REF!</definedName>
    <definedName name="Rs___0_1">NA()</definedName>
    <definedName name="Rs___0_2">NA()</definedName>
    <definedName name="Rs___0_3">NA()</definedName>
    <definedName name="Rs___0_5">NA()</definedName>
    <definedName name="Rs___13">#REF!</definedName>
    <definedName name="Rs___13_1">NA()</definedName>
    <definedName name="Rs___13_2">NA()</definedName>
    <definedName name="Rs___13_3">NA()</definedName>
    <definedName name="Rs___13_5">NA()</definedName>
    <definedName name="Rs_1">NA()</definedName>
    <definedName name="Rs_2">NA()</definedName>
    <definedName name="Rs_3">NA()</definedName>
    <definedName name="Rs_5">NA()</definedName>
    <definedName name="rsdec" hidden="1">{#N/A,#N/A,TRUE,"Front";#N/A,#N/A,TRUE,"Simple Letter";#N/A,#N/A,TRUE,"Inside";#N/A,#N/A,TRUE,"Contents";#N/A,#N/A,TRUE,"Basis";#N/A,#N/A,TRUE,"Inclusions";#N/A,#N/A,TRUE,"Exclusions";#N/A,#N/A,TRUE,"Areas";#N/A,#N/A,TRUE,"Summary";#N/A,#N/A,TRUE,"Detail"}</definedName>
    <definedName name="Rse">#REF!</definedName>
    <definedName name="Rse___0">#REF!</definedName>
    <definedName name="Rse___0_1">NA()</definedName>
    <definedName name="Rse___0_2">NA()</definedName>
    <definedName name="Rse___0_3">NA()</definedName>
    <definedName name="Rse___0_5">NA()</definedName>
    <definedName name="Rse___13">#REF!</definedName>
    <definedName name="Rse___13_1">NA()</definedName>
    <definedName name="Rse___13_2">NA()</definedName>
    <definedName name="Rse___13_3">NA()</definedName>
    <definedName name="Rse___13_5">NA()</definedName>
    <definedName name="Rse_1">NA()</definedName>
    <definedName name="Rse_2">NA()</definedName>
    <definedName name="Rse_3">NA()</definedName>
    <definedName name="Rse_5">NA()</definedName>
    <definedName name="rsu" hidden="1">#REF!</definedName>
    <definedName name="rt">#REF!</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IN">#N/A</definedName>
    <definedName name="rtr">#REF!</definedName>
    <definedName name="rtr_1">NA()</definedName>
    <definedName name="rtr_2">NA()</definedName>
    <definedName name="rtr_3">NA()</definedName>
    <definedName name="rtr_5">NA()</definedName>
    <definedName name="rtre">#REF!</definedName>
    <definedName name="rtrt">#REF!</definedName>
    <definedName name="rtrtrt">#REF!</definedName>
    <definedName name="rttrt">#REF!</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#REF!</definedName>
    <definedName name="rule" localSheetId="1" hidden="1">#REF!</definedName>
    <definedName name="rule" hidden="1">#REF!</definedName>
    <definedName name="rund">2</definedName>
    <definedName name="rund_ats">0</definedName>
    <definedName name="ruy" hidden="1">{#N/A,#N/A,TRUE,"Front";#N/A,#N/A,TRUE,"Simple Letter";#N/A,#N/A,TRUE,"Inside";#N/A,#N/A,TRUE,"Contents";#N/A,#N/A,TRUE,"Basis";#N/A,#N/A,TRUE,"Inclusions";#N/A,#N/A,TRUE,"Exclusions";#N/A,#N/A,TRUE,"Areas";#N/A,#N/A,TRUE,"Summary";#N/A,#N/A,TRUE,"Detail"}</definedName>
    <definedName name="rvs" localSheetId="1" hidden="1">{#N/A,#N/A,TRUE,"Front";#N/A,#N/A,TRUE,"Simple Letter";#N/A,#N/A,TRUE,"Inside";#N/A,#N/A,TRUE,"Contents";#N/A,#N/A,TRUE,"Basis";#N/A,#N/A,TRUE,"Inclusions";#N/A,#N/A,TRUE,"Exclusions";#N/A,#N/A,TRUE,"Areas";#N/A,#N/A,TRUE,"Summary";#N/A,#N/A,TRUE,"Detail"}</definedName>
    <definedName name="rvs" hidden="1">{#N/A,#N/A,TRUE,"Front";#N/A,#N/A,TRUE,"Simple Letter";#N/A,#N/A,TRUE,"Inside";#N/A,#N/A,TRUE,"Contents";#N/A,#N/A,TRUE,"Basis";#N/A,#N/A,TRUE,"Inclusions";#N/A,#N/A,TRUE,"Exclusions";#N/A,#N/A,TRUE,"Areas";#N/A,#N/A,TRUE,"Summary";#N/A,#N/A,TRUE,"Detail"}</definedName>
    <definedName name="rwe" hidden="1">#REF!</definedName>
    <definedName name="rwere" hidden="1">{#N/A,#N/A,FALSE,"COVER1.XLS ";#N/A,#N/A,FALSE,"RACT1.XLS";#N/A,#N/A,FALSE,"RACT2.XLS";#N/A,#N/A,FALSE,"ECCMP";#N/A,#N/A,FALSE,"WELDER.XLS"}</definedName>
    <definedName name="s">#REF!</definedName>
    <definedName name="S.L.WALL">#REF!</definedName>
    <definedName name="s.l.wallls">#REF!</definedName>
    <definedName name="S.L.WALLS">#REF!</definedName>
    <definedName name="S.S.WALL">#REF!</definedName>
    <definedName name="S.S.WALL1">#REF!</definedName>
    <definedName name="S.S.WALLL">#REF!</definedName>
    <definedName name="S.WALL">#REF!</definedName>
    <definedName name="s_1">NA()</definedName>
    <definedName name="s_1_1">NA()</definedName>
    <definedName name="s_15">"$#REF!.$#REF!$#REF!"</definedName>
    <definedName name="s_2">NA()</definedName>
    <definedName name="s_2_1">NA()</definedName>
    <definedName name="s_3">NA()</definedName>
    <definedName name="s_3_1">"$#REF!.$#REF!$#REF!"</definedName>
    <definedName name="s_4">"$#REF!.$#REF!$#REF!"</definedName>
    <definedName name="s_5">NA()</definedName>
    <definedName name="s_6">"$#REF!.$#REF!$#REF!"</definedName>
    <definedName name="S0">#REF!</definedName>
    <definedName name="S0_1">NA()</definedName>
    <definedName name="S0_10">#REF!</definedName>
    <definedName name="S0_11">#REF!</definedName>
    <definedName name="S0_12">#REF!</definedName>
    <definedName name="S0_2">NA()</definedName>
    <definedName name="S0_20">#REF!</definedName>
    <definedName name="S0_21">#REF!</definedName>
    <definedName name="S0_24">#REF!</definedName>
    <definedName name="S0_25">#REF!</definedName>
    <definedName name="S0_26">#REF!</definedName>
    <definedName name="S0_27">#REF!</definedName>
    <definedName name="S0_28">#REF!</definedName>
    <definedName name="S0_29">#REF!</definedName>
    <definedName name="S0_3">NA()</definedName>
    <definedName name="S0_30">#REF!</definedName>
    <definedName name="S0_31">#REF!</definedName>
    <definedName name="S0_32">#REF!</definedName>
    <definedName name="S0_33">#REF!</definedName>
    <definedName name="S0_34">#REF!</definedName>
    <definedName name="S0_35">#REF!</definedName>
    <definedName name="S0_36">#REF!</definedName>
    <definedName name="S0_37">#REF!</definedName>
    <definedName name="S0_38">#REF!</definedName>
    <definedName name="S0_39">#REF!</definedName>
    <definedName name="S0_40">#REF!</definedName>
    <definedName name="S0_41">#REF!</definedName>
    <definedName name="S0_42">#REF!</definedName>
    <definedName name="S0_43">#REF!</definedName>
    <definedName name="S0_44">#REF!</definedName>
    <definedName name="S0_45">#REF!</definedName>
    <definedName name="S0_46">#REF!</definedName>
    <definedName name="S0_47">#REF!</definedName>
    <definedName name="S0_48">#REF!</definedName>
    <definedName name="S0_49">#REF!</definedName>
    <definedName name="S0_5">NA()</definedName>
    <definedName name="S0_50">#REF!</definedName>
    <definedName name="S0_51">#REF!</definedName>
    <definedName name="S0_52">#REF!</definedName>
    <definedName name="S0_53">#REF!</definedName>
    <definedName name="S0_55">#REF!</definedName>
    <definedName name="S0_56">#REF!</definedName>
    <definedName name="S0_57">#REF!</definedName>
    <definedName name="S0_61">#REF!</definedName>
    <definedName name="S0_62">#REF!</definedName>
    <definedName name="S0_63">#REF!</definedName>
    <definedName name="S0_64">#REF!</definedName>
    <definedName name="S0_65">#REF!</definedName>
    <definedName name="S0_66">#REF!</definedName>
    <definedName name="S0_8">#REF!</definedName>
    <definedName name="S0_9">#REF!</definedName>
    <definedName name="s11Area">#REF!</definedName>
    <definedName name="s11Perimeter">#REF!</definedName>
    <definedName name="S23Man" hidden="1">#REF!</definedName>
    <definedName name="Sa">#REF!</definedName>
    <definedName name="Sa_1">NA()</definedName>
    <definedName name="Sa_2">NA()</definedName>
    <definedName name="Sa_3">NA()</definedName>
    <definedName name="Sa_5">NA()</definedName>
    <definedName name="saa">#REF!</definedName>
    <definedName name="SAAAAAABFBF" hidden="1">{#N/A,#N/A,TRUE,"Front";#N/A,#N/A,TRUE,"Simple Letter";#N/A,#N/A,TRUE,"Inside";#N/A,#N/A,TRUE,"Contents";#N/A,#N/A,TRUE,"Basis";#N/A,#N/A,TRUE,"Inclusions";#N/A,#N/A,TRUE,"Exclusions";#N/A,#N/A,TRUE,"Areas";#N/A,#N/A,TRUE,"Summary";#N/A,#N/A,TRUE,"Detail"}</definedName>
    <definedName name="saboproud" hidden="1">{#N/A,#N/A,TRUE,"Krycí list"}</definedName>
    <definedName name="SAD">#REF!</definedName>
    <definedName name="sadfdasf" hidden="1">#REF!</definedName>
    <definedName name="sadfsdaf">#REF!</definedName>
    <definedName name="safe" hidden="1">{#N/A,#N/A,TRUE,"Krycí list"}</definedName>
    <definedName name="Safety">#REF!</definedName>
    <definedName name="SAFSF" hidden="1">{#N/A,#N/A,FALSE,"mgtsum.XLS";#N/A,#N/A,FALSE,"CAPONE";#N/A,#N/A,FALSE,"CAPTWO";#N/A,#N/A,FALSE,"CAPTHREE"}</definedName>
    <definedName name="sagdhag" hidden="1">{#N/A,#N/A,FALSE,"COVER1.XLS ";#N/A,#N/A,FALSE,"RACT1.XLS";#N/A,#N/A,FALSE,"RACT2.XLS";#N/A,#N/A,FALSE,"ECCMP";#N/A,#N/A,FALSE,"WELDER.XLS"}</definedName>
    <definedName name="sai">#REF!</definedName>
    <definedName name="sajkg">#N/A</definedName>
    <definedName name="SALARY">#REF!</definedName>
    <definedName name="SALARY_1">#REF!</definedName>
    <definedName name="SALARY_10">#REF!</definedName>
    <definedName name="SALARY_11">#REF!</definedName>
    <definedName name="SALARY_12">#REF!</definedName>
    <definedName name="SALARY_20">#REF!</definedName>
    <definedName name="SALARY_21">#REF!</definedName>
    <definedName name="SALARY_24">#REF!</definedName>
    <definedName name="SALARY_25">#REF!</definedName>
    <definedName name="SALARY_26">#REF!</definedName>
    <definedName name="SALARY_27">#REF!</definedName>
    <definedName name="SALARY_28">#REF!</definedName>
    <definedName name="SALARY_29">#REF!</definedName>
    <definedName name="SALARY_30">#REF!</definedName>
    <definedName name="SALARY_31">#REF!</definedName>
    <definedName name="SALARY_32">#REF!</definedName>
    <definedName name="SALARY_33">#REF!</definedName>
    <definedName name="SALARY_34">#REF!</definedName>
    <definedName name="SALARY_35">#REF!</definedName>
    <definedName name="SALARY_36">#REF!</definedName>
    <definedName name="SALARY_37">#REF!</definedName>
    <definedName name="SALARY_38">#REF!</definedName>
    <definedName name="SALARY_39">#REF!</definedName>
    <definedName name="SALARY_4">#REF!</definedName>
    <definedName name="SALARY_40">#REF!</definedName>
    <definedName name="SALARY_41">#REF!</definedName>
    <definedName name="SALARY_42">#REF!</definedName>
    <definedName name="SALARY_43">#REF!</definedName>
    <definedName name="SALARY_44">#REF!</definedName>
    <definedName name="SALARY_45">#REF!</definedName>
    <definedName name="SALARY_46">#REF!</definedName>
    <definedName name="SALARY_47">#REF!</definedName>
    <definedName name="SALARY_48">#REF!</definedName>
    <definedName name="SALARY_49">#REF!</definedName>
    <definedName name="SALARY_50">#REF!</definedName>
    <definedName name="SALARY_51">#REF!</definedName>
    <definedName name="SALARY_52">#REF!</definedName>
    <definedName name="SALARY_53">#REF!</definedName>
    <definedName name="SALARY_55">#REF!</definedName>
    <definedName name="SALARY_56">#REF!</definedName>
    <definedName name="SALARY_57">#REF!</definedName>
    <definedName name="SALARY_61">#REF!</definedName>
    <definedName name="SALARY_62">#REF!</definedName>
    <definedName name="SALARY_63">#REF!</definedName>
    <definedName name="SALARY_64">#REF!</definedName>
    <definedName name="SALARY_65">#REF!</definedName>
    <definedName name="SALARY_66">#REF!</definedName>
    <definedName name="SALARY_8">#REF!</definedName>
    <definedName name="SALARY_9">#REF!</definedName>
    <definedName name="SALE">#N/A</definedName>
    <definedName name="SALEBOH">#N/A</definedName>
    <definedName name="SALEEOH">#N/A</definedName>
    <definedName name="SalesMgr">#REF!</definedName>
    <definedName name="SalesMgr_4">#REF!</definedName>
    <definedName name="SalesMgr_6">#REF!</definedName>
    <definedName name="SaleUnit" hidden="1">#REF!,#REF!,#REF!,#REF!,#REF!,#REF!,#REF!,#REF!</definedName>
    <definedName name="SaleValue" hidden="1">#REF!,#REF!,#REF!,#REF!,#REF!,#REF!,#REF!,#REF!</definedName>
    <definedName name="SAMBOH">#N/A</definedName>
    <definedName name="SAMEOH">#N/A</definedName>
    <definedName name="samosa">#N/A</definedName>
    <definedName name="Sample">#REF!</definedName>
    <definedName name="san" hidden="1">{#N/A,#N/A,TRUE,"Front";#N/A,#N/A,TRUE,"Simple Letter";#N/A,#N/A,TRUE,"Inside";#N/A,#N/A,TRUE,"Contents";#N/A,#N/A,TRUE,"Basis";#N/A,#N/A,TRUE,"Inclusions";#N/A,#N/A,TRUE,"Exclusions";#N/A,#N/A,TRUE,"Areas";#N/A,#N/A,TRUE,"Summary";#N/A,#N/A,TRUE,"Detail"}</definedName>
    <definedName name="san.report" hidden="1">{#N/A,#N/A,TRUE,"Front";#N/A,#N/A,TRUE,"Simple Letter";#N/A,#N/A,TRUE,"Inside";#N/A,#N/A,TRUE,"Contents";#N/A,#N/A,TRUE,"Basis";#N/A,#N/A,TRUE,"Inclusions";#N/A,#N/A,TRUE,"Exclusions";#N/A,#N/A,TRUE,"Areas";#N/A,#N/A,TRUE,"Summary";#N/A,#N/A,TRUE,"Detail"}</definedName>
    <definedName name="SAND" hidden="1">{#N/A,#N/A,TRUE,"Front";#N/A,#N/A,TRUE,"Simple Letter";#N/A,#N/A,TRUE,"Inside";#N/A,#N/A,TRUE,"Contents";#N/A,#N/A,TRUE,"Basis";#N/A,#N/A,TRUE,"Inclusions";#N/A,#N/A,TRUE,"Exclusions";#N/A,#N/A,TRUE,"Areas";#N/A,#N/A,TRUE,"Summary";#N/A,#N/A,TRUE,"Detail"}</definedName>
    <definedName name="sandstones">#REF!</definedName>
    <definedName name="Sanitary">#REF!</definedName>
    <definedName name="sanjay" hidden="1">{#N/A,#N/A,TRUE,"Front";#N/A,#N/A,TRUE,"Simple Letter";#N/A,#N/A,TRUE,"Inside";#N/A,#N/A,TRUE,"Contents";#N/A,#N/A,TRUE,"Basis";#N/A,#N/A,TRUE,"Inclusions";#N/A,#N/A,TRUE,"Exclusions";#N/A,#N/A,TRUE,"Areas";#N/A,#N/A,TRUE,"Summary";#N/A,#N/A,TRUE,"Detail"}</definedName>
    <definedName name="sanjaythute">#REF!</definedName>
    <definedName name="sanju" hidden="1">{#N/A,#N/A,TRUE,"Front";#N/A,#N/A,TRUE,"Simple Letter";#N/A,#N/A,TRUE,"Inside";#N/A,#N/A,TRUE,"Contents";#N/A,#N/A,TRUE,"Basis";#N/A,#N/A,TRUE,"Inclusions";#N/A,#N/A,TRUE,"Exclusions";#N/A,#N/A,TRUE,"Areas";#N/A,#N/A,TRUE,"Summary";#N/A,#N/A,TRUE,"Detail"}</definedName>
    <definedName name="SAPBEXrevision" hidden="1">1</definedName>
    <definedName name="SAPBEXsysID" hidden="1">"HBP"</definedName>
    <definedName name="SAPBEXwbID" hidden="1">"4CCEXJJIW7HUUU0SKYVCWCDFX"</definedName>
    <definedName name="sas">#N/A</definedName>
    <definedName name="sat" hidden="1">{#N/A,#N/A,TRUE,"Front";#N/A,#N/A,TRUE,"Simple Letter";#N/A,#N/A,TRUE,"Inside";#N/A,#N/A,TRUE,"Contents";#N/A,#N/A,TRUE,"Basis";#N/A,#N/A,TRUE,"Inclusions";#N/A,#N/A,TRUE,"Exclusions";#N/A,#N/A,TRUE,"Areas";#N/A,#N/A,TRUE,"Summary";#N/A,#N/A,TRUE,"Detail"}</definedName>
    <definedName name="SATISH" hidden="1">{"'Bill No. 7'!$A$1:$G$32"}</definedName>
    <definedName name="satya">#REF!</definedName>
    <definedName name="saucomd">#REF!</definedName>
    <definedName name="saucomd_15">"$#REF!.$#REF!$#REF!"</definedName>
    <definedName name="saucomd_3">"$#REF!.$#REF!$#REF!"</definedName>
    <definedName name="saucomd_4">"$#REF!.$#REF!$#REF!"</definedName>
    <definedName name="saucomd_5">NA()</definedName>
    <definedName name="saucomd_6">"$#REF!.$#REF!$#REF!"</definedName>
    <definedName name="saucstf">#REF!</definedName>
    <definedName name="saud">#REF!</definedName>
    <definedName name="saud_15">"$#REF!.$#REF!$#REF!"</definedName>
    <definedName name="saud_3">"$#REF!.$#REF!$#REF!"</definedName>
    <definedName name="saud_4">#REF!</definedName>
    <definedName name="saud_5">NA()</definedName>
    <definedName name="saud_6">#REF!</definedName>
    <definedName name="saudirf">#REF!</definedName>
    <definedName name="sauf">#REF!</definedName>
    <definedName name="sauf_15">"$#REF!.$#REF!$#REF!"</definedName>
    <definedName name="sauf_3">"$#REF!.$#REF!$#REF!"</definedName>
    <definedName name="sauf_4">#REF!</definedName>
    <definedName name="sauf_5">NA()</definedName>
    <definedName name="sauf_6">#REF!</definedName>
    <definedName name="sauif">#REF!</definedName>
    <definedName name="sauif_4">#REF!</definedName>
    <definedName name="sauif_6">#REF!</definedName>
    <definedName name="sauspad">#REF!</definedName>
    <definedName name="sauspad_15">"$#REF!.$#REF!$#REF!"</definedName>
    <definedName name="sauspad_3">"$#REF!.$#REF!$#REF!"</definedName>
    <definedName name="sauspad_4">"$#REF!.$#REF!$#REF!"</definedName>
    <definedName name="sauspad_5">NA()</definedName>
    <definedName name="sauspad_6">"$#REF!.$#REF!$#REF!"</definedName>
    <definedName name="sausysd">#REF!</definedName>
    <definedName name="sausysd_15">"$#REF!.$#REF!$#REF!"</definedName>
    <definedName name="sausysd_3">"$#REF!.$#REF!$#REF!"</definedName>
    <definedName name="sausysd_4">"$#REF!.$#REF!$#REF!"</definedName>
    <definedName name="sausysd_5">NA()</definedName>
    <definedName name="sausysd_6">"$#REF!.$#REF!$#REF!"</definedName>
    <definedName name="sb">#REF!</definedName>
    <definedName name="SBR" hidden="1">#REF!</definedName>
    <definedName name="SC">#REF!</definedName>
    <definedName name="SC_15">"$#REF!.$#REF!$#REF!"</definedName>
    <definedName name="SC_3">"$#REF!.$#REF!$#REF!"</definedName>
    <definedName name="SC_4">"$#REF!.$#REF!$#REF!"</definedName>
    <definedName name="SC_5">NA()</definedName>
    <definedName name="SC_6">"$#REF!.$#REF!$#REF!"</definedName>
    <definedName name="scaffolding" hidden="1">#REF!</definedName>
    <definedName name="SCC">#REF!</definedName>
    <definedName name="SCD">#REF!</definedName>
    <definedName name="SCE">#REF!</definedName>
    <definedName name="SCED">#REF!</definedName>
    <definedName name="scfb">#REF!</definedName>
    <definedName name="Sched_Pay">#REF!</definedName>
    <definedName name="schedule.nos" hidden="1">#REF!</definedName>
    <definedName name="Scheduled_Extra_Payments">#REF!</definedName>
    <definedName name="Scheduled_Interest_Rate">#REF!</definedName>
    <definedName name="Scheduled_Monthly_Payment">#REF!</definedName>
    <definedName name="scheduleType">"valve"</definedName>
    <definedName name="school">#REF!</definedName>
    <definedName name="schoolbldg.">#REF!</definedName>
    <definedName name="schools">#REF!</definedName>
    <definedName name="schools_1">NA()</definedName>
    <definedName name="schools_10">#REF!</definedName>
    <definedName name="schools_11">#REF!</definedName>
    <definedName name="schools_12">#REF!</definedName>
    <definedName name="schools_2">NA()</definedName>
    <definedName name="schools_20">#REF!</definedName>
    <definedName name="schools_21">#REF!</definedName>
    <definedName name="schools_24">#REF!</definedName>
    <definedName name="schools_25">#REF!</definedName>
    <definedName name="schools_26">#REF!</definedName>
    <definedName name="schools_27">#REF!</definedName>
    <definedName name="schools_28">#REF!</definedName>
    <definedName name="schools_29">#REF!</definedName>
    <definedName name="schools_3">NA()</definedName>
    <definedName name="schools_30">#REF!</definedName>
    <definedName name="schools_31">#REF!</definedName>
    <definedName name="schools_32">#REF!</definedName>
    <definedName name="schools_33">#REF!</definedName>
    <definedName name="schools_34">#REF!</definedName>
    <definedName name="schools_35">#REF!</definedName>
    <definedName name="schools_36">#REF!</definedName>
    <definedName name="schools_37">#REF!</definedName>
    <definedName name="schools_38">#REF!</definedName>
    <definedName name="schools_39">#REF!</definedName>
    <definedName name="schools_40">#REF!</definedName>
    <definedName name="schools_41">#REF!</definedName>
    <definedName name="schools_42">#REF!</definedName>
    <definedName name="schools_43">#REF!</definedName>
    <definedName name="schools_44">#REF!</definedName>
    <definedName name="schools_45">#REF!</definedName>
    <definedName name="schools_46">#REF!</definedName>
    <definedName name="schools_47">#REF!</definedName>
    <definedName name="schools_48">#REF!</definedName>
    <definedName name="schools_49">#REF!</definedName>
    <definedName name="schools_5">NA()</definedName>
    <definedName name="schools_50">#REF!</definedName>
    <definedName name="schools_51">#REF!</definedName>
    <definedName name="schools_52">#REF!</definedName>
    <definedName name="schools_53">#REF!</definedName>
    <definedName name="schools_55">#REF!</definedName>
    <definedName name="schools_56">#REF!</definedName>
    <definedName name="schools_57">#REF!</definedName>
    <definedName name="schools_61">#REF!</definedName>
    <definedName name="schools_62">#REF!</definedName>
    <definedName name="schools_63">#REF!</definedName>
    <definedName name="schools_64">#REF!</definedName>
    <definedName name="schools_65">#REF!</definedName>
    <definedName name="schools_66">#REF!</definedName>
    <definedName name="schools_8">#REF!</definedName>
    <definedName name="schools_9">#REF!</definedName>
    <definedName name="scl">#REF!</definedName>
    <definedName name="scld">#REF!</definedName>
    <definedName name="SCOPE">#N/A</definedName>
    <definedName name="SCRBOH">#N/A</definedName>
    <definedName name="SCREED" hidden="1">{#N/A,#N/A,TRUE,"Front";#N/A,#N/A,TRUE,"Simple Letter";#N/A,#N/A,TRUE,"Inside";#N/A,#N/A,TRUE,"Contents";#N/A,#N/A,TRUE,"Basis";#N/A,#N/A,TRUE,"Inclusions";#N/A,#N/A,TRUE,"Exclusions";#N/A,#N/A,TRUE,"Areas";#N/A,#N/A,TRUE,"Summary";#N/A,#N/A,TRUE,"Detail"}</definedName>
    <definedName name="SCREOH">#N/A</definedName>
    <definedName name="Scroll">#REF!</definedName>
    <definedName name="scw">#REF!</definedName>
    <definedName name="sd" hidden="1">{#N/A,#N/A,TRUE,"Front";#N/A,#N/A,TRUE,"Simple Letter";#N/A,#N/A,TRUE,"Inside";#N/A,#N/A,TRUE,"Contents";#N/A,#N/A,TRUE,"Basis";#N/A,#N/A,TRUE,"Inclusions";#N/A,#N/A,TRUE,"Exclusions";#N/A,#N/A,TRUE,"Areas";#N/A,#N/A,TRUE,"Summary";#N/A,#N/A,TRUE,"Detail"}</definedName>
    <definedName name="SDAF" hidden="1">{#N/A,#N/A,FALSE,"mgtsum.XLS";#N/A,#N/A,FALSE,"CAPONE";#N/A,#N/A,FALSE,"CAPTWO";#N/A,#N/A,FALSE,"CAPTHREE"}</definedName>
    <definedName name="sdafdsa" hidden="1">{#N/A,#N/A,TRUE,"Front";#N/A,#N/A,TRUE,"Simple Letter";#N/A,#N/A,TRUE,"Inside";#N/A,#N/A,TRUE,"Contents";#N/A,#N/A,TRUE,"Basis";#N/A,#N/A,TRUE,"Inclusions";#N/A,#N/A,TRUE,"Exclusions";#N/A,#N/A,TRUE,"Areas";#N/A,#N/A,TRUE,"Summary";#N/A,#N/A,TRUE,"Detail"}</definedName>
    <definedName name="SDAFDSDSFD" hidden="1">{#N/A,#N/A,TRUE,"Front";#N/A,#N/A,TRUE,"Simple Letter";#N/A,#N/A,TRUE,"Inside";#N/A,#N/A,TRUE,"Contents";#N/A,#N/A,TRUE,"Basis";#N/A,#N/A,TRUE,"Inclusions";#N/A,#N/A,TRUE,"Exclusions";#N/A,#N/A,TRUE,"Areas";#N/A,#N/A,TRUE,"Summary";#N/A,#N/A,TRUE,"Detail"}</definedName>
    <definedName name="Sdate">#REF!</definedName>
    <definedName name="Sdate_1">NA()</definedName>
    <definedName name="Sdate_10">#REF!</definedName>
    <definedName name="Sdate_11">#REF!</definedName>
    <definedName name="Sdate_12">#REF!</definedName>
    <definedName name="Sdate_2">NA()</definedName>
    <definedName name="Sdate_20">#REF!</definedName>
    <definedName name="Sdate_21">#REF!</definedName>
    <definedName name="Sdate_24">#REF!</definedName>
    <definedName name="Sdate_25">#REF!</definedName>
    <definedName name="Sdate_26">#REF!</definedName>
    <definedName name="Sdate_27">#REF!</definedName>
    <definedName name="Sdate_28">#REF!</definedName>
    <definedName name="Sdate_29">#REF!</definedName>
    <definedName name="Sdate_3">NA()</definedName>
    <definedName name="Sdate_30">#REF!</definedName>
    <definedName name="Sdate_31">#REF!</definedName>
    <definedName name="Sdate_32">#REF!</definedName>
    <definedName name="Sdate_33">#REF!</definedName>
    <definedName name="Sdate_34">#REF!</definedName>
    <definedName name="Sdate_35">#REF!</definedName>
    <definedName name="Sdate_36">#REF!</definedName>
    <definedName name="Sdate_37">#REF!</definedName>
    <definedName name="Sdate_38">#REF!</definedName>
    <definedName name="Sdate_39">#REF!</definedName>
    <definedName name="Sdate_4">#REF!</definedName>
    <definedName name="Sdate_40">#REF!</definedName>
    <definedName name="Sdate_41">#REF!</definedName>
    <definedName name="Sdate_42">#REF!</definedName>
    <definedName name="Sdate_43">#REF!</definedName>
    <definedName name="Sdate_44">#REF!</definedName>
    <definedName name="Sdate_45">#REF!</definedName>
    <definedName name="Sdate_46">#REF!</definedName>
    <definedName name="Sdate_47">#REF!</definedName>
    <definedName name="Sdate_48">#REF!</definedName>
    <definedName name="Sdate_49">#REF!</definedName>
    <definedName name="Sdate_5">NA()</definedName>
    <definedName name="Sdate_50">#REF!</definedName>
    <definedName name="Sdate_51">#REF!</definedName>
    <definedName name="Sdate_52">#REF!</definedName>
    <definedName name="Sdate_53">#REF!</definedName>
    <definedName name="Sdate_55">#REF!</definedName>
    <definedName name="Sdate_56">#REF!</definedName>
    <definedName name="Sdate_57">#REF!</definedName>
    <definedName name="Sdate_61">#REF!</definedName>
    <definedName name="Sdate_62">#REF!</definedName>
    <definedName name="Sdate_63">#REF!</definedName>
    <definedName name="Sdate_64">#REF!</definedName>
    <definedName name="Sdate_65">#REF!</definedName>
    <definedName name="Sdate_66">#REF!</definedName>
    <definedName name="Sdate_8">#REF!</definedName>
    <definedName name="Sdate_9">#REF!</definedName>
    <definedName name="sdb"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f" hidden="1">{#N/A,#N/A,TRUE,"Front";#N/A,#N/A,TRUE,"Simple Letter";#N/A,#N/A,TRUE,"Inside";#N/A,#N/A,TRUE,"Contents";#N/A,#N/A,TRUE,"Basis";#N/A,#N/A,TRUE,"Inclusions";#N/A,#N/A,TRUE,"Exclusions";#N/A,#N/A,TRUE,"Areas";#N/A,#N/A,TRUE,"Summary";#N/A,#N/A,TRUE,"Detail"}</definedName>
    <definedName name="sddff">#REF!</definedName>
    <definedName name="sdf" hidden="1">{#N/A,#N/A,TRUE,"Front";#N/A,#N/A,TRUE,"Simple Letter";#N/A,#N/A,TRUE,"Inside";#N/A,#N/A,TRUE,"Contents";#N/A,#N/A,TRUE,"Basis";#N/A,#N/A,TRUE,"Inclusions";#N/A,#N/A,TRUE,"Exclusions";#N/A,#N/A,TRUE,"Areas";#N/A,#N/A,TRUE,"Summary";#N/A,#N/A,TRUE,"Detail"}</definedName>
    <definedName name="sdfads" hidden="1">{#N/A,#N/A,TRUE,"Front";#N/A,#N/A,TRUE,"Simple Letter";#N/A,#N/A,TRUE,"Inside";#N/A,#N/A,TRUE,"Contents";#N/A,#N/A,TRUE,"Basis";#N/A,#N/A,TRUE,"Inclusions";#N/A,#N/A,TRUE,"Exclusions";#N/A,#N/A,TRUE,"Areas";#N/A,#N/A,TRUE,"Summary";#N/A,#N/A,TRUE,"Detail"}</definedName>
    <definedName name="sdfd">#REF!</definedName>
    <definedName name="sdfds" hidden="1">{#N/A,#N/A,TRUE,"Front";#N/A,#N/A,TRUE,"Simple Letter";#N/A,#N/A,TRUE,"Inside";#N/A,#N/A,TRUE,"Contents";#N/A,#N/A,TRUE,"Basis";#N/A,#N/A,TRUE,"Inclusions";#N/A,#N/A,TRUE,"Exclusions";#N/A,#N/A,TRUE,"Areas";#N/A,#N/A,TRUE,"Summary";#N/A,#N/A,TRUE,"Detail"}</definedName>
    <definedName name="sdfe">#REF!</definedName>
    <definedName name="sdffggg">#REF!</definedName>
    <definedName name="sdffs">#REF!</definedName>
    <definedName name="sdffsd">#REF!</definedName>
    <definedName name="sdfgsdsdsdf">#REF!</definedName>
    <definedName name="sdfgwg" hidden="1">{#N/A,#N/A,TRUE,"Krycí list"}</definedName>
    <definedName name="sdfjasdfklj">#REF!</definedName>
    <definedName name="sdfsd" hidden="1">{#N/A,#N/A,TRUE,"Front";#N/A,#N/A,TRUE,"Simple Letter";#N/A,#N/A,TRUE,"Inside";#N/A,#N/A,TRUE,"Contents";#N/A,#N/A,TRUE,"Basis";#N/A,#N/A,TRUE,"Inclusions";#N/A,#N/A,TRUE,"Exclusions";#N/A,#N/A,TRUE,"Areas";#N/A,#N/A,TRUE,"Summary";#N/A,#N/A,TRUE,"Detail"}</definedName>
    <definedName name="sdfsdf" hidden="1">#REF!</definedName>
    <definedName name="sdfswf" hidden="1">{#N/A,#N/A,TRUE,"Krycí list"}</definedName>
    <definedName name="SDGASG" hidden="1">{#N/A,#N/A,TRUE,"Krycí list"}</definedName>
    <definedName name="sdgfd">#REF!</definedName>
    <definedName name="sdgfeg" hidden="1">{#N/A,#N/A,TRUE,"Krycí list"}</definedName>
    <definedName name="sdggdsfgsdf">#REF!</definedName>
    <definedName name="sdgsdht">#REF!</definedName>
    <definedName name="sdgsdsdf">#REF!</definedName>
    <definedName name="SDHFOSDSF">#REF!</definedName>
    <definedName name="sdjfsfsd">#N/A</definedName>
    <definedName name="SDOFSNDFSDO" hidden="1">#REF!</definedName>
    <definedName name="sdpl">#REF!</definedName>
    <definedName name="SDPLBS">#REF!</definedName>
    <definedName name="SDPLFA">#REF!</definedName>
    <definedName name="SDPLPL">#REF!</definedName>
    <definedName name="sds" hidden="1">{#VALUE!,#N/A,TRUE,0;#N/A,#N/A,TRUE,0;#N/A,#N/A,TRUE,0;#N/A,#N/A,TRUE,0;#N/A,#N/A,TRUE,0;#N/A,#N/A,TRUE,0;#N/A,#N/A,TRUE,0;#N/A,#N/A,TRUE,0;#N/A,#N/A,TRUE,0;#N/A,#N/A,TRUE,0;#N/A,#N/A,TRUE,0;#N/A,#N/A,TRUE,0;#N/A,#N/A,TRUE,0;#N/A,#N/A,TRUE,0;#N/A,#N/A,TRUE,0;#N/A,#N/A,TRUE,0;#N/A,#N/A,TRUE,0;#N/A,#N/A,TRUE,0}</definedName>
    <definedName name="sdsad" hidden="1">{#N/A,"Good",TRUE,"Sheet1";#N/A,"Normal",TRUE,"Sheet1";#N/A,"Bad",TRUE,"Sheet1"}</definedName>
    <definedName name="sdsd">#REF!</definedName>
    <definedName name="sdsd_1">NA()</definedName>
    <definedName name="sdsd_2">NA()</definedName>
    <definedName name="sdsd_3">NA()</definedName>
    <definedName name="sdsd_5">NA()</definedName>
    <definedName name="sdsdA" hidden="1">{#N/A,#N/A,TRUE,"Front";#N/A,#N/A,TRUE,"Simple Letter";#N/A,#N/A,TRUE,"Inside";#N/A,#N/A,TRUE,"Contents";#N/A,#N/A,TRUE,"Basis";#N/A,#N/A,TRUE,"Inclusions";#N/A,#N/A,TRUE,"Exclusions";#N/A,#N/A,TRUE,"Areas";#N/A,#N/A,TRUE,"Summary";#N/A,#N/A,TRUE,"Detail"}</definedName>
    <definedName name="sdsds">#REF!</definedName>
    <definedName name="sdsdsds" hidden="1">{#N/A,#N/A,TRUE,"Front";#N/A,#N/A,TRUE,"Simple Letter";#N/A,#N/A,TRUE,"Inside";#N/A,#N/A,TRUE,"Contents";#N/A,#N/A,TRUE,"Basis";#N/A,#N/A,TRUE,"Inclusions";#N/A,#N/A,TRUE,"Exclusions";#N/A,#N/A,TRUE,"Areas";#N/A,#N/A,TRUE,"Summary";#N/A,#N/A,TRUE,"Detail"}</definedName>
    <definedName name="SDW">#REF!</definedName>
    <definedName name="se">#REF!</definedName>
    <definedName name="se_1">NA()</definedName>
    <definedName name="se_2">NA()</definedName>
    <definedName name="se_3">NA()</definedName>
    <definedName name="se_5">NA()</definedName>
    <definedName name="sec">#REF!</definedName>
    <definedName name="sec_deposit">#REF!</definedName>
    <definedName name="SECT">#REF!</definedName>
    <definedName name="SECTION">#NAME?</definedName>
    <definedName name="Section_1_Title">#REF!</definedName>
    <definedName name="Section_1_Title_1">NA()</definedName>
    <definedName name="Section_1_Title_2">NA()</definedName>
    <definedName name="Section_1_Title_3">NA()</definedName>
    <definedName name="Section_1_Title_5">NA()</definedName>
    <definedName name="Section_2_Title">#REF!</definedName>
    <definedName name="Section_2_Title_1">NA()</definedName>
    <definedName name="Section_2_Title_2">NA()</definedName>
    <definedName name="Section_2_Title_3">NA()</definedName>
    <definedName name="Section_2_Title_5">NA()</definedName>
    <definedName name="Section_3_Title">#REF!</definedName>
    <definedName name="Section_3_Title_1">NA()</definedName>
    <definedName name="Section_3_Title_2">NA()</definedName>
    <definedName name="Section_3_Title_3">NA()</definedName>
    <definedName name="Section_3_Title_5">NA()</definedName>
    <definedName name="Section_4_Title">#REF!</definedName>
    <definedName name="Section_4_Title_1">NA()</definedName>
    <definedName name="Section_4_Title_2">NA()</definedName>
    <definedName name="Section_4_Title_3">NA()</definedName>
    <definedName name="Section_4_Title_5">NA()</definedName>
    <definedName name="Section_5_Title">#REF!</definedName>
    <definedName name="Section_5_Title_1">NA()</definedName>
    <definedName name="Section_5_Title_2">NA()</definedName>
    <definedName name="Section_5_Title_3">NA()</definedName>
    <definedName name="Section_5_Title_5">NA()</definedName>
    <definedName name="Section_6_Title">#REF!</definedName>
    <definedName name="Section_6_Title_1">NA()</definedName>
    <definedName name="Section_6_Title_2">NA()</definedName>
    <definedName name="Section_6_Title_3">NA()</definedName>
    <definedName name="Section_6_Title_5">NA()</definedName>
    <definedName name="Section_7_Title">#REF!</definedName>
    <definedName name="Section_7_Title_1">NA()</definedName>
    <definedName name="Section_7_Title_2">NA()</definedName>
    <definedName name="Section_7_Title_3">NA()</definedName>
    <definedName name="Section_7_Title_5">NA()</definedName>
    <definedName name="Section_8_Title">#REF!</definedName>
    <definedName name="Section_8_Title_1">NA()</definedName>
    <definedName name="Section_8_Title_2">NA()</definedName>
    <definedName name="Section_8_Title_3">NA()</definedName>
    <definedName name="Section_8_Title_5">NA()</definedName>
    <definedName name="secured">#REF!</definedName>
    <definedName name="security">#N/A</definedName>
    <definedName name="security_2">NA()</definedName>
    <definedName name="see">#REF!</definedName>
    <definedName name="sef">#REF!</definedName>
    <definedName name="SegCharge">#REF!</definedName>
    <definedName name="SEK">#REF!</definedName>
    <definedName name="SelectedLanguage">#REF!</definedName>
    <definedName name="SelectedLanguage_4">#REF!</definedName>
    <definedName name="SelectedLanguage_6">#REF!</definedName>
    <definedName name="SEMIIN">#N/A</definedName>
    <definedName name="sencount" hidden="1">1</definedName>
    <definedName name="sep." hidden="1">{#N/A,#N/A,TRUE,"Front";#N/A,#N/A,TRUE,"Simple Letter";#N/A,#N/A,TRUE,"Inside";#N/A,#N/A,TRUE,"Contents";#N/A,#N/A,TRUE,"Basis";#N/A,#N/A,TRUE,"Inclusions";#N/A,#N/A,TRUE,"Exclusions";#N/A,#N/A,TRUE,"Areas";#N/A,#N/A,TRUE,"Summary";#N/A,#N/A,TRUE,"Detail"}</definedName>
    <definedName name="SEPCONC">#REF!</definedName>
    <definedName name="SEPT">#REF!</definedName>
    <definedName name="SEPT01PROFITABILITY">#REF!</definedName>
    <definedName name="SEQ">#REF!</definedName>
    <definedName name="SER">#REF!</definedName>
    <definedName name="serf">#REF!</definedName>
    <definedName name="servf">#REF!</definedName>
    <definedName name="servf_15">"$#REF!.$#REF!$#REF!"</definedName>
    <definedName name="servf_3">"$#REF!.$#REF!$#REF!"</definedName>
    <definedName name="servf_4">"$#REF!.$#REF!$#REF!"</definedName>
    <definedName name="servf_5">NA()</definedName>
    <definedName name="servf_6">"$#REF!.$#REF!$#REF!"</definedName>
    <definedName name="Service">#REF!</definedName>
    <definedName name="set">#REF!</definedName>
    <definedName name="Setflag">#REF!</definedName>
    <definedName name="sets">#REF!</definedName>
    <definedName name="SF">#REF!</definedName>
    <definedName name="SF_1">NA()</definedName>
    <definedName name="SF_2">NA()</definedName>
    <definedName name="SF_3">NA()</definedName>
    <definedName name="SF_5">NA()</definedName>
    <definedName name="sfasf">#REF!</definedName>
    <definedName name="sfdfsd">#REF!</definedName>
    <definedName name="SFDS" hidden="1">{#N/A,#N/A,TRUE,"Front";#N/A,#N/A,TRUE,"Simple Letter";#N/A,#N/A,TRUE,"Inside";#N/A,#N/A,TRUE,"Contents";#N/A,#N/A,TRUE,"Basis";#N/A,#N/A,TRUE,"Inclusions";#N/A,#N/A,TRUE,"Exclusions";#N/A,#N/A,TRUE,"Areas";#N/A,#N/A,TRUE,"Summary";#N/A,#N/A,TRUE,"Detail"}</definedName>
    <definedName name="SFFSDF">#REF!</definedName>
    <definedName name="sffsff">#REF!</definedName>
    <definedName name="sffssd">#REF!</definedName>
    <definedName name="sfsd">#REF!</definedName>
    <definedName name="sfsdfhsdf">#REF!</definedName>
    <definedName name="SFSDFS">#REF!</definedName>
    <definedName name="SFSDFSD">#REF!</definedName>
    <definedName name="SFSDFSDF">#REF!</definedName>
    <definedName name="SFSDFSF">#REF!</definedName>
    <definedName name="sfsf">#REF!</definedName>
    <definedName name="sfsff">#N/A</definedName>
    <definedName name="sfssdfs">#REF!</definedName>
    <definedName name="sfssf" hidden="1">#REF!</definedName>
    <definedName name="SFTJ">#N/A</definedName>
    <definedName name="sfvdafv" hidden="1">{#N/A,#N/A,TRUE,"Front";#N/A,#N/A,TRUE,"Simple Letter";#N/A,#N/A,TRUE,"Inside";#N/A,#N/A,TRUE,"Contents";#N/A,#N/A,TRUE,"Basis";#N/A,#N/A,TRUE,"Inclusions";#N/A,#N/A,TRUE,"Exclusions";#N/A,#N/A,TRUE,"Areas";#N/A,#N/A,TRUE,"Summary";#N/A,#N/A,TRUE,"Detail"}</definedName>
    <definedName name="sg">#REF!</definedName>
    <definedName name="sga">3.5%</definedName>
    <definedName name="SGDFDSGFG" hidden="1">{#N/A,#N/A,TRUE,"Front";#N/A,#N/A,TRUE,"Simple Letter";#N/A,#N/A,TRUE,"Inside";#N/A,#N/A,TRUE,"Contents";#N/A,#N/A,TRUE,"Basis";#N/A,#N/A,TRUE,"Inclusions";#N/A,#N/A,TRUE,"Exclusions";#N/A,#N/A,TRUE,"Areas";#N/A,#N/A,TRUE,"Summary";#N/A,#N/A,TRUE,"Detail"}</definedName>
    <definedName name="sgfssfs">#REF!</definedName>
    <definedName name="sggbhb" hidden="1">{#N/A,#N/A,TRUE,"Front";#N/A,#N/A,TRUE,"Simple Letter";#N/A,#N/A,TRUE,"Inside";#N/A,#N/A,TRUE,"Contents";#N/A,#N/A,TRUE,"Basis";#N/A,#N/A,TRUE,"Inclusions";#N/A,#N/A,TRUE,"Exclusions";#N/A,#N/A,TRUE,"Areas";#N/A,#N/A,TRUE,"Summary";#N/A,#N/A,TRUE,"Detail"}</definedName>
    <definedName name="sggg" hidden="1">#REF!</definedName>
    <definedName name="sgggggg" hidden="1">#REF!</definedName>
    <definedName name="sgh">#REF!</definedName>
    <definedName name="sgh_1">#REF!</definedName>
    <definedName name="sgh_4">#REF!</definedName>
    <definedName name="sgrg" hidden="1">#REF!</definedName>
    <definedName name="sh" hidden="1">{#N/A,#N/A,TRUE,"Front";#N/A,#N/A,TRUE,"Simple Letter";#N/A,#N/A,TRUE,"Inside";#N/A,#N/A,TRUE,"Contents";#N/A,#N/A,TRUE,"Basis";#N/A,#N/A,TRUE,"Inclusions";#N/A,#N/A,TRUE,"Exclusions";#N/A,#N/A,TRUE,"Areas";#N/A,#N/A,TRUE,"Summary";#N/A,#N/A,TRUE,"Detail"}</definedName>
    <definedName name="sh0.5">#REF!</definedName>
    <definedName name="sh0.6">#REF!</definedName>
    <definedName name="sh0.8">#REF!</definedName>
    <definedName name="sh1.0">#REF!</definedName>
    <definedName name="sh1.2">#REF!</definedName>
    <definedName name="Shanthi3">#REF!</definedName>
    <definedName name="shape">#REF!</definedName>
    <definedName name="shape.codes" hidden="1">#REF!</definedName>
    <definedName name="shar">#REF!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d">#REF!</definedName>
    <definedName name="SHDFHH" hidden="1">{#N/A,#N/A,TRUE,"Krycí list"}</definedName>
    <definedName name="SHEET">#N/A</definedName>
    <definedName name="sheet1">#REF!</definedName>
    <definedName name="sheet1___0">#REF!</definedName>
    <definedName name="sheet1___0_1">NA()</definedName>
    <definedName name="sheet1___0_2">NA()</definedName>
    <definedName name="sheet1___0_3">NA()</definedName>
    <definedName name="sheet1___0_5">NA()</definedName>
    <definedName name="sheet1___13">#REF!</definedName>
    <definedName name="sheet1___13_1">NA()</definedName>
    <definedName name="sheet1___13_2">NA()</definedName>
    <definedName name="sheet1___13_3">NA()</definedName>
    <definedName name="sheet1___13_5">NA()</definedName>
    <definedName name="sheet1_1">NA()</definedName>
    <definedName name="sheet1_2">NA()</definedName>
    <definedName name="sheet1_3">NA()</definedName>
    <definedName name="sheet1_5">NA()</definedName>
    <definedName name="Sheet2" hidden="1">{#N/A,#N/A,TRUE,"Front";#N/A,#N/A,TRUE,"Simple Letter";#N/A,#N/A,TRUE,"Inside";#N/A,#N/A,TRUE,"Contents";#N/A,#N/A,TRUE,"Basis";#N/A,#N/A,TRUE,"Inclusions";#N/A,#N/A,TRUE,"Exclusions";#N/A,#N/A,TRUE,"Areas";#N/A,#N/A,TRUE,"Summary";#N/A,#N/A,TRUE,"Detail"}</definedName>
    <definedName name="shekar">#N/A</definedName>
    <definedName name="shf">#REF!</definedName>
    <definedName name="shi">#REF!</definedName>
    <definedName name="shiva">#REF!</definedName>
    <definedName name="shiva_1">NA()</definedName>
    <definedName name="shiva_1_1">NA()</definedName>
    <definedName name="shiva_15">"$#REF!.$#REF!$#REF!"</definedName>
    <definedName name="shiva_2">NA()</definedName>
    <definedName name="shiva_2_1">NA()</definedName>
    <definedName name="shiva_3">NA()</definedName>
    <definedName name="shiva_3_1">"$#REF!.$#REF!$#REF!"</definedName>
    <definedName name="shiva_4">"$#REF!.$#REF!$#REF!"</definedName>
    <definedName name="shiva_5">NA()</definedName>
    <definedName name="shiva_6">"$#REF!.$#REF!$#REF!"</definedName>
    <definedName name="Shop_Floor_Hour_Rate___2000">"kapil"</definedName>
    <definedName name="SHOPBOQ">#REF!</definedName>
    <definedName name="SHOPHED">#REF!</definedName>
    <definedName name="short" hidden="1">{#N/A,#N/A,FALSE,"COVER1.XLS ";#N/A,#N/A,FALSE,"RACT1.XLS";#N/A,#N/A,FALSE,"RACT2.XLS";#N/A,#N/A,FALSE,"ECCMP";#N/A,#N/A,FALSE,"WELDER.XLS"}</definedName>
    <definedName name="Show.Acct.Update.Warning" hidden="1">#REF!</definedName>
    <definedName name="Show.MDB.Update.Warning" hidden="1">#REF!</definedName>
    <definedName name="SHOW_TO_CUSTOME">#REF!</definedName>
    <definedName name="SHOW_TO_CUSTOME_1">NA()</definedName>
    <definedName name="SHOW_TO_CUSTOME_2">NA()</definedName>
    <definedName name="SHOW_TO_CUSTOME_3">NA()</definedName>
    <definedName name="SHOW_TO_CUSTOME_5">NA()</definedName>
    <definedName name="Shree">MATCH(0.01,[0]!End_Bal,-1)+1</definedName>
    <definedName name="Sht">#REF!</definedName>
    <definedName name="shut">#REF!</definedName>
    <definedName name="shut_reqt">#REF!</definedName>
    <definedName name="shutt">#N/A</definedName>
    <definedName name="shutter">#REF!</definedName>
    <definedName name="shuttering" hidden="1">{#N/A,#N/A,TRUE,"Front";#N/A,#N/A,TRUE,"Simple Letter";#N/A,#N/A,TRUE,"Inside";#N/A,#N/A,TRUE,"Contents";#N/A,#N/A,TRUE,"Basis";#N/A,#N/A,TRUE,"Inclusions";#N/A,#N/A,TRUE,"Exclusions";#N/A,#N/A,TRUE,"Areas";#N/A,#N/A,TRUE,"Summary";#N/A,#N/A,TRUE,"Detail"}</definedName>
    <definedName name="shuttttt">#N/A</definedName>
    <definedName name="SHUTTTTTTT">#N/A</definedName>
    <definedName name="SHYAM">#N/A</definedName>
    <definedName name="si">#REF!</definedName>
    <definedName name="si_1">NA()</definedName>
    <definedName name="si_2">NA()</definedName>
    <definedName name="si_3">NA()</definedName>
    <definedName name="si_5">NA()</definedName>
    <definedName name="sigma0.2">#REF!</definedName>
    <definedName name="sigma0.2_1">NA()</definedName>
    <definedName name="sigma0.2_2">NA()</definedName>
    <definedName name="sigma0.2_3">NA()</definedName>
    <definedName name="sigma0.2_5">NA()</definedName>
    <definedName name="sigma0_2">#REF!</definedName>
    <definedName name="sigma0_2_1">NA()</definedName>
    <definedName name="sigma0_2_2">NA()</definedName>
    <definedName name="sigma0_2_3">NA()</definedName>
    <definedName name="sigma0_2_5">NA()</definedName>
    <definedName name="sigmab">#REF!</definedName>
    <definedName name="sigmab_1">NA()</definedName>
    <definedName name="sigmab_2">NA()</definedName>
    <definedName name="sigmab_3">NA()</definedName>
    <definedName name="sigmab_5">NA()</definedName>
    <definedName name="sigmah">#REF!</definedName>
    <definedName name="sigmah_1">NA()</definedName>
    <definedName name="sigmah_2">NA()</definedName>
    <definedName name="sigmah_3">NA()</definedName>
    <definedName name="sigmah_5">NA()</definedName>
    <definedName name="sigmat">#REF!</definedName>
    <definedName name="sigmat_1">NA()</definedName>
    <definedName name="sigmat_2">NA()</definedName>
    <definedName name="sigmat_3">NA()</definedName>
    <definedName name="sigmat_5">NA()</definedName>
    <definedName name="silty_lots">#REF!</definedName>
    <definedName name="site.ref" hidden="1">#REF!</definedName>
    <definedName name="SiteEstablishmentandOH">5.5/100</definedName>
    <definedName name="SiteExpence">#REF!</definedName>
    <definedName name="SiteID">#REF!</definedName>
    <definedName name="SiteID_4">#REF!</definedName>
    <definedName name="SiteID_6">#REF!</definedName>
    <definedName name="SiteType">#REF!</definedName>
    <definedName name="SITEWORKS">#REF!</definedName>
    <definedName name="siva">#REF!</definedName>
    <definedName name="SIXTH">#REF!</definedName>
    <definedName name="Sjdg" hidden="1">{#N/A,#N/A,TRUE,"Front";#N/A,#N/A,TRUE,"Simple Letter";#N/A,#N/A,TRUE,"Inside";#N/A,#N/A,TRUE,"Contents";#N/A,#N/A,TRUE,"Basis";#N/A,#N/A,TRUE,"Inclusions";#N/A,#N/A,TRUE,"Exclusions";#N/A,#N/A,TRUE,"Areas";#N/A,#N/A,TRUE,"Summary";#N/A,#N/A,TRUE,"Detail"}</definedName>
    <definedName name="SJFSLFJSLJF">#REF!</definedName>
    <definedName name="sjkdfjsdp">#REF!</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1"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irting">#REF!</definedName>
    <definedName name="Skirting1">#REF!</definedName>
    <definedName name="skq" localSheetId="1"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No">#REF!</definedName>
    <definedName name="Sl_No">#REF!</definedName>
    <definedName name="slab">#REF!</definedName>
    <definedName name="SLAB1">#REF!</definedName>
    <definedName name="SLAB12">#REF!</definedName>
    <definedName name="SLAB13">#REF!</definedName>
    <definedName name="slab2">#REF!</definedName>
    <definedName name="slab20">#REF!</definedName>
    <definedName name="slab21">#REF!</definedName>
    <definedName name="slab22">#REF!</definedName>
    <definedName name="SLAB31">#REF!</definedName>
    <definedName name="slab7">#REF!</definedName>
    <definedName name="slab8">#REF!</definedName>
    <definedName name="SlabArea">#REF!</definedName>
    <definedName name="slabconArea">#REF!</definedName>
    <definedName name="slabconPerimeter">#REF!</definedName>
    <definedName name="SlabPerimeter">#REF!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PE">#REF!</definedName>
    <definedName name="SLOPE_1">NA()</definedName>
    <definedName name="SLOPE_2">NA()</definedName>
    <definedName name="SLOPE_3">NA()</definedName>
    <definedName name="SLOPE_5">NA()</definedName>
    <definedName name="SmallProj">#REF!</definedName>
    <definedName name="SmallProj_6">#REF!</definedName>
    <definedName name="SmallProj_Text">#REF!</definedName>
    <definedName name="SmallProj_Text_4">#REF!</definedName>
    <definedName name="SmallProj_Text_6">#REF!</definedName>
    <definedName name="SO">#REF!</definedName>
    <definedName name="soasia" hidden="1">#REF!</definedName>
    <definedName name="sobha" hidden="1">{#N/A,#N/A,TRUE,"Front";#N/A,#N/A,TRUE,"Simple Letter";#N/A,#N/A,TRUE,"Inside";#N/A,#N/A,TRUE,"Contents";#N/A,#N/A,TRUE,"Basis";#N/A,#N/A,TRUE,"Inclusions";#N/A,#N/A,TRUE,"Exclusions";#N/A,#N/A,TRUE,"Areas";#N/A,#N/A,TRUE,"Summary";#N/A,#N/A,TRUE,"Detail"}</definedName>
    <definedName name="sobhaa">#REF!</definedName>
    <definedName name="sodnsdfwe" hidden="1">{#N/A,#N/A,TRUE,"Front";#N/A,#N/A,TRUE,"Simple Letter";#N/A,#N/A,TRUE,"Inside";#N/A,#N/A,TRUE,"Contents";#N/A,#N/A,TRUE,"Basis";#N/A,#N/A,TRUE,"Inclusions";#N/A,#N/A,TRUE,"Exclusions";#N/A,#N/A,TRUE,"Areas";#N/A,#N/A,TRUE,"Summary";#N/A,#N/A,TRUE,"Detail"}</definedName>
    <definedName name="Sodomka" hidden="1">{#N/A,#N/A,TRUE,"Krycí list"}</definedName>
    <definedName name="SOFITEL">#REF!</definedName>
    <definedName name="soil_data">#REF!</definedName>
    <definedName name="SOLAR" hidden="1">{#N/A,#N/A,TRUE,"Front";#N/A,#N/A,TRUE,"Simple Letter";#N/A,#N/A,TRUE,"Inside";#N/A,#N/A,TRUE,"Contents";#N/A,#N/A,TRUE,"Basis";#N/A,#N/A,TRUE,"Inclusions";#N/A,#N/A,TRUE,"Exclusions";#N/A,#N/A,TRUE,"Areas";#N/A,#N/A,TRUE,"Summary";#N/A,#N/A,TRUE,"Detail"}</definedName>
    <definedName name="solid_blocks">#REF!</definedName>
    <definedName name="SOLVENT">#REF!</definedName>
    <definedName name="solvents">#REF!</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2118.99</definedName>
    <definedName name="sonbf">#REF!</definedName>
    <definedName name="SONBOH">#N/A</definedName>
    <definedName name="sond">#REF!</definedName>
    <definedName name="sond_15">"$#REF!.$#REF!$#REF!"</definedName>
    <definedName name="sond_3">"$#REF!.$#REF!$#REF!"</definedName>
    <definedName name="sond_4">"$#REF!.$#REF!$#REF!"</definedName>
    <definedName name="sond_5">NA()</definedName>
    <definedName name="sond_6">"$#REF!.$#REF!$#REF!"</definedName>
    <definedName name="sondf">#REF!</definedName>
    <definedName name="sondf_15">"$#REF!.$#REF!$#REF!"</definedName>
    <definedName name="sondf_3">"$#REF!.$#REF!$#REF!"</definedName>
    <definedName name="sondf_4">"$#REF!.$#REF!$#REF!"</definedName>
    <definedName name="sondf_5">NA()</definedName>
    <definedName name="sondf_6">"$#REF!.$#REF!$#REF!"</definedName>
    <definedName name="SONEOH">#N/A</definedName>
    <definedName name="sonhf">#REF!</definedName>
    <definedName name="SONU" hidden="1">{#N/A,#N/A,TRUE,"Front";#N/A,#N/A,TRUE,"Simple Letter";#N/A,#N/A,TRUE,"Inside";#N/A,#N/A,TRUE,"Contents";#N/A,#N/A,TRUE,"Basis";#N/A,#N/A,TRUE,"Inclusions";#N/A,#N/A,TRUE,"Exclusions";#N/A,#N/A,TRUE,"Areas";#N/A,#N/A,TRUE,"Summary";#N/A,#N/A,TRUE,"Detail"}</definedName>
    <definedName name="soo" hidden="1">#REF!</definedName>
    <definedName name="soupis" hidden="1">{#N/A,#N/A,TRUE,"Krycí list"}</definedName>
    <definedName name="sp">#REF!</definedName>
    <definedName name="SP1Branch">#REF!</definedName>
    <definedName name="SP1Credit">#REF!</definedName>
    <definedName name="SP1Credit_4">#REF!</definedName>
    <definedName name="SP1Credit_6">#REF!</definedName>
    <definedName name="SP1Name">#REF!</definedName>
    <definedName name="SP1Name_4">#REF!</definedName>
    <definedName name="SP1Name_6">#REF!</definedName>
    <definedName name="SP1Number">#REF!</definedName>
    <definedName name="SP1Number_4">#REF!</definedName>
    <definedName name="SP1Number_6">#REF!</definedName>
    <definedName name="sp28p375ex1">#REF!</definedName>
    <definedName name="SP2Branch">#REF!</definedName>
    <definedName name="SP2Branch_4">#REF!</definedName>
    <definedName name="SP2Branch_6">#REF!</definedName>
    <definedName name="SP2Credit">#REF!</definedName>
    <definedName name="SP2Credit_4">#REF!</definedName>
    <definedName name="SP2Credit_6">#REF!</definedName>
    <definedName name="SP2Name">#REF!</definedName>
    <definedName name="SP2Name_4">#REF!</definedName>
    <definedName name="SP2Name_6">#REF!</definedName>
    <definedName name="SP2Number">#REF!</definedName>
    <definedName name="SP2Number_4">#REF!</definedName>
    <definedName name="SP2Number_6">#REF!</definedName>
    <definedName name="SP3Branch">#REF!</definedName>
    <definedName name="SP3Branch_4">#REF!</definedName>
    <definedName name="SP3Branch_6">#REF!</definedName>
    <definedName name="SP3Credit">#REF!</definedName>
    <definedName name="SP3Credit_4">#REF!</definedName>
    <definedName name="SP3Credit_6">#REF!</definedName>
    <definedName name="SP3Name">#REF!</definedName>
    <definedName name="SP3Name_4">#REF!</definedName>
    <definedName name="SP3Name_6">#REF!</definedName>
    <definedName name="SP3Number">#REF!</definedName>
    <definedName name="SP3Number_4">#REF!</definedName>
    <definedName name="SP3Number_6">#REF!</definedName>
    <definedName name="SP4Branch">#REF!</definedName>
    <definedName name="SP4Branch_4">#REF!</definedName>
    <definedName name="SP4Branch_6">#REF!</definedName>
    <definedName name="SP4Credit">#REF!</definedName>
    <definedName name="SP4Credit_4">#REF!</definedName>
    <definedName name="SP4Credit_6">#REF!</definedName>
    <definedName name="SP4Name">#REF!</definedName>
    <definedName name="SP4Name_4">#REF!</definedName>
    <definedName name="SP4Name_6">#REF!</definedName>
    <definedName name="SP4Number">#REF!</definedName>
    <definedName name="SP4Number_4">#REF!</definedName>
    <definedName name="SP4Number_6">#REF!</definedName>
    <definedName name="SP5Branch">#REF!</definedName>
    <definedName name="SP5Branch_4">#REF!</definedName>
    <definedName name="SP5Branch_6">#REF!</definedName>
    <definedName name="SP5Credit">#REF!</definedName>
    <definedName name="SP5Credit_4">#REF!</definedName>
    <definedName name="SP5Credit_6">#REF!</definedName>
    <definedName name="SP5Name">#REF!</definedName>
    <definedName name="SP5Name_4">#REF!</definedName>
    <definedName name="SP5Name_6">#REF!</definedName>
    <definedName name="SP5Number">#REF!</definedName>
    <definedName name="SP5Number_4">#REF!</definedName>
    <definedName name="SP5Number_6">#REF!</definedName>
    <definedName name="span">#REF!</definedName>
    <definedName name="spanner">#N/A</definedName>
    <definedName name="spares">#REF!</definedName>
    <definedName name="spd">#REF!</definedName>
    <definedName name="Spec" hidden="1">#REF!</definedName>
    <definedName name="SpecClass">#REF!</definedName>
    <definedName name="SpecClass_6">#REF!</definedName>
    <definedName name="SpecClass_Text">#REF!</definedName>
    <definedName name="SpecClass_Text_4">#REF!</definedName>
    <definedName name="SpecClass_Text_6">#REF!</definedName>
    <definedName name="SpecEnv1">#REF!</definedName>
    <definedName name="SpecEnv1_4">#REF!</definedName>
    <definedName name="SpecEnv1_6">#REF!</definedName>
    <definedName name="SpecEnv1_Text">#REF!</definedName>
    <definedName name="SpecEnv1_Text_4">#REF!</definedName>
    <definedName name="SpecEnv1_Text_6">#REF!</definedName>
    <definedName name="SpecEnv2">#REF!</definedName>
    <definedName name="SpecEnv2_4">#REF!</definedName>
    <definedName name="SpecEnv2_6">#REF!</definedName>
    <definedName name="SpecEnv2_Text">#REF!</definedName>
    <definedName name="SpecEnv2_Text_4">#REF!</definedName>
    <definedName name="SpecEnv2_Text_6">#REF!</definedName>
    <definedName name="SpecialPrice" hidden="1">#REF!</definedName>
    <definedName name="spell">#N/A</definedName>
    <definedName name="SPOT1">#REF!</definedName>
    <definedName name="SPOT1_1">NA()</definedName>
    <definedName name="SPOT1_2">NA()</definedName>
    <definedName name="SPOT1_3">NA()</definedName>
    <definedName name="SPOT1_5">NA()</definedName>
    <definedName name="SPR">#REF!</definedName>
    <definedName name="sprare">#REF!</definedName>
    <definedName name="sqdsw" hidden="1">#REF!</definedName>
    <definedName name="Sqm" hidden="1">#REF!</definedName>
    <definedName name="SQRT__1___0.6___1.0">#REF!</definedName>
    <definedName name="SQRT__1___0.6___1.0_1">NA()</definedName>
    <definedName name="SQRT__1___0.6___1.0_2">NA()</definedName>
    <definedName name="SQRT__1___0.6___1.0_3">NA()</definedName>
    <definedName name="SQRT__1___0.6___1.0_5">NA()</definedName>
    <definedName name="SQRT__1___0_6___1_0">#REF!</definedName>
    <definedName name="SQRT__1___0_6___1_0___0">#REF!</definedName>
    <definedName name="SQRT__1___0_6___1_0___0_1">NA()</definedName>
    <definedName name="SQRT__1___0_6___1_0___0_2">NA()</definedName>
    <definedName name="SQRT__1___0_6___1_0___0_3">NA()</definedName>
    <definedName name="SQRT__1___0_6___1_0___0_5">NA()</definedName>
    <definedName name="SQRT__1___0_6___1_0___13">#REF!</definedName>
    <definedName name="SQRT__1___0_6___1_0___13_1">NA()</definedName>
    <definedName name="SQRT__1___0_6___1_0___13_2">NA()</definedName>
    <definedName name="SQRT__1___0_6___1_0___13_3">NA()</definedName>
    <definedName name="SQRT__1___0_6___1_0___13_5">NA()</definedName>
    <definedName name="SQRT__1___0_6___1_0_1">NA()</definedName>
    <definedName name="SQRT__1___0_6___1_0_2">NA()</definedName>
    <definedName name="SQRT__1___0_6___1_0_3">NA()</definedName>
    <definedName name="SQRT__1___0_6___1_0_5">NA()</definedName>
    <definedName name="Sr_No">#REF!</definedName>
    <definedName name="SRB" hidden="1">{"'Sheet1'!$A$4386:$N$4591"}</definedName>
    <definedName name="Srfed" localSheetId="1" hidden="1">{#N/A,#N/A,FALSE,"abs";#N/A,#N/A,FALSE,"Annex-I";#N/A,#N/A,FALSE,"Annex-II";#N/A,#N/A,FALSE,"Annex-III";#N/A,#N/A,FALSE,"Annex-IV";#N/A,#N/A,FALSE,"Annex-V";#N/A,#N/A,FALSE,"Annex-VI"}</definedName>
    <definedName name="Srfed" hidden="1">{#N/A,#N/A,FALSE,"abs";#N/A,#N/A,FALSE,"Annex-I";#N/A,#N/A,FALSE,"Annex-II";#N/A,#N/A,FALSE,"Annex-III";#N/A,#N/A,FALSE,"Annex-IV";#N/A,#N/A,FALSE,"Annex-V";#N/A,#N/A,FALSE,"Annex-VI"}</definedName>
    <definedName name="SRI" hidden="1">#REF!</definedName>
    <definedName name="SRN" hidden="1">{#N/A,#N/A,FALSE,"COMPUTATION";#N/A,#N/A,FALSE,"CAPITAL ACCOUNT";#N/A,#N/A,FALSE,"CURRENT ACCOUNT";#N/A,#N/A,FALSE,"COMPANY_BAL_SHEET";#N/A,#N/A,FALSE,"TRADING &amp; P&amp;L ACT";#N/A,#N/A,FALSE,"SCHEDULE VIII, IX";#N/A,#N/A,FALSE,"SCHEDULES";#N/A,#N/A,FALSE,"FIXED ASSETS"}</definedName>
    <definedName name="SRRRRR">#REF!</definedName>
    <definedName name="srtthyrt" hidden="1">{#N/A,#N/A,TRUE,"Front";#N/A,#N/A,TRUE,"Simple Letter";#N/A,#N/A,TRUE,"Inside";#N/A,#N/A,TRUE,"Contents";#N/A,#N/A,TRUE,"Basis";#N/A,#N/A,TRUE,"Inclusions";#N/A,#N/A,TRUE,"Exclusions";#N/A,#N/A,TRUE,"Areas";#N/A,#N/A,TRUE,"Summary";#N/A,#N/A,TRUE,"Detail"}</definedName>
    <definedName name="srty" hidden="1">#REF!</definedName>
    <definedName name="SrvcCode1">#REF!</definedName>
    <definedName name="SrvcCode1_Text">#REF!</definedName>
    <definedName name="SrvcCode1_Text_4">#REF!</definedName>
    <definedName name="SrvcCode1_Text_6">#REF!</definedName>
    <definedName name="SrvcCode2">#REF!</definedName>
    <definedName name="SrvcCode2_4">#REF!</definedName>
    <definedName name="SrvcCode2_6">#REF!</definedName>
    <definedName name="SrvcCode2_Text">#REF!</definedName>
    <definedName name="SrvcCode2_Text_4">#REF!</definedName>
    <definedName name="SrvcCode2_Text_6">#REF!</definedName>
    <definedName name="SrvcCode3">#REF!</definedName>
    <definedName name="SrvcCode3_4">#REF!</definedName>
    <definedName name="SrvcCode3_6">#REF!</definedName>
    <definedName name="SrvcCode3_Text">#REF!</definedName>
    <definedName name="SrvcCode3_Text_4">#REF!</definedName>
    <definedName name="SrvcCode3_Text_6">#REF!</definedName>
    <definedName name="SrvcCode4">#REF!</definedName>
    <definedName name="SrvcCode4_4">#REF!</definedName>
    <definedName name="SrvcCode4_6">#REF!</definedName>
    <definedName name="SrvcCode4_Text">#REF!</definedName>
    <definedName name="SrvcCode4_Text_4">#REF!</definedName>
    <definedName name="SrvcCode4_Text_6">#REF!</definedName>
    <definedName name="SrvcCode5">#REF!</definedName>
    <definedName name="SrvcCode5_4">#REF!</definedName>
    <definedName name="SrvcCode5_6">#REF!</definedName>
    <definedName name="SrvcCode5_Text">#REF!</definedName>
    <definedName name="SrvcCode5_Text_4">#REF!</definedName>
    <definedName name="SrvcCode5_Text_6">#REF!</definedName>
    <definedName name="srvf">#REF!</definedName>
    <definedName name="ss" hidden="1">#REF!</definedName>
    <definedName name="ssa" hidden="1">{"'Typical Costs Estimates'!$C$158:$H$161"}</definedName>
    <definedName name="ssd">#REF!</definedName>
    <definedName name="ssdd">#N/A</definedName>
    <definedName name="ssdfb">#REF!</definedName>
    <definedName name="Ssec1">#REF!</definedName>
    <definedName name="ssec12">#REF!</definedName>
    <definedName name="SSEC13">#REF!</definedName>
    <definedName name="Ssec2">#REF!</definedName>
    <definedName name="ssec22">#REF!</definedName>
    <definedName name="SSEC23">#REF!</definedName>
    <definedName name="Ssec3">#REF!</definedName>
    <definedName name="ssec34">#REF!</definedName>
    <definedName name="SSEC35">#REF!</definedName>
    <definedName name="Ssec4">#REF!</definedName>
    <definedName name="SSEC43">#REF!</definedName>
    <definedName name="ssec45">#REF!</definedName>
    <definedName name="Ssec5">#REF!</definedName>
    <definedName name="SSEC54">#REF!</definedName>
    <definedName name="ssec55">#REF!</definedName>
    <definedName name="Ssec6">#REF!</definedName>
    <definedName name="SSEC65">#REF!</definedName>
    <definedName name="ssec66">#REF!</definedName>
    <definedName name="ssf">#REF!</definedName>
    <definedName name="SSS">#REF!</definedName>
    <definedName name="sssss" hidden="1">#REF!</definedName>
    <definedName name="sssssssssss">#REF!</definedName>
    <definedName name="ssssssssssss">#REF!</definedName>
    <definedName name="sstype3drop">#REF!</definedName>
    <definedName name="SSTYPE3DROP1">#REF!</definedName>
    <definedName name="sstype3drop2">#REF!</definedName>
    <definedName name="SSTYPE3DROP3">#REF!</definedName>
    <definedName name="sstype3drop33">#REF!</definedName>
    <definedName name="SSTYPE3DROP35">#REF!</definedName>
    <definedName name="sstype3dropp">#REF!</definedName>
    <definedName name="SSTYPE3DROPP1">#REF!</definedName>
    <definedName name="sstype3slab">#REF!</definedName>
    <definedName name="SSTYPE3SLAB121">#REF!</definedName>
    <definedName name="sstype3slab2">#REF!</definedName>
    <definedName name="SSTYPE3SLAB3">#REF!</definedName>
    <definedName name="SSTYPE3SLAB32">#REF!</definedName>
    <definedName name="sstype3slab6">#REF!</definedName>
    <definedName name="sstype3slabb">#REF!</definedName>
    <definedName name="SSTYPESLAB1">#REF!</definedName>
    <definedName name="SSWEWE" hidden="1">#REF!</definedName>
    <definedName name="st" hidden="1">{#N/A,#N/A,TRUE,"Front";#N/A,#N/A,TRUE,"Simple Letter";#N/A,#N/A,TRUE,"Inside";#N/A,#N/A,TRUE,"Contents";#N/A,#N/A,TRUE,"Basis";#N/A,#N/A,TRUE,"Inclusions";#N/A,#N/A,TRUE,"Exclusions";#N/A,#N/A,TRUE,"Areas";#N/A,#N/A,TRUE,"Summary";#N/A,#N/A,TRUE,"Detail"}</definedName>
    <definedName name="st_100">#REF!</definedName>
    <definedName name="st_150">#REF!</definedName>
    <definedName name="st_200">#REF!</definedName>
    <definedName name="st_25">#REF!</definedName>
    <definedName name="st_250">#REF!</definedName>
    <definedName name="st_300">#REF!</definedName>
    <definedName name="st_32">#REF!</definedName>
    <definedName name="st_40">#REF!</definedName>
    <definedName name="st_400">#REF!</definedName>
    <definedName name="st_50">#REF!</definedName>
    <definedName name="st_500">#REF!</definedName>
    <definedName name="st_65">#REF!</definedName>
    <definedName name="st_80">#REF!</definedName>
    <definedName name="sta">#REF!</definedName>
    <definedName name="staff" hidden="1">{#N/A,#N/A,TRUE,"Front";#N/A,#N/A,TRUE,"Simple Letter";#N/A,#N/A,TRUE,"Inside";#N/A,#N/A,TRUE,"Contents";#N/A,#N/A,TRUE,"Basis";#N/A,#N/A,TRUE,"Inclusions";#N/A,#N/A,TRUE,"Exclusions";#N/A,#N/A,TRUE,"Areas";#N/A,#N/A,TRUE,"Summary";#N/A,#N/A,TRUE,"Detail"}</definedName>
    <definedName name="staffing">#REF!</definedName>
    <definedName name="Stage">"'file:///C:/Documents%20and%20Settings/anpcpmc/Desktop/RA-44%20final/DLA%20Standard%20Cost%20Report1'#$'Fill this out first...'.$D$12"</definedName>
    <definedName name="Stage_1">NA()</definedName>
    <definedName name="Stage_2">NA()</definedName>
    <definedName name="Stage_3">NA()</definedName>
    <definedName name="Stage_5">NA()</definedName>
    <definedName name="Staircase">#REF!</definedName>
    <definedName name="Staircase_1">NA()</definedName>
    <definedName name="Staircase_2">NA()</definedName>
    <definedName name="Staircase_3">NA()</definedName>
    <definedName name="Staircase_5">NA()</definedName>
    <definedName name="Staircase2">#REF!</definedName>
    <definedName name="Staircase2_1">NA()</definedName>
    <definedName name="Staircase2_2">NA()</definedName>
    <definedName name="Staircase2_3">NA()</definedName>
    <definedName name="Staircase2_5">NA()</definedName>
    <definedName name="STANDARD_SPECIFICATION_FOR_HOSPITAL_STRUCTURES">#REF!</definedName>
    <definedName name="start">#REF!</definedName>
    <definedName name="Start_Date">#REF!</definedName>
    <definedName name="Start_Date_1">NA()</definedName>
    <definedName name="Start_Date_2">NA()</definedName>
    <definedName name="Start_Date_3">NA()</definedName>
    <definedName name="Start_Date_5">NA()</definedName>
    <definedName name="StartDate">#REF!</definedName>
    <definedName name="StartDate_4">#REF!</definedName>
    <definedName name="StartDate_6">#REF!</definedName>
    <definedName name="StartRow">6</definedName>
    <definedName name="starts">#REF!</definedName>
    <definedName name="State">#REF!</definedName>
    <definedName name="status">#N/A</definedName>
    <definedName name="statutory">#REF!</definedName>
    <definedName name="StDebtDmy" hidden="1">#REF!,#REF!,#REF!,#REF!,#REF!</definedName>
    <definedName name="steel">#REF!</definedName>
    <definedName name="STEEL_11">"'file:///c:/documents%20and%20settings/uma.r.anprakashpmc/desktop/bills/docume~1/admini~1/locals~1/temp/rar$di01.859/ra_bill___13_corrected_20100213%20at%20home.xls'#$''.$fr1"</definedName>
    <definedName name="STEEL_5">"'file:///g:/ra%20bill%20corrected%20at%20home/ra%20bill%20%252525252525252525252525252525252525252525252525252525252525252525252525252525252525252525252523%2010%20corrected%20(%20r%20p%20)/ibis%20hotel%20project-ra%20bills/ibis-ra-08(blk%20submit).xls'#$'"</definedName>
    <definedName name="STEEL_6">"'file:///g:/ra%20bill%20corrected%20at%20home/ra%20bill%20%252525252525252525252525252525252525252525252525252525252525252525252525252525252525252525252523%2010%20corrected%20(%20r%20p%20)/ibis%20hotel%20project-ra%20bills/ibis-ra-08(blk%20submit).xls'#$'"</definedName>
    <definedName name="STEEL_8">"$#REF!.$#REF!#REF!"</definedName>
    <definedName name="steel2">#REF!</definedName>
    <definedName name="steelmeasurements">NA()</definedName>
    <definedName name="stock">#REF!</definedName>
    <definedName name="stock02" hidden="1">{#N/A,#N/A,FALSE,"gc (2)"}</definedName>
    <definedName name="Storm">#REF!</definedName>
    <definedName name="stotal1">#REF!</definedName>
    <definedName name="stotal10">#REF!</definedName>
    <definedName name="stotal11">#REF!</definedName>
    <definedName name="stotal12">#REF!</definedName>
    <definedName name="stotal13">#REF!</definedName>
    <definedName name="stotal14">#REF!</definedName>
    <definedName name="stotal15">#REF!</definedName>
    <definedName name="stotal16">#REF!</definedName>
    <definedName name="stotal17">#REF!</definedName>
    <definedName name="stotal18">#REF!</definedName>
    <definedName name="stotal19">#REF!</definedName>
    <definedName name="stotal2">#REF!</definedName>
    <definedName name="stotal20">#REF!</definedName>
    <definedName name="stotal3">#REF!</definedName>
    <definedName name="stotal4">#REF!</definedName>
    <definedName name="Stotal5">#REF!</definedName>
    <definedName name="stotal6">#REF!</definedName>
    <definedName name="stotal7">#REF!</definedName>
    <definedName name="stotal8">#REF!</definedName>
    <definedName name="stotal9">#REF!</definedName>
    <definedName name="stp">#REF!</definedName>
    <definedName name="StrID">#REF!</definedName>
    <definedName name="StrID_1">NA()</definedName>
    <definedName name="StrID_10">#REF!</definedName>
    <definedName name="StrID_11">#REF!</definedName>
    <definedName name="StrID_12">#REF!</definedName>
    <definedName name="StrID_2">NA()</definedName>
    <definedName name="StrID_20">#REF!</definedName>
    <definedName name="StrID_21">#REF!</definedName>
    <definedName name="StrID_24">#REF!</definedName>
    <definedName name="StrID_25">#REF!</definedName>
    <definedName name="StrID_26">#REF!</definedName>
    <definedName name="StrID_27">#REF!</definedName>
    <definedName name="StrID_28">#REF!</definedName>
    <definedName name="StrID_29">#REF!</definedName>
    <definedName name="StrID_3">NA()</definedName>
    <definedName name="StrID_30">#REF!</definedName>
    <definedName name="StrID_31">#REF!</definedName>
    <definedName name="StrID_32">#REF!</definedName>
    <definedName name="StrID_33">#REF!</definedName>
    <definedName name="StrID_34">#REF!</definedName>
    <definedName name="StrID_35">#REF!</definedName>
    <definedName name="StrID_36">#REF!</definedName>
    <definedName name="StrID_37">#REF!</definedName>
    <definedName name="StrID_38">#REF!</definedName>
    <definedName name="StrID_39">#REF!</definedName>
    <definedName name="StrID_40">#REF!</definedName>
    <definedName name="StrID_41">#REF!</definedName>
    <definedName name="StrID_42">#REF!</definedName>
    <definedName name="StrID_43">#REF!</definedName>
    <definedName name="StrID_44">#REF!</definedName>
    <definedName name="StrID_45">#REF!</definedName>
    <definedName name="StrID_46">#REF!</definedName>
    <definedName name="StrID_47">#REF!</definedName>
    <definedName name="StrID_48">#REF!</definedName>
    <definedName name="StrID_49">#REF!</definedName>
    <definedName name="StrID_5">NA()</definedName>
    <definedName name="StrID_50">#REF!</definedName>
    <definedName name="StrID_51">#REF!</definedName>
    <definedName name="StrID_52">#REF!</definedName>
    <definedName name="StrID_53">#REF!</definedName>
    <definedName name="StrID_55">#REF!</definedName>
    <definedName name="StrID_56">#REF!</definedName>
    <definedName name="StrID_57">#REF!</definedName>
    <definedName name="StrID_61">#REF!</definedName>
    <definedName name="StrID_62">#REF!</definedName>
    <definedName name="StrID_63">#REF!</definedName>
    <definedName name="StrID_64">#REF!</definedName>
    <definedName name="StrID_65">#REF!</definedName>
    <definedName name="StrID_66">#REF!</definedName>
    <definedName name="StrID_8">#REF!</definedName>
    <definedName name="StrID_9">#REF!</definedName>
    <definedName name="Strucsteel">#REF!</definedName>
    <definedName name="STRUCTURAL">#REF!</definedName>
    <definedName name="structure">#REF!</definedName>
    <definedName name="structure_1">NA()</definedName>
    <definedName name="structure_10">#REF!</definedName>
    <definedName name="structure_11">#REF!</definedName>
    <definedName name="structure_12">#REF!</definedName>
    <definedName name="structure_2">NA()</definedName>
    <definedName name="structure_20">#REF!</definedName>
    <definedName name="structure_21">#REF!</definedName>
    <definedName name="structure_24">#REF!</definedName>
    <definedName name="structure_25">#REF!</definedName>
    <definedName name="structure_26">#REF!</definedName>
    <definedName name="structure_27">#REF!</definedName>
    <definedName name="structure_28">#REF!</definedName>
    <definedName name="structure_29">#REF!</definedName>
    <definedName name="structure_3">NA()</definedName>
    <definedName name="structure_30">#REF!</definedName>
    <definedName name="structure_31">#REF!</definedName>
    <definedName name="structure_32">#REF!</definedName>
    <definedName name="structure_33">#REF!</definedName>
    <definedName name="structure_34">#REF!</definedName>
    <definedName name="structure_35">#REF!</definedName>
    <definedName name="structure_36">#REF!</definedName>
    <definedName name="structure_37">#REF!</definedName>
    <definedName name="structure_38">#REF!</definedName>
    <definedName name="structure_39">#REF!</definedName>
    <definedName name="structure_4">#REF!</definedName>
    <definedName name="structure_40">#REF!</definedName>
    <definedName name="structure_41">#REF!</definedName>
    <definedName name="structure_42">#REF!</definedName>
    <definedName name="structure_43">#REF!</definedName>
    <definedName name="structure_44">#REF!</definedName>
    <definedName name="structure_45">#REF!</definedName>
    <definedName name="structure_46">#REF!</definedName>
    <definedName name="structure_47">#REF!</definedName>
    <definedName name="structure_48">#REF!</definedName>
    <definedName name="structure_49">#REF!</definedName>
    <definedName name="structure_5">NA()</definedName>
    <definedName name="structure_50">#REF!</definedName>
    <definedName name="structure_51">#REF!</definedName>
    <definedName name="structure_52">#REF!</definedName>
    <definedName name="structure_53">#REF!</definedName>
    <definedName name="structure_55">#REF!</definedName>
    <definedName name="structure_56">#REF!</definedName>
    <definedName name="structure_57">#REF!</definedName>
    <definedName name="structure_61">#REF!</definedName>
    <definedName name="structure_62">#REF!</definedName>
    <definedName name="structure_63">#REF!</definedName>
    <definedName name="structure_64">#REF!</definedName>
    <definedName name="structure_65">#REF!</definedName>
    <definedName name="structure_66">#REF!</definedName>
    <definedName name="structure_8">#REF!</definedName>
    <definedName name="structure_9">#REF!</definedName>
    <definedName name="stt">#REF!</definedName>
    <definedName name="studext">#REF!</definedName>
    <definedName name="STUDEXT1">#REF!</definedName>
    <definedName name="StudioArea">#REF!</definedName>
    <definedName name="StudioPerimeter">#REF!</definedName>
    <definedName name="stype2drop">#REF!</definedName>
    <definedName name="STYPE2DROP1">#REF!</definedName>
    <definedName name="stype2drop11">#REF!</definedName>
    <definedName name="stype2drop2">#REF!</definedName>
    <definedName name="STYPE2DROP23">#REF!</definedName>
    <definedName name="STYPE2DROP3">#REF!</definedName>
    <definedName name="STYPE2DROP4">#REF!</definedName>
    <definedName name="stype2drop6">#REF!</definedName>
    <definedName name="stype2slab">#REF!</definedName>
    <definedName name="STYPE2SLAB1">#REF!</definedName>
    <definedName name="STYPE2SLAB12">#REF!</definedName>
    <definedName name="STYPE2SLAB2">#REF!</definedName>
    <definedName name="stype2slab22">#REF!</definedName>
    <definedName name="STYPE2SLAB23">#REF!</definedName>
    <definedName name="stype2slab3">#REF!</definedName>
    <definedName name="stype2slab6">#REF!</definedName>
    <definedName name="stype3drop">#REF!</definedName>
    <definedName name="STYPE3DROP2">#REF!</definedName>
    <definedName name="STYPE3DROP21">#REF!</definedName>
    <definedName name="STYPE3DROP23">#REF!</definedName>
    <definedName name="stype3drop3">#REF!</definedName>
    <definedName name="stype3drop33">#REF!</definedName>
    <definedName name="STYPE3DROP4">#REF!</definedName>
    <definedName name="stype3drop6">#REF!</definedName>
    <definedName name="stype3slab">#REF!</definedName>
    <definedName name="STYPE3SLAB1">#REF!</definedName>
    <definedName name="STYPE3SLAB12">#REF!</definedName>
    <definedName name="STYPE3SLAB13">#REF!</definedName>
    <definedName name="stype3slab22">#REF!</definedName>
    <definedName name="STYPE3SLAB23">#REF!</definedName>
    <definedName name="stype3slab3">#REF!</definedName>
    <definedName name="stype3slab6">#REF!</definedName>
    <definedName name="SU">#REF!</definedName>
    <definedName name="subjec">#REF!</definedName>
    <definedName name="Subject">#REF!</definedName>
    <definedName name="Subject_1">NA()</definedName>
    <definedName name="Subject_10">#REF!</definedName>
    <definedName name="Subject_11">#REF!</definedName>
    <definedName name="Subject_12">#REF!</definedName>
    <definedName name="Subject_2">NA()</definedName>
    <definedName name="Subject_20">#REF!</definedName>
    <definedName name="Subject_21">#REF!</definedName>
    <definedName name="Subject_24">#REF!</definedName>
    <definedName name="Subject_25">#REF!</definedName>
    <definedName name="Subject_26">#REF!</definedName>
    <definedName name="Subject_27">#REF!</definedName>
    <definedName name="Subject_28">#REF!</definedName>
    <definedName name="Subject_29">#REF!</definedName>
    <definedName name="Subject_3">NA()</definedName>
    <definedName name="Subject_30">#REF!</definedName>
    <definedName name="Subject_31">#REF!</definedName>
    <definedName name="Subject_32">#REF!</definedName>
    <definedName name="Subject_33">#REF!</definedName>
    <definedName name="Subject_34">#REF!</definedName>
    <definedName name="Subject_35">#REF!</definedName>
    <definedName name="Subject_36">#REF!</definedName>
    <definedName name="Subject_37">#REF!</definedName>
    <definedName name="Subject_38">#REF!</definedName>
    <definedName name="Subject_39">#REF!</definedName>
    <definedName name="Subject_40">#REF!</definedName>
    <definedName name="Subject_41">#REF!</definedName>
    <definedName name="Subject_42">#REF!</definedName>
    <definedName name="Subject_43">#REF!</definedName>
    <definedName name="Subject_44">#REF!</definedName>
    <definedName name="Subject_45">#REF!</definedName>
    <definedName name="Subject_46">#REF!</definedName>
    <definedName name="Subject_47">#REF!</definedName>
    <definedName name="Subject_48">#REF!</definedName>
    <definedName name="Subject_49">#REF!</definedName>
    <definedName name="Subject_5">NA()</definedName>
    <definedName name="Subject_50">#REF!</definedName>
    <definedName name="Subject_51">#REF!</definedName>
    <definedName name="Subject_52">#REF!</definedName>
    <definedName name="Subject_53">#REF!</definedName>
    <definedName name="Subject_55">#REF!</definedName>
    <definedName name="Subject_56">#REF!</definedName>
    <definedName name="Subject_57">#REF!</definedName>
    <definedName name="Subject_61">#REF!</definedName>
    <definedName name="Subject_62">#REF!</definedName>
    <definedName name="Subject_63">#REF!</definedName>
    <definedName name="Subject_64">#REF!</definedName>
    <definedName name="Subject_65">#REF!</definedName>
    <definedName name="Subject_66">#REF!</definedName>
    <definedName name="Subject_8">#REF!</definedName>
    <definedName name="Subject_9">#REF!</definedName>
    <definedName name="subpart" hidden="1">{#N/A,#N/A,FALSE,"Summary";#N/A,#N/A,FALSE,"Fed.State Prov";#N/A,#N/A,FALSE,"Foreign Prov";#N/A,#N/A,FALSE,"Thera Fgrn";#N/A,#N/A,FALSE,"CCD Fgrn";#N/A,#N/A,FALSE,"Biocine Fgrn";#N/A,#N/A,FALSE,"Vision Fgrn";#N/A,#N/A,FALSE,"Frgn vs Dom"}</definedName>
    <definedName name="substructure">#REF!</definedName>
    <definedName name="succ" hidden="1">{#N/A,#N/A,FALSE,"COVER1.XLS ";#N/A,#N/A,FALSE,"RACT1.XLS";#N/A,#N/A,FALSE,"RACT2.XLS";#N/A,#N/A,FALSE,"ECCMP";#N/A,#N/A,FALSE,"WELDER.XLS"}</definedName>
    <definedName name="suhas">#REF!</definedName>
    <definedName name="suite17Area">#REF!</definedName>
    <definedName name="suite17Perimeter">#REF!</definedName>
    <definedName name="sujin">#REF!</definedName>
    <definedName name="sum" hidden="1">#REF!</definedName>
    <definedName name="sum6C">#REF!</definedName>
    <definedName name="sum6cc">#REF!</definedName>
    <definedName name="sumana">#REF!</definedName>
    <definedName name="Sume">#N/A</definedName>
    <definedName name="SUMFINAL">#REF!</definedName>
    <definedName name="summ" hidden="1">{#N/A,#N/A,TRUE,"Front";#N/A,#N/A,TRUE,"Simple Letter";#N/A,#N/A,TRUE,"Inside";#N/A,#N/A,TRUE,"Contents";#N/A,#N/A,TRUE,"Basis";#N/A,#N/A,TRUE,"Inclusions";#N/A,#N/A,TRUE,"Exclusions";#N/A,#N/A,TRUE,"Areas";#N/A,#N/A,TRUE,"Summary";#N/A,#N/A,TRUE,"Detail"}</definedName>
    <definedName name="summaries">#REF!</definedName>
    <definedName name="summary">#REF!</definedName>
    <definedName name="SUMMARY1">#REF!</definedName>
    <definedName name="sumrisk">#REF!</definedName>
    <definedName name="SUNIL">#REF!</definedName>
    <definedName name="SUNIL1">#REF!</definedName>
    <definedName name="SUNIL3">#REF!</definedName>
    <definedName name="superstructure">#REF!</definedName>
    <definedName name="SURAT" hidden="1">#REF!</definedName>
    <definedName name="suresh" hidden="1">{#N/A,#N/A,TRUE,"Front";#N/A,#N/A,TRUE,"Simple Letter";#N/A,#N/A,TRUE,"Inside";#N/A,#N/A,TRUE,"Contents";#N/A,#N/A,TRUE,"Basis";#N/A,#N/A,TRUE,"Inclusions";#N/A,#N/A,TRUE,"Exclusions";#N/A,#N/A,TRUE,"Areas";#N/A,#N/A,TRUE,"Summary";#N/A,#N/A,TRUE,"Detail"}</definedName>
    <definedName name="SURYA">#REF!</definedName>
    <definedName name="SURYA_1">#REF!</definedName>
    <definedName name="SURYA_4">#REF!</definedName>
    <definedName name="sushma">#REF!</definedName>
    <definedName name="SVFFG" hidden="1">{#N/A,#N/A,TRUE,"Front";#N/A,#N/A,TRUE,"Simple Letter";#N/A,#N/A,TRUE,"Inside";#N/A,#N/A,TRUE,"Contents";#N/A,#N/A,TRUE,"Basis";#N/A,#N/A,TRUE,"Inclusions";#N/A,#N/A,TRUE,"Exclusions";#N/A,#N/A,TRUE,"Areas";#N/A,#N/A,TRUE,"Summary";#N/A,#N/A,TRUE,"Detail"}</definedName>
    <definedName name="sw" hidden="1">#REF!</definedName>
    <definedName name="SW_COMP">IF([0]!How_many_floors&gt;0,1,0)</definedName>
    <definedName name="SW_COMP_1">NA()</definedName>
    <definedName name="SW_COMP_2">NA()</definedName>
    <definedName name="SWALL">#REF!</definedName>
    <definedName name="swf">#REF!</definedName>
    <definedName name="swf_15">"$#REF!.$#REF!$#REF!"</definedName>
    <definedName name="swf_3">"$#REF!.$#REF!$#REF!"</definedName>
    <definedName name="swf_4">#REF!</definedName>
    <definedName name="swf_5">NA()</definedName>
    <definedName name="swf_6">#REF!</definedName>
    <definedName name="SWFR">#REF!</definedName>
    <definedName name="SwimmingPool">#REF!</definedName>
    <definedName name="Switchboard" hidden="1">{#N/A,#N/A,TRUE,"Krycí list"}</definedName>
    <definedName name="swww" hidden="1">{#N/A,#N/A,TRUE,"Krycí list"}</definedName>
    <definedName name="SXA" hidden="1">{#N/A,#N/A,TRUE,"Front";#N/A,#N/A,TRUE,"Simple Letter";#N/A,#N/A,TRUE,"Inside";#N/A,#N/A,TRUE,"Contents";#N/A,#N/A,TRUE,"Basis";#N/A,#N/A,TRUE,"Inclusions";#N/A,#N/A,TRUE,"Exclusions";#N/A,#N/A,TRUE,"Areas";#N/A,#N/A,TRUE,"Summary";#N/A,#N/A,TRUE,"Detail"}</definedName>
    <definedName name="SXZCAX">#N/A</definedName>
    <definedName name="Sy">#REF!</definedName>
    <definedName name="SystemName">#REF!</definedName>
    <definedName name="t">#REF!</definedName>
    <definedName name="t.area">#REF!</definedName>
    <definedName name="t___0">#REF!</definedName>
    <definedName name="t___0_1">NA()</definedName>
    <definedName name="t___0_2">NA()</definedName>
    <definedName name="t___0_3">NA()</definedName>
    <definedName name="t___0_5">NA()</definedName>
    <definedName name="t___13">#REF!</definedName>
    <definedName name="t___13_1">NA()</definedName>
    <definedName name="t___13_2">NA()</definedName>
    <definedName name="t___13_3">NA()</definedName>
    <definedName name="t___13_5">NA()</definedName>
    <definedName name="t_1">NA()</definedName>
    <definedName name="T_1_1">NA()</definedName>
    <definedName name="T_15">"$#REF!.$#REF!$#REF!"</definedName>
    <definedName name="t_2">NA()</definedName>
    <definedName name="T_2_1">NA()</definedName>
    <definedName name="t_3">NA()</definedName>
    <definedName name="T_3_1">"$#REF!.$#REF!$#REF!"</definedName>
    <definedName name="T_4">"$#REF!.$#REF!$#REF!"</definedName>
    <definedName name="t_5">NA()</definedName>
    <definedName name="T_6">"$#REF!.$#REF!$#REF!"</definedName>
    <definedName name="T0">#REF!</definedName>
    <definedName name="T0_1">NA()</definedName>
    <definedName name="T0_10">#REF!</definedName>
    <definedName name="T0_11">#REF!</definedName>
    <definedName name="T0_12">#REF!</definedName>
    <definedName name="T0_2">NA()</definedName>
    <definedName name="T0_20">#REF!</definedName>
    <definedName name="T0_21">#REF!</definedName>
    <definedName name="T0_24">#REF!</definedName>
    <definedName name="T0_25">#REF!</definedName>
    <definedName name="T0_26">#REF!</definedName>
    <definedName name="T0_27">#REF!</definedName>
    <definedName name="T0_28">#REF!</definedName>
    <definedName name="T0_29">#REF!</definedName>
    <definedName name="T0_3">NA()</definedName>
    <definedName name="T0_30">#REF!</definedName>
    <definedName name="T0_31">#REF!</definedName>
    <definedName name="T0_32">#REF!</definedName>
    <definedName name="T0_33">#REF!</definedName>
    <definedName name="T0_34">#REF!</definedName>
    <definedName name="T0_35">#REF!</definedName>
    <definedName name="T0_36">#REF!</definedName>
    <definedName name="T0_37">#REF!</definedName>
    <definedName name="T0_38">#REF!</definedName>
    <definedName name="T0_39">#REF!</definedName>
    <definedName name="T0_4">#REF!</definedName>
    <definedName name="T0_40">#REF!</definedName>
    <definedName name="T0_41">#REF!</definedName>
    <definedName name="T0_42">#REF!</definedName>
    <definedName name="T0_43">#REF!</definedName>
    <definedName name="T0_44">#REF!</definedName>
    <definedName name="T0_45">#REF!</definedName>
    <definedName name="T0_46">#REF!</definedName>
    <definedName name="T0_47">#REF!</definedName>
    <definedName name="T0_48">#REF!</definedName>
    <definedName name="T0_49">#REF!</definedName>
    <definedName name="T0_5">NA()</definedName>
    <definedName name="T0_50">#REF!</definedName>
    <definedName name="T0_51">#REF!</definedName>
    <definedName name="T0_52">#REF!</definedName>
    <definedName name="T0_53">#REF!</definedName>
    <definedName name="T0_55">#REF!</definedName>
    <definedName name="T0_56">#REF!</definedName>
    <definedName name="T0_57">#REF!</definedName>
    <definedName name="T0_61">#REF!</definedName>
    <definedName name="T0_62">#REF!</definedName>
    <definedName name="T0_63">#REF!</definedName>
    <definedName name="T0_64">#REF!</definedName>
    <definedName name="T0_65">#REF!</definedName>
    <definedName name="T0_66">#REF!</definedName>
    <definedName name="T0_8">#REF!</definedName>
    <definedName name="T0_9">#REF!</definedName>
    <definedName name="TA" hidden="1">{#N/A,#N/A,TRUE,"Financials";#N/A,#N/A,TRUE,"Operating Statistics";#N/A,#N/A,TRUE,"Capex &amp; Depreciation";#N/A,#N/A,TRUE,"Debt"}</definedName>
    <definedName name="tab" hidden="1">{#N/A,#N/A,TRUE,"Front";#N/A,#N/A,TRUE,"Simple Letter";#N/A,#N/A,TRUE,"Inside";#N/A,#N/A,TRUE,"Contents";#N/A,#N/A,TRUE,"Basis";#N/A,#N/A,TRUE,"Inclusions";#N/A,#N/A,TRUE,"Exclusions";#N/A,#N/A,TRUE,"Areas";#N/A,#N/A,TRUE,"Summary";#N/A,#N/A,TRUE,"Detail"}</definedName>
    <definedName name="taba" hidden="1">{#N/A,#N/A,TRUE,"Front";#N/A,#N/A,TRUE,"Simple Letter";#N/A,#N/A,TRUE,"Inside";#N/A,#N/A,TRUE,"Contents";#N/A,#N/A,TRUE,"Basis";#N/A,#N/A,TRUE,"Inclusions";#N/A,#N/A,TRUE,"Exclusions";#N/A,#N/A,TRUE,"Areas";#N/A,#N/A,TRUE,"Summary";#N/A,#N/A,TRUE,"Detail"}</definedName>
    <definedName name="Table">#REF!</definedName>
    <definedName name="Table_1">#REF!</definedName>
    <definedName name="Table_10">#REF!</definedName>
    <definedName name="Table_11">#REF!</definedName>
    <definedName name="Table_12">#REF!</definedName>
    <definedName name="Table_20">#REF!</definedName>
    <definedName name="Table_21">#REF!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5">#REF!</definedName>
    <definedName name="Table_56">#REF!</definedName>
    <definedName name="Table_57">#REF!</definedName>
    <definedName name="Table_61">#REF!</definedName>
    <definedName name="Table_62">#REF!</definedName>
    <definedName name="Table_63">#REF!</definedName>
    <definedName name="Table_64">#REF!</definedName>
    <definedName name="Table_65">#REF!</definedName>
    <definedName name="Table_66">#REF!</definedName>
    <definedName name="Table_8">#REF!</definedName>
    <definedName name="Table_9">#REF!</definedName>
    <definedName name="table1">#REF!</definedName>
    <definedName name="table1_1">NA()</definedName>
    <definedName name="table1_2">NA()</definedName>
    <definedName name="table1_3">NA()</definedName>
    <definedName name="table1_5">NA()</definedName>
    <definedName name="TABLE2">#REF!</definedName>
    <definedName name="TABLE2_1">NA()</definedName>
    <definedName name="TABLE2_10">#REF!</definedName>
    <definedName name="TABLE2_11">#REF!</definedName>
    <definedName name="TABLE2_12">#REF!</definedName>
    <definedName name="TABLE2_2">NA()</definedName>
    <definedName name="TABLE2_20">#REF!</definedName>
    <definedName name="TABLE2_21">#REF!</definedName>
    <definedName name="TABLE2_24">#REF!</definedName>
    <definedName name="TABLE2_25">#REF!</definedName>
    <definedName name="TABLE2_26">#REF!</definedName>
    <definedName name="TABLE2_27">#REF!</definedName>
    <definedName name="TABLE2_28">#REF!</definedName>
    <definedName name="TABLE2_29">#REF!</definedName>
    <definedName name="TABLE2_3">NA()</definedName>
    <definedName name="TABLE2_30">#REF!</definedName>
    <definedName name="TABLE2_31">#REF!</definedName>
    <definedName name="TABLE2_32">#REF!</definedName>
    <definedName name="TABLE2_33">#REF!</definedName>
    <definedName name="TABLE2_34">#REF!</definedName>
    <definedName name="TABLE2_35">#REF!</definedName>
    <definedName name="TABLE2_36">#REF!</definedName>
    <definedName name="TABLE2_37">#REF!</definedName>
    <definedName name="TABLE2_38">#REF!</definedName>
    <definedName name="TABLE2_39">#REF!</definedName>
    <definedName name="TABLE2_40">#REF!</definedName>
    <definedName name="TABLE2_41">#REF!</definedName>
    <definedName name="TABLE2_42">#REF!</definedName>
    <definedName name="TABLE2_43">#REF!</definedName>
    <definedName name="TABLE2_44">#REF!</definedName>
    <definedName name="TABLE2_45">#REF!</definedName>
    <definedName name="TABLE2_46">#REF!</definedName>
    <definedName name="TABLE2_47">#REF!</definedName>
    <definedName name="TABLE2_48">#REF!</definedName>
    <definedName name="TABLE2_49">#REF!</definedName>
    <definedName name="TABLE2_5">NA()</definedName>
    <definedName name="TABLE2_50">#REF!</definedName>
    <definedName name="TABLE2_51">#REF!</definedName>
    <definedName name="TABLE2_52">#REF!</definedName>
    <definedName name="TABLE2_53">#REF!</definedName>
    <definedName name="TABLE2_55">#REF!</definedName>
    <definedName name="TABLE2_56">#REF!</definedName>
    <definedName name="TABLE2_57">#REF!</definedName>
    <definedName name="TABLE2_61">#REF!</definedName>
    <definedName name="TABLE2_62">#REF!</definedName>
    <definedName name="TABLE2_63">#REF!</definedName>
    <definedName name="TABLE2_64">#REF!</definedName>
    <definedName name="TABLE2_65">#REF!</definedName>
    <definedName name="TABLE2_66">#REF!</definedName>
    <definedName name="TABLE2_8">#REF!</definedName>
    <definedName name="TABLE2_9">#REF!</definedName>
    <definedName name="TableName">"Dummy"</definedName>
    <definedName name="TableRange">#REF!</definedName>
    <definedName name="TableRange_1">NA()</definedName>
    <definedName name="TableRange_10">#REF!</definedName>
    <definedName name="TableRange_11">#REF!</definedName>
    <definedName name="TableRange_12">#REF!</definedName>
    <definedName name="TableRange_2">NA()</definedName>
    <definedName name="TableRange_20">#REF!</definedName>
    <definedName name="TableRange_21">#REF!</definedName>
    <definedName name="TableRange_24">#REF!</definedName>
    <definedName name="TableRange_25">#REF!</definedName>
    <definedName name="TableRange_26">#REF!</definedName>
    <definedName name="TableRange_27">#REF!</definedName>
    <definedName name="TableRange_28">#REF!</definedName>
    <definedName name="TableRange_29">#REF!</definedName>
    <definedName name="TableRange_3">NA()</definedName>
    <definedName name="TableRange_30">#REF!</definedName>
    <definedName name="TableRange_31">#REF!</definedName>
    <definedName name="TableRange_32">#REF!</definedName>
    <definedName name="TableRange_33">#REF!</definedName>
    <definedName name="TableRange_34">#REF!</definedName>
    <definedName name="TableRange_35">#REF!</definedName>
    <definedName name="TableRange_36">#REF!</definedName>
    <definedName name="TableRange_37">#REF!</definedName>
    <definedName name="TableRange_38">#REF!</definedName>
    <definedName name="TableRange_39">#REF!</definedName>
    <definedName name="TableRange_40">#REF!</definedName>
    <definedName name="TableRange_41">#REF!</definedName>
    <definedName name="TableRange_42">#REF!</definedName>
    <definedName name="TableRange_43">#REF!</definedName>
    <definedName name="TableRange_44">#REF!</definedName>
    <definedName name="TableRange_45">#REF!</definedName>
    <definedName name="TableRange_46">#REF!</definedName>
    <definedName name="TableRange_47">#REF!</definedName>
    <definedName name="TableRange_48">#REF!</definedName>
    <definedName name="TableRange_49">#REF!</definedName>
    <definedName name="TableRange_5">NA()</definedName>
    <definedName name="TableRange_50">#REF!</definedName>
    <definedName name="TableRange_51">#REF!</definedName>
    <definedName name="TableRange_52">#REF!</definedName>
    <definedName name="TableRange_53">#REF!</definedName>
    <definedName name="TableRange_55">#REF!</definedName>
    <definedName name="TableRange_56">#REF!</definedName>
    <definedName name="TableRange_57">#REF!</definedName>
    <definedName name="TableRange_61">#REF!</definedName>
    <definedName name="TableRange_62">#REF!</definedName>
    <definedName name="TableRange_63">#REF!</definedName>
    <definedName name="TableRange_64">#REF!</definedName>
    <definedName name="TableRange_65">#REF!</definedName>
    <definedName name="TableRange_66">#REF!</definedName>
    <definedName name="TableRange_8">#REF!</definedName>
    <definedName name="TableRange_9">#REF!</definedName>
    <definedName name="Tables" hidden="1">{"sales",#N/A,FALSE,"Sales";"sales existing",#N/A,FALSE,"Sales";"sales rd1",#N/A,FALSE,"Sales";"sales rd2",#N/A,FALSE,"Sales"}</definedName>
    <definedName name="tacleks">#N/A</definedName>
    <definedName name="Taj">#REF!</definedName>
    <definedName name="tak" hidden="1">{#N/A,#N/A,TRUE,"Krycí list"}</definedName>
    <definedName name="taks" hidden="1">{#N/A,#N/A,TRUE,"Krycí list"}</definedName>
    <definedName name="tallu">#REF!</definedName>
    <definedName name="tally">#REF!</definedName>
    <definedName name="TAMT">#REF!</definedName>
    <definedName name="TAMT_1">NA()</definedName>
    <definedName name="TAMT_2">NA()</definedName>
    <definedName name="TAMT_3">NA()</definedName>
    <definedName name="TAMT_5">NA()</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un">#N/A</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TV">10%</definedName>
    <definedName name="TaxXL">5%</definedName>
    <definedName name="TB" hidden="1">{#N/A,#N/A,FALSE,"One Pager";#N/A,#N/A,FALSE,"Technical"}</definedName>
    <definedName name="tbl_ProdInfo" hidden="1">#REF!</definedName>
    <definedName name="TBM">#REF!</definedName>
    <definedName name="TBM_No.">#REF!</definedName>
    <definedName name="tc">#REF!</definedName>
    <definedName name="tcy">#REF!</definedName>
    <definedName name="te" hidden="1">{#N/A,#N/A,TRUE,"Front";#N/A,#N/A,TRUE,"Simple Letter";#N/A,#N/A,TRUE,"Inside";#N/A,#N/A,TRUE,"Contents";#N/A,#N/A,TRUE,"Basis";#N/A,#N/A,TRUE,"Inclusions";#N/A,#N/A,TRUE,"Exclusions";#N/A,#N/A,TRUE,"Areas";#N/A,#N/A,TRUE,"Summary";#N/A,#N/A,TRUE,"Detail"}</definedName>
    <definedName name="TECHI">#REF!</definedName>
    <definedName name="TECHI_1">NA()</definedName>
    <definedName name="TECHI_2">NA()</definedName>
    <definedName name="TECHI_3">NA()</definedName>
    <definedName name="TECHI_5">NA()</definedName>
    <definedName name="tee">#REF!</definedName>
    <definedName name="TEI">#REF!</definedName>
    <definedName name="tekII">#REF!</definedName>
    <definedName name="tektower">#REF!</definedName>
    <definedName name="tel">#REF!</definedName>
    <definedName name="telephonepoles">#REF!</definedName>
    <definedName name="TELEVISION">#REF!</definedName>
    <definedName name="tem" localSheetId="1"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1"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1"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R.FLR" hidden="1">{#N/A,#N/A,TRUE,"Flooring "}</definedName>
    <definedName name="TEREWEWFE" hidden="1">{#N/A,#N/A,TRUE,"Front";#N/A,#N/A,TRUE,"Simple Letter";#N/A,#N/A,TRUE,"Inside";#N/A,#N/A,TRUE,"Contents";#N/A,#N/A,TRUE,"Basis";#N/A,#N/A,TRUE,"Inclusions";#N/A,#N/A,TRUE,"Exclusions";#N/A,#N/A,TRUE,"Areas";#N/A,#N/A,TRUE,"Summary";#N/A,#N/A,TRUE,"Detail"}</definedName>
    <definedName name="TEs">#REF!</definedName>
    <definedName name="TEs___0">#REF!</definedName>
    <definedName name="TEs___0_1">NA()</definedName>
    <definedName name="TEs___0_2">NA()</definedName>
    <definedName name="TEs___0_3">NA()</definedName>
    <definedName name="TEs___0_5">NA()</definedName>
    <definedName name="TEs___13">#REF!</definedName>
    <definedName name="TEs___13_1">NA()</definedName>
    <definedName name="TEs___13_2">NA()</definedName>
    <definedName name="TEs___13_3">NA()</definedName>
    <definedName name="TEs___13_5">NA()</definedName>
    <definedName name="TEs_1">NA()</definedName>
    <definedName name="TEs_2">NA()</definedName>
    <definedName name="TEs_3">NA()</definedName>
    <definedName name="TEs_5">NA()</definedName>
    <definedName name="TEt">#REF!</definedName>
    <definedName name="TEt___0">#REF!</definedName>
    <definedName name="TEt___0_1">NA()</definedName>
    <definedName name="TEt___0_2">NA()</definedName>
    <definedName name="TEt___0_3">NA()</definedName>
    <definedName name="TEt___0_5">NA()</definedName>
    <definedName name="TEt___13">#REF!</definedName>
    <definedName name="TEt___13_1">NA()</definedName>
    <definedName name="TEt___13_2">NA()</definedName>
    <definedName name="TEt___13_3">NA()</definedName>
    <definedName name="TEt___13_5">NA()</definedName>
    <definedName name="TEt_1">NA()</definedName>
    <definedName name="TEt_2">NA()</definedName>
    <definedName name="TEt_3">NA()</definedName>
    <definedName name="TEt_5">NA()</definedName>
    <definedName name="TextRefCopyRangeCount" hidden="1">7</definedName>
    <definedName name="TF">#REF!</definedName>
    <definedName name="TF_1">NA()</definedName>
    <definedName name="TF_2">NA()</definedName>
    <definedName name="TF_3">NA()</definedName>
    <definedName name="TF_5">NA()</definedName>
    <definedName name="th">#REF!</definedName>
    <definedName name="the" hidden="1">{#N/A,#N/A,FALSE,"gc (2)"}</definedName>
    <definedName name="Thiagarajan" hidden="1">{"'Sheet1'!$A$4386:$N$4591"}</definedName>
    <definedName name="THK_CYL">#REF!</definedName>
    <definedName name="thrr" hidden="1">#REF!</definedName>
    <definedName name="TierCode">#REF!</definedName>
    <definedName name="TierCode_4">#REF!</definedName>
    <definedName name="TierCode_6">#REF!</definedName>
    <definedName name="TierCode_Text">#REF!</definedName>
    <definedName name="TierCode_Text_4">#REF!</definedName>
    <definedName name="TierCode_Text_6">#REF!</definedName>
    <definedName name="tileaq">#REF!</definedName>
    <definedName name="TITLE">#REF!</definedName>
    <definedName name="TITLE_1">NA()</definedName>
    <definedName name="TITLE_2">NA()</definedName>
    <definedName name="TITLE_3">NA()</definedName>
    <definedName name="TITLE_5">NA()</definedName>
    <definedName name="Title1">#REF!</definedName>
    <definedName name="Title1_1">NA()</definedName>
    <definedName name="Title1_10">#REF!</definedName>
    <definedName name="Title1_11">#REF!</definedName>
    <definedName name="Title1_12">#REF!</definedName>
    <definedName name="Title1_2">NA()</definedName>
    <definedName name="Title1_20">#REF!</definedName>
    <definedName name="Title1_21">#REF!</definedName>
    <definedName name="Title1_24">#REF!</definedName>
    <definedName name="Title1_25">#REF!</definedName>
    <definedName name="Title1_26">#REF!</definedName>
    <definedName name="Title1_27">#REF!</definedName>
    <definedName name="Title1_28">#REF!</definedName>
    <definedName name="Title1_29">#REF!</definedName>
    <definedName name="Title1_3">NA()</definedName>
    <definedName name="Title1_30">#REF!</definedName>
    <definedName name="Title1_31">#REF!</definedName>
    <definedName name="Title1_32">#REF!</definedName>
    <definedName name="Title1_33">#REF!</definedName>
    <definedName name="Title1_34">#REF!</definedName>
    <definedName name="Title1_35">#REF!</definedName>
    <definedName name="Title1_36">#REF!</definedName>
    <definedName name="Title1_37">#REF!</definedName>
    <definedName name="Title1_38">#REF!</definedName>
    <definedName name="Title1_39">#REF!</definedName>
    <definedName name="Title1_40">#REF!</definedName>
    <definedName name="Title1_41">#REF!</definedName>
    <definedName name="Title1_42">#REF!</definedName>
    <definedName name="Title1_43">#REF!</definedName>
    <definedName name="Title1_44">#REF!</definedName>
    <definedName name="Title1_45">#REF!</definedName>
    <definedName name="Title1_46">#REF!</definedName>
    <definedName name="Title1_47">#REF!</definedName>
    <definedName name="Title1_48">#REF!</definedName>
    <definedName name="Title1_49">#REF!</definedName>
    <definedName name="Title1_5">NA()</definedName>
    <definedName name="Title1_50">#REF!</definedName>
    <definedName name="Title1_51">#REF!</definedName>
    <definedName name="Title1_52">#REF!</definedName>
    <definedName name="Title1_53">#REF!</definedName>
    <definedName name="Title1_55">#REF!</definedName>
    <definedName name="Title1_56">#REF!</definedName>
    <definedName name="Title1_57">#REF!</definedName>
    <definedName name="Title1_61">#REF!</definedName>
    <definedName name="Title1_62">#REF!</definedName>
    <definedName name="Title1_63">#REF!</definedName>
    <definedName name="Title1_64">#REF!</definedName>
    <definedName name="Title1_65">#REF!</definedName>
    <definedName name="Title1_66">#REF!</definedName>
    <definedName name="Title1_8">#REF!</definedName>
    <definedName name="Title1_9">#REF!</definedName>
    <definedName name="Title2">#REF!</definedName>
    <definedName name="Title2_1">NA()</definedName>
    <definedName name="Title2_10">#REF!</definedName>
    <definedName name="Title2_11">#REF!</definedName>
    <definedName name="Title2_12">#REF!</definedName>
    <definedName name="Title2_2">NA()</definedName>
    <definedName name="Title2_20">#REF!</definedName>
    <definedName name="Title2_21">#REF!</definedName>
    <definedName name="Title2_24">#REF!</definedName>
    <definedName name="Title2_25">#REF!</definedName>
    <definedName name="Title2_26">#REF!</definedName>
    <definedName name="Title2_27">#REF!</definedName>
    <definedName name="Title2_28">#REF!</definedName>
    <definedName name="Title2_29">#REF!</definedName>
    <definedName name="Title2_3">NA()</definedName>
    <definedName name="Title2_30">#REF!</definedName>
    <definedName name="Title2_31">#REF!</definedName>
    <definedName name="Title2_32">#REF!</definedName>
    <definedName name="Title2_33">#REF!</definedName>
    <definedName name="Title2_34">#REF!</definedName>
    <definedName name="Title2_35">#REF!</definedName>
    <definedName name="Title2_36">#REF!</definedName>
    <definedName name="Title2_37">#REF!</definedName>
    <definedName name="Title2_38">#REF!</definedName>
    <definedName name="Title2_39">#REF!</definedName>
    <definedName name="Title2_40">#REF!</definedName>
    <definedName name="Title2_41">#REF!</definedName>
    <definedName name="Title2_42">#REF!</definedName>
    <definedName name="Title2_43">#REF!</definedName>
    <definedName name="Title2_44">#REF!</definedName>
    <definedName name="Title2_45">#REF!</definedName>
    <definedName name="Title2_46">#REF!</definedName>
    <definedName name="Title2_47">#REF!</definedName>
    <definedName name="Title2_48">#REF!</definedName>
    <definedName name="Title2_49">#REF!</definedName>
    <definedName name="Title2_5">NA()</definedName>
    <definedName name="Title2_50">#REF!</definedName>
    <definedName name="Title2_51">#REF!</definedName>
    <definedName name="Title2_52">#REF!</definedName>
    <definedName name="Title2_53">#REF!</definedName>
    <definedName name="Title2_55">#REF!</definedName>
    <definedName name="Title2_56">#REF!</definedName>
    <definedName name="Title2_57">#REF!</definedName>
    <definedName name="Title2_61">#REF!</definedName>
    <definedName name="Title2_62">#REF!</definedName>
    <definedName name="Title2_63">#REF!</definedName>
    <definedName name="Title2_64">#REF!</definedName>
    <definedName name="Title2_65">#REF!</definedName>
    <definedName name="Title2_66">#REF!</definedName>
    <definedName name="Title2_8">#REF!</definedName>
    <definedName name="Title2_9">#REF!</definedName>
    <definedName name="tm" hidden="1">#REF!</definedName>
    <definedName name="TMBPLA_1">NA()</definedName>
    <definedName name="TMBPLA_2">NA()</definedName>
    <definedName name="TMBPLA_3">NA()</definedName>
    <definedName name="TMBPLA_5">NA()</definedName>
    <definedName name="TMBPLA_6">NA()</definedName>
    <definedName name="TMBSCA_1">NA()</definedName>
    <definedName name="TMBSCA_2">NA()</definedName>
    <definedName name="TMBSCA_3">NA()</definedName>
    <definedName name="TMBSCA_5">NA()</definedName>
    <definedName name="TMBSCA_6">NA()</definedName>
    <definedName name="TO.AR">#REF!</definedName>
    <definedName name="tol">#REF!</definedName>
    <definedName name="tol_1">NA()</definedName>
    <definedName name="tol_10">#REF!</definedName>
    <definedName name="tol_11">#REF!</definedName>
    <definedName name="tol_12">#REF!</definedName>
    <definedName name="tol_2">NA()</definedName>
    <definedName name="tol_20">#REF!</definedName>
    <definedName name="tol_21">#REF!</definedName>
    <definedName name="tol_24">#REF!</definedName>
    <definedName name="tol_25">#REF!</definedName>
    <definedName name="tol_26">#REF!</definedName>
    <definedName name="tol_27">#REF!</definedName>
    <definedName name="tol_28">#REF!</definedName>
    <definedName name="tol_29">#REF!</definedName>
    <definedName name="tol_3">NA()</definedName>
    <definedName name="tol_30">#REF!</definedName>
    <definedName name="tol_31">#REF!</definedName>
    <definedName name="tol_32">#REF!</definedName>
    <definedName name="tol_33">#REF!</definedName>
    <definedName name="tol_34">#REF!</definedName>
    <definedName name="tol_35">#REF!</definedName>
    <definedName name="tol_36">#REF!</definedName>
    <definedName name="tol_37">#REF!</definedName>
    <definedName name="tol_38">#REF!</definedName>
    <definedName name="tol_39">#REF!</definedName>
    <definedName name="tol_40">#REF!</definedName>
    <definedName name="tol_41">#REF!</definedName>
    <definedName name="tol_42">#REF!</definedName>
    <definedName name="tol_43">#REF!</definedName>
    <definedName name="tol_44">#REF!</definedName>
    <definedName name="tol_45">#REF!</definedName>
    <definedName name="tol_46">#REF!</definedName>
    <definedName name="tol_47">#REF!</definedName>
    <definedName name="tol_48">#REF!</definedName>
    <definedName name="tol_49">#REF!</definedName>
    <definedName name="tol_5">NA()</definedName>
    <definedName name="tol_50">#REF!</definedName>
    <definedName name="tol_51">#REF!</definedName>
    <definedName name="tol_52">#REF!</definedName>
    <definedName name="tol_53">#REF!</definedName>
    <definedName name="tol_55">#REF!</definedName>
    <definedName name="tol_56">#REF!</definedName>
    <definedName name="tol_57">#REF!</definedName>
    <definedName name="tol_61">#REF!</definedName>
    <definedName name="tol_62">#REF!</definedName>
    <definedName name="tol_63">#REF!</definedName>
    <definedName name="tol_64">#REF!</definedName>
    <definedName name="tol_65">#REF!</definedName>
    <definedName name="tol_66">#REF!</definedName>
    <definedName name="tol_8">#REF!</definedName>
    <definedName name="tol_9">#REF!</definedName>
    <definedName name="Tools">#N/A</definedName>
    <definedName name="tools1">#REF!</definedName>
    <definedName name="top">#REF!</definedName>
    <definedName name="topl">#REF!</definedName>
    <definedName name="topl_1">NA()</definedName>
    <definedName name="topl_10">#REF!</definedName>
    <definedName name="topl_11">#REF!</definedName>
    <definedName name="topl_12">#REF!</definedName>
    <definedName name="topl_2">NA()</definedName>
    <definedName name="topl_20">#REF!</definedName>
    <definedName name="topl_21">#REF!</definedName>
    <definedName name="topl_24">#REF!</definedName>
    <definedName name="topl_25">#REF!</definedName>
    <definedName name="topl_26">#REF!</definedName>
    <definedName name="topl_27">#REF!</definedName>
    <definedName name="topl_28">#REF!</definedName>
    <definedName name="topl_29">#REF!</definedName>
    <definedName name="topl_3">NA()</definedName>
    <definedName name="topl_30">#REF!</definedName>
    <definedName name="topl_31">#REF!</definedName>
    <definedName name="topl_32">#REF!</definedName>
    <definedName name="topl_33">#REF!</definedName>
    <definedName name="topl_34">#REF!</definedName>
    <definedName name="topl_35">#REF!</definedName>
    <definedName name="topl_36">#REF!</definedName>
    <definedName name="topl_37">#REF!</definedName>
    <definedName name="topl_38">#REF!</definedName>
    <definedName name="topl_39">#REF!</definedName>
    <definedName name="topl_40">#REF!</definedName>
    <definedName name="topl_41">#REF!</definedName>
    <definedName name="topl_42">#REF!</definedName>
    <definedName name="topl_43">#REF!</definedName>
    <definedName name="topl_44">#REF!</definedName>
    <definedName name="topl_45">#REF!</definedName>
    <definedName name="topl_46">#REF!</definedName>
    <definedName name="topl_47">#REF!</definedName>
    <definedName name="topl_48">#REF!</definedName>
    <definedName name="topl_49">#REF!</definedName>
    <definedName name="topl_5">NA()</definedName>
    <definedName name="topl_50">#REF!</definedName>
    <definedName name="topl_51">#REF!</definedName>
    <definedName name="topl_52">#REF!</definedName>
    <definedName name="topl_53">#REF!</definedName>
    <definedName name="topl_55">#REF!</definedName>
    <definedName name="topl_56">#REF!</definedName>
    <definedName name="topl_57">#REF!</definedName>
    <definedName name="topl_61">#REF!</definedName>
    <definedName name="topl_62">#REF!</definedName>
    <definedName name="topl_63">#REF!</definedName>
    <definedName name="topl_64">#REF!</definedName>
    <definedName name="topl_65">#REF!</definedName>
    <definedName name="topl_66">#REF!</definedName>
    <definedName name="topl_8">#REF!</definedName>
    <definedName name="topl_9">#REF!</definedName>
    <definedName name="topn">#REF!</definedName>
    <definedName name="topn_1">NA()</definedName>
    <definedName name="topn_10">#REF!</definedName>
    <definedName name="topn_11">#REF!</definedName>
    <definedName name="topn_12">#REF!</definedName>
    <definedName name="topn_2">NA()</definedName>
    <definedName name="topn_20">#REF!</definedName>
    <definedName name="topn_21">#REF!</definedName>
    <definedName name="topn_24">#REF!</definedName>
    <definedName name="topn_25">#REF!</definedName>
    <definedName name="topn_26">#REF!</definedName>
    <definedName name="topn_27">#REF!</definedName>
    <definedName name="topn_28">#REF!</definedName>
    <definedName name="topn_29">#REF!</definedName>
    <definedName name="topn_3">NA()</definedName>
    <definedName name="topn_30">#REF!</definedName>
    <definedName name="topn_31">#REF!</definedName>
    <definedName name="topn_32">#REF!</definedName>
    <definedName name="topn_33">#REF!</definedName>
    <definedName name="topn_34">#REF!</definedName>
    <definedName name="topn_35">#REF!</definedName>
    <definedName name="topn_36">#REF!</definedName>
    <definedName name="topn_37">#REF!</definedName>
    <definedName name="topn_38">#REF!</definedName>
    <definedName name="topn_39">#REF!</definedName>
    <definedName name="topn_40">#REF!</definedName>
    <definedName name="topn_41">#REF!</definedName>
    <definedName name="topn_42">#REF!</definedName>
    <definedName name="topn_43">#REF!</definedName>
    <definedName name="topn_44">#REF!</definedName>
    <definedName name="topn_45">#REF!</definedName>
    <definedName name="topn_46">#REF!</definedName>
    <definedName name="topn_47">#REF!</definedName>
    <definedName name="topn_48">#REF!</definedName>
    <definedName name="topn_49">#REF!</definedName>
    <definedName name="topn_5">NA()</definedName>
    <definedName name="topn_50">#REF!</definedName>
    <definedName name="topn_51">#REF!</definedName>
    <definedName name="topn_52">#REF!</definedName>
    <definedName name="topn_53">#REF!</definedName>
    <definedName name="topn_55">#REF!</definedName>
    <definedName name="topn_56">#REF!</definedName>
    <definedName name="topn_57">#REF!</definedName>
    <definedName name="topn_61">#REF!</definedName>
    <definedName name="topn_62">#REF!</definedName>
    <definedName name="topn_63">#REF!</definedName>
    <definedName name="topn_64">#REF!</definedName>
    <definedName name="topn_65">#REF!</definedName>
    <definedName name="topn_66">#REF!</definedName>
    <definedName name="topn_8">#REF!</definedName>
    <definedName name="topn_9">#REF!</definedName>
    <definedName name="Topsheet" hidden="1">#REF!</definedName>
    <definedName name="toRO">#N/A</definedName>
    <definedName name="TOTAL">#REF!</definedName>
    <definedName name="TOTAL_CONSUMPTION">#REF!</definedName>
    <definedName name="Total_Interest">#REF!</definedName>
    <definedName name="Total_Pay">#REF!</definedName>
    <definedName name="Total_Payment">NA()</definedName>
    <definedName name="Total_Payment_1">NA()</definedName>
    <definedName name="Total_Payment_3">#NAME?+#NAME?</definedName>
    <definedName name="totalqtyfinal">#REF!</definedName>
    <definedName name="totalthisbill">#REF!</definedName>
    <definedName name="TowerA">#REF!</definedName>
    <definedName name="towre">#REF!</definedName>
    <definedName name="TPR">#REF!</definedName>
    <definedName name="tr">#REF!</definedName>
    <definedName name="tractor">#REF!</definedName>
    <definedName name="TRADESMAN">#REF!</definedName>
    <definedName name="TRANS" hidden="1">{#N/A,#N/A,TRUE,"Front";#N/A,#N/A,TRUE,"Simple Letter";#N/A,#N/A,TRUE,"Inside";#N/A,#N/A,TRUE,"Contents";#N/A,#N/A,TRUE,"Basis";#N/A,#N/A,TRUE,"Inclusions";#N/A,#N/A,TRUE,"Exclusions";#N/A,#N/A,TRUE,"Areas";#N/A,#N/A,TRUE,"Summary";#N/A,#N/A,TRUE,"Detail"}</definedName>
    <definedName name="TransInsu">#REF!</definedName>
    <definedName name="Travel_Mode">#REF!</definedName>
    <definedName name="Travel_Time">#REF!</definedName>
    <definedName name="TRE">#N/A</definedName>
    <definedName name="TRGG"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rtr">#REF!</definedName>
    <definedName name="TRU" hidden="1">{#N/A,#N/A,TRUE,"Front";#N/A,#N/A,TRUE,"Simple Letter";#N/A,#N/A,TRUE,"Inside";#N/A,#N/A,TRUE,"Contents";#N/A,#N/A,TRUE,"Basis";#N/A,#N/A,TRUE,"Inclusions";#N/A,#N/A,TRUE,"Exclusions";#N/A,#N/A,TRUE,"Areas";#N/A,#N/A,TRUE,"Summary";#N/A,#N/A,TRUE,"Detail"}</definedName>
    <definedName name="trunk_co">#REF!</definedName>
    <definedName name="tS">#REF!</definedName>
    <definedName name="tS___0">#REF!</definedName>
    <definedName name="tS___0_1">NA()</definedName>
    <definedName name="tS___0_2">NA()</definedName>
    <definedName name="tS___0_3">NA()</definedName>
    <definedName name="tS___0_5">NA()</definedName>
    <definedName name="tS___13">#REF!</definedName>
    <definedName name="tS___13_1">NA()</definedName>
    <definedName name="tS___13_2">NA()</definedName>
    <definedName name="tS___13_3">NA()</definedName>
    <definedName name="tS___13_5">NA()</definedName>
    <definedName name="tS_1">NA()</definedName>
    <definedName name="tS_2">NA()</definedName>
    <definedName name="tS_3">NA()</definedName>
    <definedName name="tS_5">NA()</definedName>
    <definedName name="tsc">#REF!</definedName>
    <definedName name="tsf">#REF!</definedName>
    <definedName name="tt">#REF!</definedName>
    <definedName name="TT_DEC">#REF!</definedName>
    <definedName name="ttc">#N/A</definedName>
    <definedName name="TTL_COS">#N/A</definedName>
    <definedName name="TTL_SALE">#N/A</definedName>
    <definedName name="TTL_UC">#N/A</definedName>
    <definedName name="TTLSALE">#N/A</definedName>
    <definedName name="TTRYRTYRTYRE" hidden="1">{#N/A,#N/A,TRUE,"Front";#N/A,#N/A,TRUE,"Simple Letter";#N/A,#N/A,TRUE,"Inside";#N/A,#N/A,TRUE,"Contents";#N/A,#N/A,TRUE,"Basis";#N/A,#N/A,TRUE,"Inclusions";#N/A,#N/A,TRUE,"Exclusions";#N/A,#N/A,TRUE,"Areas";#N/A,#N/A,TRUE,"Summary";#N/A,#N/A,TRUE,"Detail"}</definedName>
    <definedName name="ttt">#REF!</definedName>
    <definedName name="ttt_1">#REF!</definedName>
    <definedName name="ttt_10">#REF!</definedName>
    <definedName name="ttt_11">#REF!</definedName>
    <definedName name="ttt_20">#REF!</definedName>
    <definedName name="ttt_21">#REF!</definedName>
    <definedName name="ttt_27">#REF!</definedName>
    <definedName name="ttt_31">#REF!</definedName>
    <definedName name="ttt_32">#REF!</definedName>
    <definedName name="ttt_33">#REF!</definedName>
    <definedName name="ttt_34">#REF!</definedName>
    <definedName name="ttt_35">#REF!</definedName>
    <definedName name="ttt_36">#REF!</definedName>
    <definedName name="ttt_39">#REF!</definedName>
    <definedName name="ttt_4">#REF!</definedName>
    <definedName name="ttt_40">#REF!</definedName>
    <definedName name="ttt_41">#REF!</definedName>
    <definedName name="ttt_42">#REF!</definedName>
    <definedName name="ttt_43">#REF!</definedName>
    <definedName name="ttt_44">#REF!</definedName>
    <definedName name="ttt_46">#REF!</definedName>
    <definedName name="ttt_47">#REF!</definedName>
    <definedName name="ttt_48">#REF!</definedName>
    <definedName name="ttt_49">#REF!</definedName>
    <definedName name="ttt_50">#REF!</definedName>
    <definedName name="ttt_51">#REF!</definedName>
    <definedName name="ttt_52">#REF!</definedName>
    <definedName name="ttt_53">#REF!</definedName>
    <definedName name="ttt_55">#REF!</definedName>
    <definedName name="ttt_56">#REF!</definedName>
    <definedName name="ttt_57">#REF!</definedName>
    <definedName name="ttt_58">#REF!</definedName>
    <definedName name="ttt_61">#REF!</definedName>
    <definedName name="ttt_62">#REF!</definedName>
    <definedName name="ttt_63">#REF!</definedName>
    <definedName name="ttt_64">#REF!</definedName>
    <definedName name="ttt_65">#REF!</definedName>
    <definedName name="ttt_66">#REF!</definedName>
    <definedName name="ttt_8">#REF!</definedName>
    <definedName name="ttt_9">#REF!</definedName>
    <definedName name="tttt" hidden="1">{#N/A,#N/A,TRUE,"Front";#N/A,#N/A,TRUE,"Simple Letter";#N/A,#N/A,TRUE,"Inside";#N/A,#N/A,TRUE,"Contents";#N/A,#N/A,TRUE,"Basis";#N/A,#N/A,TRUE,"Inclusions";#N/A,#N/A,TRUE,"Exclusions";#N/A,#N/A,TRUE,"Areas";#N/A,#N/A,TRUE,"Summary";#N/A,#N/A,TRUE,"Detail"}</definedName>
    <definedName name="ttttt">#REF!</definedName>
    <definedName name="tttttt">#REF!</definedName>
    <definedName name="tttttttt">#REF!</definedName>
    <definedName name="ttttttttt">#REF!</definedName>
    <definedName name="TUES1">#REF!</definedName>
    <definedName name="TUES1_1">NA()</definedName>
    <definedName name="TUES1_2">NA()</definedName>
    <definedName name="TUES1_3">NA()</definedName>
    <definedName name="TUES1_5">NA()</definedName>
    <definedName name="tulip">#REF!</definedName>
    <definedName name="tuti" hidden="1">#REF!</definedName>
    <definedName name="TV">#REF!</definedName>
    <definedName name="TVV">#REF!</definedName>
    <definedName name="ty" hidden="1">{#N/A,#N/A,TRUE,"Front";#N/A,#N/A,TRUE,"Simple Letter";#N/A,#N/A,TRUE,"Inside";#N/A,#N/A,TRUE,"Contents";#N/A,#N/A,TRUE,"Basis";#N/A,#N/A,TRUE,"Inclusions";#N/A,#N/A,TRUE,"Exclusions";#N/A,#N/A,TRUE,"Areas";#N/A,#N/A,TRUE,"Summary";#N/A,#N/A,TRUE,"Detail"}</definedName>
    <definedName name="tyh">#REF!</definedName>
    <definedName name="type">#REF!</definedName>
    <definedName name="type_1">NA()</definedName>
    <definedName name="type_2">NA()</definedName>
    <definedName name="type_3">NA()</definedName>
    <definedName name="type_5">NA()</definedName>
    <definedName name="Type1">#REF!</definedName>
    <definedName name="Type1_1">NA()</definedName>
    <definedName name="Type1_2">NA()</definedName>
    <definedName name="Type1_3">NA()</definedName>
    <definedName name="Type1_5">NA()</definedName>
    <definedName name="type11">#REF!</definedName>
    <definedName name="type12">#REF!</definedName>
    <definedName name="TYPE13">#REF!</definedName>
    <definedName name="type1drop">#REF!</definedName>
    <definedName name="type1drop11">#REF!</definedName>
    <definedName name="type1drop12">#REF!</definedName>
    <definedName name="type1drop2">#REF!</definedName>
    <definedName name="TYPE1DROP212">#REF!</definedName>
    <definedName name="TYPE1DROP23">#REF!</definedName>
    <definedName name="TYPE1DROP3">#REF!</definedName>
    <definedName name="type1slab">#REF!</definedName>
    <definedName name="type1slab11">#REF!</definedName>
    <definedName name="TYPE1SLAB12">#REF!</definedName>
    <definedName name="TYPE1SLAB13">#REF!</definedName>
    <definedName name="type1slab2">#REF!</definedName>
    <definedName name="TYPE1SLAB21">#REF!</definedName>
    <definedName name="type1slab6">#REF!</definedName>
    <definedName name="Type2">#REF!</definedName>
    <definedName name="Type2_1">NA()</definedName>
    <definedName name="Type2_2">NA()</definedName>
    <definedName name="Type2_3">NA()</definedName>
    <definedName name="Type2_5">NA()</definedName>
    <definedName name="type22">#REF!</definedName>
    <definedName name="TYPE23">#REF!</definedName>
    <definedName name="type2drop">#REF!</definedName>
    <definedName name="type2drop2">#REF!</definedName>
    <definedName name="type2drop22">#REF!</definedName>
    <definedName name="type2drop23">#REF!</definedName>
    <definedName name="TYPE2DROP24">#REF!</definedName>
    <definedName name="TYPE2DROP3">#REF!</definedName>
    <definedName name="TYPE2DROP32">#REF!</definedName>
    <definedName name="type2slab">#REF!</definedName>
    <definedName name="TYPE2SLAB12">#REF!</definedName>
    <definedName name="type2slab2">#REF!</definedName>
    <definedName name="TYPE2SLAB21">#REF!</definedName>
    <definedName name="type2slab22">#REF!</definedName>
    <definedName name="TYPE2SLAB24">#REF!</definedName>
    <definedName name="type2slab3">#REF!</definedName>
    <definedName name="Type3">#REF!</definedName>
    <definedName name="Type3_1">NA()</definedName>
    <definedName name="Type3_2">NA()</definedName>
    <definedName name="Type3_3">NA()</definedName>
    <definedName name="Type3_5">NA()</definedName>
    <definedName name="type3drop">#REF!</definedName>
    <definedName name="type3drop2">#REF!</definedName>
    <definedName name="type3drop22">#REF!</definedName>
    <definedName name="TYPE3DROP23">#REF!</definedName>
    <definedName name="TYPE3DROP43">#REF!</definedName>
    <definedName name="TYPE3DROP56">#REF!</definedName>
    <definedName name="type3drop6">#REF!</definedName>
    <definedName name="type3slab">#REF!</definedName>
    <definedName name="TYPE3SLAB12">#REF!</definedName>
    <definedName name="type3slab2">#REF!</definedName>
    <definedName name="TYPE3SLAB23">#REF!</definedName>
    <definedName name="type3slab3">#REF!</definedName>
    <definedName name="TYPE3SLAB32">#REF!</definedName>
    <definedName name="type3slab4">#REF!</definedName>
    <definedName name="type3slab6">#REF!</definedName>
    <definedName name="type4">#REF!</definedName>
    <definedName name="type44">#REF!</definedName>
    <definedName name="type45">#REF!</definedName>
    <definedName name="type46">#REF!</definedName>
    <definedName name="TYPE47">#REF!</definedName>
    <definedName name="TYPE48">#REF!</definedName>
    <definedName name="type4drop">#REF!</definedName>
    <definedName name="TYPE4DROP12">#REF!</definedName>
    <definedName name="type4drop2">#REF!</definedName>
    <definedName name="TYPE4DROP23">#REF!</definedName>
    <definedName name="type4drop4">#REF!</definedName>
    <definedName name="TYPE4DROP54">#REF!</definedName>
    <definedName name="type4drops">#REF!</definedName>
    <definedName name="type4slab">#REF!</definedName>
    <definedName name="TYPE4SLAB12">#REF!</definedName>
    <definedName name="type4slab22">#REF!</definedName>
    <definedName name="TYPE4SLAB23">#REF!</definedName>
    <definedName name="TYPE4SLAB32">#REF!</definedName>
    <definedName name="type4slab6">#REF!</definedName>
    <definedName name="type5">#REF!</definedName>
    <definedName name="type6">#REF!</definedName>
    <definedName name="TYPE64">#REF!</definedName>
    <definedName name="tyt">#REF!</definedName>
    <definedName name="tyty">#REF!</definedName>
    <definedName name="tyw" hidden="1">{#N/A,#N/A,TRUE,"Front";#N/A,#N/A,TRUE,"Simple Letter";#N/A,#N/A,TRUE,"Inside";#N/A,#N/A,TRUE,"Contents";#N/A,#N/A,TRUE,"Basis";#N/A,#N/A,TRUE,"Inclusions";#N/A,#N/A,TRUE,"Exclusions";#N/A,#N/A,TRUE,"Areas";#N/A,#N/A,TRUE,"Summary";#N/A,#N/A,TRUE,"Detail"}</definedName>
    <definedName name="U">#N/A</definedName>
    <definedName name="UBArea">#REF!</definedName>
    <definedName name="ubl" localSheetId="1" hidden="1">#REF!</definedName>
    <definedName name="ubl" hidden="1">#REF!</definedName>
    <definedName name="UBPerimeter">#REF!</definedName>
    <definedName name="uemeet10604" hidden="1">{"Execavation",#N/A,FALSE,"furniture (employer)"}</definedName>
    <definedName name="ujt">#REF!</definedName>
    <definedName name="uma" hidden="1">{#N/A,#N/A,FALSE,"COVER1.XLS ";#N/A,#N/A,FALSE,"RACT1.XLS";#N/A,#N/A,FALSE,"RACT2.XLS";#N/A,#N/A,FALSE,"ECCMP";#N/A,#N/A,FALSE,"WELDER.XLS"}</definedName>
    <definedName name="underground">#REF!</definedName>
    <definedName name="UNICOD">#N/A</definedName>
    <definedName name="UNICOD_1">#REF!</definedName>
    <definedName name="UNICOD_10">#REF!</definedName>
    <definedName name="UNICOD_11">#REF!</definedName>
    <definedName name="UNICOD_12">#REF!</definedName>
    <definedName name="UNICOD_20">#REF!</definedName>
    <definedName name="UNICOD_21">#REF!</definedName>
    <definedName name="UNICOD_24">#REF!</definedName>
    <definedName name="UNICOD_25">#REF!</definedName>
    <definedName name="UNICOD_26">#REF!</definedName>
    <definedName name="UNICOD_27">#REF!</definedName>
    <definedName name="UNICOD_28">#REF!</definedName>
    <definedName name="UNICOD_29">#REF!</definedName>
    <definedName name="UNICOD_30">#REF!</definedName>
    <definedName name="UNICOD_31">#REF!</definedName>
    <definedName name="UNICOD_32">#REF!</definedName>
    <definedName name="UNICOD_33">#REF!</definedName>
    <definedName name="UNICOD_34">#REF!</definedName>
    <definedName name="UNICOD_35">#REF!</definedName>
    <definedName name="UNICOD_36">#REF!</definedName>
    <definedName name="UNICOD_37">#REF!</definedName>
    <definedName name="UNICOD_38">#REF!</definedName>
    <definedName name="UNICOD_39">#REF!</definedName>
    <definedName name="UNICOD_4">#REF!</definedName>
    <definedName name="UNICOD_40">#REF!</definedName>
    <definedName name="UNICOD_41">#REF!</definedName>
    <definedName name="UNICOD_42">#REF!</definedName>
    <definedName name="UNICOD_43">#REF!</definedName>
    <definedName name="UNICOD_44">#REF!</definedName>
    <definedName name="UNICOD_45">#REF!</definedName>
    <definedName name="UNICOD_46">#REF!</definedName>
    <definedName name="UNICOD_47">#REF!</definedName>
    <definedName name="UNICOD_48">#REF!</definedName>
    <definedName name="UNICOD_49">#REF!</definedName>
    <definedName name="UNICOD_50">#REF!</definedName>
    <definedName name="UNICOD_51">#REF!</definedName>
    <definedName name="UNICOD_52">#REF!</definedName>
    <definedName name="UNICOD_53">#REF!</definedName>
    <definedName name="UNICOD_55">#REF!</definedName>
    <definedName name="UNICOD_56">#REF!</definedName>
    <definedName name="UNICOD_57">#REF!</definedName>
    <definedName name="UNICOD_61">#REF!</definedName>
    <definedName name="UNICOD_62">#REF!</definedName>
    <definedName name="UNICOD_63">#REF!</definedName>
    <definedName name="UNICOD_64">#REF!</definedName>
    <definedName name="UNICOD_65">#REF!</definedName>
    <definedName name="UNICOD_66">#REF!</definedName>
    <definedName name="UNICOD_8">#REF!</definedName>
    <definedName name="UNICOD_9">#REF!</definedName>
    <definedName name="UNITS">#REF!</definedName>
    <definedName name="UNITS_1">NA()</definedName>
    <definedName name="UNITS_2">NA()</definedName>
    <definedName name="UNITS_3">NA()</definedName>
    <definedName name="UNITS_5">NA()</definedName>
    <definedName name="unsecured">#REF!</definedName>
    <definedName name="UP">#REF!</definedName>
    <definedName name="Uplift_QI">12.5%</definedName>
    <definedName name="US">2388</definedName>
    <definedName name="usd">#REF!</definedName>
    <definedName name="usd_15">"$#REF!.$#REF!$#REF!"</definedName>
    <definedName name="usd_3">"$#REF!.$#REF!$#REF!"</definedName>
    <definedName name="usd_4">"$#REF!.$#REF!$#REF!"</definedName>
    <definedName name="usd_5">NA()</definedName>
    <definedName name="usd_6">"$#REF!.$#REF!$#REF!"</definedName>
    <definedName name="use">#REF!</definedName>
    <definedName name="Use_Alternates">#REF!</definedName>
    <definedName name="Use_Alternates_1">NA()</definedName>
    <definedName name="Use_Alternates_2">NA()</definedName>
    <definedName name="Use_Alternates_3">NA()</definedName>
    <definedName name="Use_Alternates_5">NA()</definedName>
    <definedName name="UserName">"Subrata"</definedName>
    <definedName name="UtilCap" hidden="1">#REF!,#REF!,#REF!,#REF!,#REF!,#REF!,#REF!,#REF!</definedName>
    <definedName name="UtilProd" hidden="1">#REF!,#REF!,#REF!,#REF!,#REF!,#REF!,#REF!,#REF!</definedName>
    <definedName name="uu" hidden="1">{#N/A,#N/A,FALSE,"gc (2)"}</definedName>
    <definedName name="uuuu">#REF!</definedName>
    <definedName name="uuuuuuuu">#REF!</definedName>
    <definedName name="V"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0_1">NA()</definedName>
    <definedName name="va___0_2">NA()</definedName>
    <definedName name="va___0_3">NA()</definedName>
    <definedName name="va___0_5">NA()</definedName>
    <definedName name="va___13">#REF!</definedName>
    <definedName name="va___13_1">NA()</definedName>
    <definedName name="va___13_2">NA()</definedName>
    <definedName name="va___13_3">NA()</definedName>
    <definedName name="va___13_5">NA()</definedName>
    <definedName name="va_1">NA()</definedName>
    <definedName name="va_2">NA()</definedName>
    <definedName name="va_3">NA()</definedName>
    <definedName name="va_5">NA()</definedName>
    <definedName name="vad">#REF!</definedName>
    <definedName name="vaf">#REF!</definedName>
    <definedName name="Value_Col">#REF!</definedName>
    <definedName name="value_cols">#REF!</definedName>
    <definedName name="Values_Entered">#N/A</definedName>
    <definedName name="Values_Entered_1">NA()</definedName>
    <definedName name="Values_Entered_2">NA()</definedName>
    <definedName name="Values_Entered_3">#N/A</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NDEMATARAM">#REF!</definedName>
    <definedName name="VANDEMATARAM_1">NA()</definedName>
    <definedName name="VANDEMATARAM_2">NA()</definedName>
    <definedName name="VANDEMATARAM_3">NA()</definedName>
    <definedName name="VANDEMATARAM_5">NA()</definedName>
    <definedName name="vara">#REF!</definedName>
    <definedName name="VARAMT">#N/A</definedName>
    <definedName name="VAREOH">#N/A</definedName>
    <definedName name="variance">#REF!</definedName>
    <definedName name="vasu">#REF!</definedName>
    <definedName name="vat" hidden="1">{#N/A,#N/A,TRUE,"Front";#N/A,#N/A,TRUE,"Simple Letter";#N/A,#N/A,TRUE,"Inside";#N/A,#N/A,TRUE,"Contents";#N/A,#N/A,TRUE,"Basis";#N/A,#N/A,TRUE,"Inclusions";#N/A,#N/A,TRUE,"Exclusions";#N/A,#N/A,TRUE,"Areas";#N/A,#N/A,TRUE,"Summary";#N/A,#N/A,TRUE,"Detail"}</definedName>
    <definedName name="vatf">#REF!</definedName>
    <definedName name="vatf_15">"$#REF!.$#REF!$#REF!"</definedName>
    <definedName name="vatf_3">"$#REF!.$#REF!$#REF!"</definedName>
    <definedName name="vatf_4">"$#REF!.$#REF!$#REF!"</definedName>
    <definedName name="vatf_5">NA()</definedName>
    <definedName name="vatf_6">"$#REF!.$#REF!$#REF!"</definedName>
    <definedName name="VB">#REF!</definedName>
    <definedName name="VB_1">NA()</definedName>
    <definedName name="VB_2">NA()</definedName>
    <definedName name="VB_3">NA()</definedName>
    <definedName name="VB_5">NA()</definedName>
    <definedName name="vbv">#REF!</definedName>
    <definedName name="vbvb">#REF!</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TB" localSheetId="1" hidden="1">{#N/A,#N/A,FALSE,"abs";#N/A,#N/A,FALSE,"Annex-I";#N/A,#N/A,FALSE,"Annex-II";#N/A,#N/A,FALSE,"Annex-III";#N/A,#N/A,FALSE,"Annex-IV";#N/A,#N/A,FALSE,"Annex-V";#N/A,#N/A,FALSE,"Annex-VI"}</definedName>
    <definedName name="VCTB" hidden="1">{#N/A,#N/A,FALSE,"abs";#N/A,#N/A,FALSE,"Annex-I";#N/A,#N/A,FALSE,"Annex-II";#N/A,#N/A,FALSE,"Annex-III";#N/A,#N/A,FALSE,"Annex-IV";#N/A,#N/A,FALSE,"Annex-V";#N/A,#N/A,FALSE,"Annex-VI"}</definedName>
    <definedName name="vcvv" hidden="1">{#N/A,#N/A,TRUE,"Front";#N/A,#N/A,TRUE,"Simple Letter";#N/A,#N/A,TRUE,"Inside";#N/A,#N/A,TRUE,"Contents";#N/A,#N/A,TRUE,"Basis";#N/A,#N/A,TRUE,"Inclusions";#N/A,#N/A,TRUE,"Exclusions";#N/A,#N/A,TRUE,"Areas";#N/A,#N/A,TRUE,"Summary";#N/A,#N/A,TRUE,"Detail"}</definedName>
    <definedName name="VD">#REF!</definedName>
    <definedName name="VD_1">NA()</definedName>
    <definedName name="VD_2">NA()</definedName>
    <definedName name="VD_3">NA()</definedName>
    <definedName name="VD_5">NA()</definedName>
    <definedName name="veh">#REF!</definedName>
    <definedName name="vehicle">#REF!</definedName>
    <definedName name="VEL" hidden="1">{#N/A,#N/A,TRUE,"Front";#N/A,#N/A,TRUE,"Simple Letter";#N/A,#N/A,TRUE,"Inside";#N/A,#N/A,TRUE,"Contents";#N/A,#N/A,TRUE,"Basis";#N/A,#N/A,TRUE,"Inclusions";#N/A,#N/A,TRUE,"Exclusions";#N/A,#N/A,TRUE,"Areas";#N/A,#N/A,TRUE,"Summary";#N/A,#N/A,TRUE,"Detail"}</definedName>
    <definedName name="Vend">#REF!</definedName>
    <definedName name="Vend_1">NA()</definedName>
    <definedName name="Vend_2">NA()</definedName>
    <definedName name="Vend_3">NA()</definedName>
    <definedName name="Vend_5">NA()</definedName>
    <definedName name="vender_1500KVA">#REF!</definedName>
    <definedName name="VENDOR">#REF!</definedName>
    <definedName name="vendor_500KVA">#REF!</definedName>
    <definedName name="Version">3</definedName>
    <definedName name="vertical_col_and_corner_walls">#REF!</definedName>
    <definedName name="vertical_col_and_corner_walls_15">"$#REF!.$#REF!$#REF!"</definedName>
    <definedName name="vertical_col_and_corner_walls_3">"$#REF!.$#REF!$#REF!"</definedName>
    <definedName name="vertical_col_and_corner_walls_4">"$#REF!.$#REF!$#REF!"</definedName>
    <definedName name="vertical_col_and_corner_walls_5">NA()</definedName>
    <definedName name="vertical_col_and_corner_walls_6">"$#REF!.$#REF!$#REF!"</definedName>
    <definedName name="Vf">#REF!</definedName>
    <definedName name="Vf_1">NA()</definedName>
    <definedName name="Vf_2">NA()</definedName>
    <definedName name="Vf_3">NA()</definedName>
    <definedName name="Vf_5">NA()</definedName>
    <definedName name="vg" hidden="1">{#N/A,#N/A,FALSE,"One Pager";#N/A,#N/A,FALSE,"Technical"}</definedName>
    <definedName name="vgdf">#REF!</definedName>
    <definedName name="vggssg" hidden="1">{#N/A,#N/A,TRUE,"Front";#N/A,#N/A,TRUE,"Simple Letter";#N/A,#N/A,TRUE,"Inside";#N/A,#N/A,TRUE,"Contents";#N/A,#N/A,TRUE,"Basis";#N/A,#N/A,TRUE,"Inclusions";#N/A,#N/A,TRUE,"Exclusions";#N/A,#N/A,TRUE,"Areas";#N/A,#N/A,TRUE,"Summary";#N/A,#N/A,TRUE,"Detail"}</definedName>
    <definedName name="vijay">#REF!</definedName>
    <definedName name="vina">#REF!</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hidden="1">{#N/A,#N/A,TRUE,"Front";#N/A,#N/A,TRUE,"Simple Letter";#N/A,#N/A,TRUE,"Inside";#N/A,#N/A,TRUE,"Contents";#N/A,#N/A,TRUE,"Basis";#N/A,#N/A,TRUE,"Inclusions";#N/A,#N/A,TRUE,"Exclusions";#N/A,#N/A,TRUE,"Areas";#N/A,#N/A,TRUE,"Summary";#N/A,#N/A,TRUE,"Detail"}</definedName>
    <definedName name="viru">#REF!</definedName>
    <definedName name="vishnu" hidden="1">{#N/A,#N/A,FALSE,"One Pager";#N/A,#N/A,FALSE,"Technical"}</definedName>
    <definedName name="VIVEKANANDA">#REF!</definedName>
    <definedName name="VIVEKANANDA_1">NA()</definedName>
    <definedName name="VIVEKANANDA_2">NA()</definedName>
    <definedName name="VIVEKANANDA_3">NA()</definedName>
    <definedName name="VIVEKANANDA_5">NA()</definedName>
    <definedName name="VIZA" hidden="1">{#N/A,#N/A,TRUE,"Krycí list"}</definedName>
    <definedName name="VIZA12" hidden="1">{#N/A,#N/A,TRUE,"Krycí list"}</definedName>
    <definedName name="vjj">#REF!</definedName>
    <definedName name="vjkdsfbisdhfk">#REF!</definedName>
    <definedName name="vk" hidden="1">{#N/A,#N/A,FALSE,"One Pager";#N/A,#N/A,FALSE,"Technical"}</definedName>
    <definedName name="vr" hidden="1">#REF!</definedName>
    <definedName name="vsasgfsghxas" hidden="1">{#N/A,#N/A,FALSE,"consu_cover";#N/A,#N/A,FALSE,"consu_strategy";#N/A,#N/A,FALSE,"consu_flow";#N/A,#N/A,FALSE,"Summary_reqmt";#N/A,#N/A,FALSE,"field_ppg";#N/A,#N/A,FALSE,"ppg_shop";#N/A,#N/A,FALSE,"strl";#N/A,#N/A,FALSE,"tankages";#N/A,#N/A,FALSE,"gases"}</definedName>
    <definedName name="Vsigma">#REF!</definedName>
    <definedName name="Vsigma_1">NA()</definedName>
    <definedName name="Vsigma_2">NA()</definedName>
    <definedName name="Vsigma_3">NA()</definedName>
    <definedName name="Vsigma_5">NA()</definedName>
    <definedName name="vuvububio" hidden="1">{#N/A,#N/A,TRUE,"Front";#N/A,#N/A,TRUE,"Simple Letter";#N/A,#N/A,TRUE,"Inside";#N/A,#N/A,TRUE,"Contents";#N/A,#N/A,TRUE,"Basis";#N/A,#N/A,TRUE,"Inclusions";#N/A,#N/A,TRUE,"Exclusions";#N/A,#N/A,TRUE,"Areas";#N/A,#N/A,TRUE,"Summary";#N/A,#N/A,TRUE,"Detail"}</definedName>
    <definedName name="vv">#REF!</definedName>
    <definedName name="VV_II"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v">#REF!</definedName>
    <definedName name="VVVVVVVVVV" hidden="1">{#N/A,#N/A,TRUE,"Front";#N/A,#N/A,TRUE,"Simple Letter";#N/A,#N/A,TRUE,"Inside";#N/A,#N/A,TRUE,"Contents";#N/A,#N/A,TRUE,"Basis";#N/A,#N/A,TRUE,"Inclusions";#N/A,#N/A,TRUE,"Exclusions";#N/A,#N/A,TRUE,"Areas";#N/A,#N/A,TRUE,"Summary";#N/A,#N/A,TRUE,"Detail"}</definedName>
    <definedName name="vxckbmjklbgjnklgbmjh" hidden="1">#REF!</definedName>
    <definedName name="Vz">#REF!</definedName>
    <definedName name="Vz_1">NA()</definedName>
    <definedName name="Vz_2">NA()</definedName>
    <definedName name="Vz_3">NA()</definedName>
    <definedName name="Vz_5">NA()</definedName>
    <definedName name="vzduchna" hidden="1">{#N/A,#N/A,TRUE,"Krycí list"}</definedName>
    <definedName name="W">#REF!</definedName>
    <definedName name="W_1">NA()</definedName>
    <definedName name="W_2">NA()</definedName>
    <definedName name="W_3">NA()</definedName>
    <definedName name="W_5">NA()</definedName>
    <definedName name="W1_102800">#REF!</definedName>
    <definedName name="W1_200110">#REF!</definedName>
    <definedName name="W1_201000">#REF!</definedName>
    <definedName name="W1_201022">#REF!</definedName>
    <definedName name="W1_209680">#REF!</definedName>
    <definedName name="W1_210100">#REF!</definedName>
    <definedName name="W1_210440">#REF!</definedName>
    <definedName name="W1_211000">#REF!</definedName>
    <definedName name="W1_211200">#REF!</definedName>
    <definedName name="W1_305000">#REF!</definedName>
    <definedName name="W1_306000">#REF!</definedName>
    <definedName name="W1_BLANK1">#REF!</definedName>
    <definedName name="W1_BLANK2">#REF!</definedName>
    <definedName name="W1_CAP_TAX">#REF!</definedName>
    <definedName name="W1_CAPBUD">#REF!</definedName>
    <definedName name="W1_EXP_TAX">#REF!</definedName>
    <definedName name="W1_EXPBUD">#REF!</definedName>
    <definedName name="W1_FO">#REF!</definedName>
    <definedName name="W2_102800">#REF!</definedName>
    <definedName name="W2_200110">#REF!</definedName>
    <definedName name="W2_201000">#REF!</definedName>
    <definedName name="W2_201022">#REF!</definedName>
    <definedName name="W2_209680">#REF!</definedName>
    <definedName name="W2_210100.">#REF!</definedName>
    <definedName name="W2_210440">#REF!</definedName>
    <definedName name="W2_211000">#REF!</definedName>
    <definedName name="W2_211200">#REF!</definedName>
    <definedName name="W2_305000">#REF!</definedName>
    <definedName name="W2_306000">#REF!</definedName>
    <definedName name="W2_BLANK1">#REF!</definedName>
    <definedName name="W2_BLANK2">#REF!</definedName>
    <definedName name="W2_CAP_TAX">#REF!</definedName>
    <definedName name="W2_CAPBUD">#REF!</definedName>
    <definedName name="W2_EXP_TAX">#REF!</definedName>
    <definedName name="W2_EXPBUD">#REF!</definedName>
    <definedName name="W2_FO">#REF!</definedName>
    <definedName name="wa" hidden="1">{#N/A,#N/A,TRUE,"Front";#N/A,#N/A,TRUE,"Simple Letter";#N/A,#N/A,TRUE,"Inside";#N/A,#N/A,TRUE,"Contents";#N/A,#N/A,TRUE,"Basis";#N/A,#N/A,TRUE,"Inclusions";#N/A,#N/A,TRUE,"Exclusions";#N/A,#N/A,TRUE,"Areas";#N/A,#N/A,TRUE,"Summary";#N/A,#N/A,TRUE,"Detail"}</definedName>
    <definedName name="Waiting">"Picture 1"</definedName>
    <definedName name="Wall">#REF!</definedName>
    <definedName name="Wall_Fin">#REF!</definedName>
    <definedName name="WALLFINISHESArea">#REF!</definedName>
    <definedName name="WALLFINISHESPerimeter">#REF!</definedName>
    <definedName name="WAs">#REF!</definedName>
    <definedName name="WaterandPower">1.5/100</definedName>
    <definedName name="wbag">#REF!</definedName>
    <definedName name="WBM" hidden="1">{"'Bill No. 7'!$A$1:$G$32"}</definedName>
    <definedName name="WCEM">#REF!</definedName>
    <definedName name="wdf">#REF!</definedName>
    <definedName name="wdjdjdj_" hidden="1">#REF!</definedName>
    <definedName name="we" hidden="1">{"form-D1",#N/A,FALSE,"FORM-D1";"form-D1_amt",#N/A,FALSE,"FORM-D1"}</definedName>
    <definedName name="Weak" hidden="1">{#N/A,#N/A,TRUE,"Krycí list"}</definedName>
    <definedName name="web" hidden="1">{#N/A,#N/A,FALSE,"Taxblinc";#N/A,#N/A,FALSE,"Rsvsacls"}</definedName>
    <definedName name="weekly_average_concrete_production">#REF!</definedName>
    <definedName name="weekly_total_concrete_production">#REF!</definedName>
    <definedName name="WELDINGGLAS">#N/A</definedName>
    <definedName name="Wellsinker">#REF!</definedName>
    <definedName name="wen" hidden="1">{#N/A,#N/A,TRUE,"Front";#N/A,#N/A,TRUE,"Simple Letter";#N/A,#N/A,TRUE,"Inside";#N/A,#N/A,TRUE,"Contents";#N/A,#N/A,TRUE,"Basis";#N/A,#N/A,TRUE,"Inclusions";#N/A,#N/A,TRUE,"Exclusions";#N/A,#N/A,TRUE,"Areas";#N/A,#N/A,TRUE,"Summary";#N/A,#N/A,TRUE,"Detail"}</definedName>
    <definedName name="weq">#REF!</definedName>
    <definedName name="werfew" hidden="1">{#N/A,#N/A,TRUE,"Front";#N/A,#N/A,TRUE,"Simple Letter";#N/A,#N/A,TRUE,"Inside";#N/A,#N/A,TRUE,"Contents";#N/A,#N/A,TRUE,"Basis";#N/A,#N/A,TRUE,"Inclusions";#N/A,#N/A,TRUE,"Exclusions";#N/A,#N/A,TRUE,"Areas";#N/A,#N/A,TRUE,"Summary";#N/A,#N/A,TRUE,"Detail"}</definedName>
    <definedName name="werr">#N/A</definedName>
    <definedName name="werweasdfwd">#REF!</definedName>
    <definedName name="WET" hidden="1">{#N/A,#N/A,TRUE,"Front";#N/A,#N/A,TRUE,"Simple Letter";#N/A,#N/A,TRUE,"Inside";#N/A,#N/A,TRUE,"Contents";#N/A,#N/A,TRUE,"Basis";#N/A,#N/A,TRUE,"Inclusions";#N/A,#N/A,TRUE,"Exclusions";#N/A,#N/A,TRUE,"Areas";#N/A,#N/A,TRUE,"Summary";#N/A,#N/A,TRUE,"Detail"}</definedName>
    <definedName name="WETGH" hidden="1">{#N/A,#N/A,TRUE,"Krycí list"}</definedName>
    <definedName name="WETQ" hidden="1">{#N/A,#N/A,TRUE,"Krycí list"}</definedName>
    <definedName name="wetwyer" hidden="1">#REF!</definedName>
    <definedName name="WF">#REF!</definedName>
    <definedName name="wfrwfrwefw">#REF!</definedName>
    <definedName name="wh">#REF!</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ITESAND">#REF!</definedName>
    <definedName name="wid">#REF!</definedName>
    <definedName name="wid_1">NA()</definedName>
    <definedName name="wid_2">NA()</definedName>
    <definedName name="wid_3">NA()</definedName>
    <definedName name="wid_5">NA()</definedName>
    <definedName name="WINDOW_1">NA()</definedName>
    <definedName name="WINDOW_2">NA()</definedName>
    <definedName name="WINDOW_3">NA()</definedName>
    <definedName name="WINDOW_5">NA()</definedName>
    <definedName name="wip">#REF!</definedName>
    <definedName name="WIPP" hidden="1">{#N/A,#N/A,TRUE,"Flooring "}</definedName>
    <definedName name="WK" hidden="1">{#N/A,#N/A,FALSE,"견적대비-2"}</definedName>
    <definedName name="WLP">#REF!</definedName>
    <definedName name="WLP_1">NA()</definedName>
    <definedName name="WLP_2">NA()</definedName>
    <definedName name="WLP_3">NA()</definedName>
    <definedName name="WLP_5">NA()</definedName>
    <definedName name="Wooden_Poles">#REF!</definedName>
    <definedName name="work">#REF!</definedName>
    <definedName name="work_1">NA()</definedName>
    <definedName name="work_10">#REF!</definedName>
    <definedName name="work_11">#REF!</definedName>
    <definedName name="work_12">#REF!</definedName>
    <definedName name="work_2">NA()</definedName>
    <definedName name="work_20">#REF!</definedName>
    <definedName name="work_21">#REF!</definedName>
    <definedName name="work_24">#REF!</definedName>
    <definedName name="work_25">#REF!</definedName>
    <definedName name="work_26">#REF!</definedName>
    <definedName name="work_27">#REF!</definedName>
    <definedName name="work_28">#REF!</definedName>
    <definedName name="work_29">#REF!</definedName>
    <definedName name="work_3">NA()</definedName>
    <definedName name="work_30">#REF!</definedName>
    <definedName name="work_31">#REF!</definedName>
    <definedName name="work_32">#REF!</definedName>
    <definedName name="work_33">#REF!</definedName>
    <definedName name="work_34">#REF!</definedName>
    <definedName name="work_35">#REF!</definedName>
    <definedName name="work_36">#REF!</definedName>
    <definedName name="work_37">#REF!</definedName>
    <definedName name="work_38">#REF!</definedName>
    <definedName name="work_39">#REF!</definedName>
    <definedName name="work_40">#REF!</definedName>
    <definedName name="work_41">#REF!</definedName>
    <definedName name="work_42">#REF!</definedName>
    <definedName name="work_43">#REF!</definedName>
    <definedName name="work_44">#REF!</definedName>
    <definedName name="work_45">#REF!</definedName>
    <definedName name="work_46">#REF!</definedName>
    <definedName name="work_47">#REF!</definedName>
    <definedName name="work_48">#REF!</definedName>
    <definedName name="work_49">#REF!</definedName>
    <definedName name="work_5">NA()</definedName>
    <definedName name="work_50">#REF!</definedName>
    <definedName name="work_51">#REF!</definedName>
    <definedName name="work_52">#REF!</definedName>
    <definedName name="work_53">#REF!</definedName>
    <definedName name="work_55">#REF!</definedName>
    <definedName name="work_56">#REF!</definedName>
    <definedName name="work_57">#REF!</definedName>
    <definedName name="work_61">#REF!</definedName>
    <definedName name="work_62">#REF!</definedName>
    <definedName name="work_63">#REF!</definedName>
    <definedName name="work_64">#REF!</definedName>
    <definedName name="work_65">#REF!</definedName>
    <definedName name="work_66">#REF!</definedName>
    <definedName name="work_8">#REF!</definedName>
    <definedName name="work_9">#REF!</definedName>
    <definedName name="works_range">#REF!</definedName>
    <definedName name="workstatus">#N/A</definedName>
    <definedName name="WP">#REF!</definedName>
    <definedName name="WP_1">NA()</definedName>
    <definedName name="WP_2">NA()</definedName>
    <definedName name="WP_3">NA()</definedName>
    <definedName name="WP_5">NA()</definedName>
    <definedName name="WQA" hidden="1">#REF!</definedName>
    <definedName name="wqd" hidden="1">{#N/A,#N/A,FALSE,"mgtsum.XLS";#N/A,#N/A,FALSE,"CAPONE";#N/A,#N/A,FALSE,"CAPTWO";#N/A,#N/A,FALSE,"CAPTHREE"}</definedName>
    <definedName name="wqe">#REF!</definedName>
    <definedName name="wr" hidden="1">{#N/A,#N/A,FALSE,"COVER1.XLS ";#N/A,#N/A,FALSE,"RACT1.XLS";#N/A,#N/A,FALSE,"RACT2.XLS";#N/A,#N/A,FALSE,"ECCMP";#N/A,#N/A,FALSE,"WELDER.XLS"}</definedName>
    <definedName name="wrawa">#REF!</definedName>
    <definedName name="wrftw">#REF!</definedName>
    <definedName name="wrn" hidden="1">{#N/A,#N/A,TRUE,"Front";#N/A,#N/A,TRUE,"Simple Letter";#N/A,#N/A,TRUE,"Inside";#N/A,#N/A,TRUE,"Contents";#N/A,#N/A,TRUE,"Basis";#N/A,#N/A,TRUE,"Inclusions";#N/A,#N/A,TRUE,"Exclusions";#N/A,#N/A,TRUE,"Areas";#N/A,#N/A,TRUE,"Summary";#N/A,#N/A,TRUE,"Detail"}</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 hidden="1">{#N/A,#N/A,FALSE,"17MAY";#N/A,#N/A,FALSE,"24MAY"}</definedName>
    <definedName name="wrn.2.2" hidden="1">{#N/A,#N/A,FALSE,"17MAY";#N/A,#N/A,FALSE,"24MAY"}</definedName>
    <definedName name="wrn.95PROV." hidden="1">{#N/A,#N/A,FALSE,"Taxblinc";#N/A,#N/A,FALSE,"Rsvsacls"}</definedName>
    <definedName name="wrn.abc." hidden="1">{"Execavation",#N/A,FALSE,"furniture (employer)"}</definedName>
    <definedName name="wrn.ACHESON94TAXRETURN."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ging._.and._.Trend._.Analysis." hidden="1">{#N/A,#N/A,FALSE,"Aging Summary";#N/A,#N/A,FALSE,"Ratio Analysis";#N/A,#N/A,FALSE,"Test 120 Day Accts";#N/A,#N/A,FALSE,"Tickmarks"}</definedName>
    <definedName name="wrn.akj." hidden="1">{#N/A,#N/A,FALSE,"Statementa";#N/A,#N/A,FALSE,"P&amp;l AC";#N/A,#N/A,FALSE,"SCHDEULE (2)"}</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Pages." hidden="1">{#N/A,#N/A,FALSE,"Summary";#N/A,#N/A,FALSE,"Fed.State Prov";#N/A,#N/A,FALSE,"Foreign Prov";#N/A,#N/A,FALSE,"Thera Fgrn";#N/A,#N/A,FALSE,"CCD Fgrn";#N/A,#N/A,FALSE,"Biocine Fgrn";#N/A,#N/A,FALSE,"Vision Fgrn";#N/A,#N/A,FALSE,"Frgn vs Dom"}</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mk." hidden="1">{#N/A,#N/A,FALSE,"M&amp;B_43A_fab";#N/A,#N/A,FALSE,"M&amp;B_43A_ERE.";#N/A,#N/A,FALSE,"M&amp;B-43A-ALIGN"}</definedName>
    <definedName name="wrn.AMTNOL." hidden="1">{#N/A,#N/A,TRUE,"91AMTNOL";#N/A,#N/A,TRUE,"92AMTNOL";#N/A,#N/A,TRUE,"93AMTNOL"}</definedName>
    <definedName name="wrn.Assumption._.Book." hidden="1">{#N/A,#N/A,FALSE,"Model Assumptions"}</definedName>
    <definedName name="wrn.assumptions." hidden="1">{"baseassum",#N/A,FALSE,"BASEDCF";"bassum2",#N/A,FALSE,"BASEDCF";"hmix",#N/A,FALSE,"BASEDCF"}</definedName>
    <definedName name="wrn.audit._.adjustments." hidden="1">{#N/A,#N/A,TRUE,"Summary";#N/A,#N/A,TRUE,"Amort.";#N/A,#N/A,TRUE,"93TAX";#N/A,#N/A,TRUE,"93NOLCB";#N/A,#N/A,TRUE,"92TAX";#N/A,#N/A,TRUE,"92NOLCB";#N/A,#N/A,TRUE,"91TAX";#N/A,#N/A,TRUE,"91NOLCB";#N/A,#N/A,TRUE,"92AMTNOL";#N/A,#N/A,TRUE,"921120X"}</definedName>
    <definedName name="wrn.backup." hidden="1">{"financials",#N/A,FALSE,"BASIC";"interest",#N/A,FALSE,"BASIC";"leasing and financing",#N/A,FALSE,"BASIC";"returns back up",#N/A,FALSE,"BASIC"}</definedName>
    <definedName name="wrn.Balance._.Sheet._.Set." hidden="1">{"Balance Sheet",#N/A,FALSE,"bsheet";"Assets Schedule",#N/A,FALSE,"bsheet";"Notes",#N/A,FALSE,"bsheet";"Abstract",#N/A,FALSE,"bsheet";"Cash Flow",#N/A,FALSE,"bsheet";"groupings",#N/A,FALSE,"bsheet";"Stocks",#N/A,FALSE,"bsheet";"Trial",#N/A,FALSE,"bsheet"}</definedName>
    <definedName name="wrn.bank._.model." hidden="1">{"banks",#N/A,FALSE,"BASIC"}</definedName>
    <definedName name="wrn.BARCHART." hidden="1">{"View1",#N/A,FALSE,"Sheet1";"View2",#N/A,FALSE,"Sheet1";"View3",#N/A,FALSE,"Sheet1";"View4",#N/A,FALSE,"Sheet1"}</definedName>
    <definedName name="wrn.BL94TAXRETURN."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oth._.Outputs." hidden="1">{"LTV Output",#N/A,FALSE,"Output";"DCR Output",#N/A,FALSE,"Output"}</definedName>
    <definedName name="wrn.budget." localSheetId="1" hidden="1">{"form-D1",#N/A,FALSE,"FORM-D1";"form-D1_amt",#N/A,FALSE,"FORM-D1"}</definedName>
    <definedName name="wrn.budget." hidden="1">{"form-D1",#N/A,FALSE,"FORM-D1";"form-D1_amt",#N/A,FALSE,"FORM-D1"}</definedName>
    <definedName name="wrn.Buildups." hidden="1">{"ACQ",#N/A,FALSE,"ACQUISITIONS";"ACQF",#N/A,FALSE,"ACQUISITIONS";"PF",#N/A,FALSE,"PROYECTOVILA";"PV",#N/A,FALSE,"PROYECTOVILA";"Fee Dev",#N/A,FALSE,"DEVELOPMENT GROWTH";"gd",#N/A,FALSE,"DEVELOPMENT GROWTH"}</definedName>
    <definedName name="wrn.Chiron._.IRS._.Audit." hidden="1">{#N/A,#N/A,FALSE,"Summary";#N/A,#N/A,FALSE,"1991";#N/A,#N/A,FALSE,"91 AMT";#N/A,#N/A,FALSE,"1992";#N/A,#N/A,FALSE,"92 AMT";#N/A,#N/A,FALSE,"1993";#N/A,#N/A,FALSE,"93 AMT"}</definedName>
    <definedName name="wrn.CIC94TAX."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lntrpt." hidden="1">{#N/A,#N/A,FALSE,"CLIENT HOPSR";#N/A,#N/A,FALSE,"JEG GRAPH";#N/A,#N/A,FALSE,"PROCESS";#N/A,#N/A,FALSE,"CIVIL";#N/A,#N/A,FALSE,"ELECTRICAL";#N/A,#N/A,FALSE,"CNTRL SYS";#N/A,#N/A,FALSE,"MECH";#N/A,#N/A,FALSE,"PIPE"}</definedName>
    <definedName name="wrn.COMBINED." hidden="1">{#N/A,#N/A,FALSE,"INPUTS";#N/A,#N/A,FALSE,"PROFORMA BSHEET";#N/A,#N/A,FALSE,"COMBINED";#N/A,#N/A,FALSE,"HIGH YIELD";#N/A,#N/A,FALSE,"COMB_GRAPHS"}</definedName>
    <definedName name="wrn.Compco._.Only." hidden="1">{"vi1",#N/A,FALSE,"6_30_96";"vi2",#N/A,FALSE,"6_30_96";"vi3",#N/A,FALSE,"6_30_96"}</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utation._.3CD._.Details." hidden="1">{"Computation Tax",#N/A,FALSE,"43B";"Dep I.Tax",#N/A,FALSE,"43B";"I Tax Losses",#N/A,FALSE,"43B";"Annex-III 3CD",#N/A,FALSE,"43B";"Cash Payments",#N/A,FALSE,"43B";"43B",#N/A,FALSE,"43B"}</definedName>
    <definedName name="wrn.consolidated." hidden="1">{"income",#N/A,FALSE,"CONSOLIDATED";"value",#N/A,FALSE,"CONSOLIDATED"}</definedName>
    <definedName name="wrn.consumable." hidden="1">{#N/A,#N/A,FALSE,"consu_cover";#N/A,#N/A,FALSE,"consu_strategy";#N/A,#N/A,FALSE,"consu_flow";#N/A,#N/A,FALSE,"Summary_reqmt";#N/A,#N/A,FALSE,"field_ppg";#N/A,#N/A,FALSE,"ppg_shop";#N/A,#N/A,FALSE,"strl";#N/A,#N/A,FALSE,"tankages";#N/A,#N/A,FALSE,"gases"}</definedName>
    <definedName name="wrn.COSA94TAXRETURN."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t." localSheetId="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CR._.Output." hidden="1">{"DCR Output",#N/A,FALSE,"Output"}</definedName>
    <definedName name="wrn.dep." hidden="1">{"dep. full detail",#N/A,FALSE,"annex";"3cd annex",#N/A,FALSE,"annex";"co. dep.",#N/A,FALSE,"annex"}</definedName>
    <definedName name="wrn.depmatrix." hidden="1">{"depmatrix",#N/A,FALSE,"DECATUR-DIMMIT"}</definedName>
    <definedName name="wrn.Depreciation." hidden="1">{"DE_asfiled",#N/A,TRUE,"Amort.";"IRS_addl",#N/A,TRUE,"Amort."}</definedName>
    <definedName name="wrn.Detail." hidden="1">{"Detail",#N/A,FALSE,"Assump";"Detail",#N/A,FALSE,"Muni";"Detail",#N/A,FALSE,"Proj";"Detail",#N/A,FALSE,"Calc";"Present",#N/A,FALSE,"Cover"}</definedName>
    <definedName name="wrn.Detailkalk." hidden="1">{#N/A,#N/A,FALSE,"Kalk"}</definedName>
    <definedName name="wrn.detailkalk01." hidden="1">{#N/A,#N/A,FALSE,"Kalk"}</definedName>
    <definedName name="wrn.detailkalk1." hidden="1">{#N/A,#N/A,FALSE,"Kalk"}</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nancials_long." hidden="1">{"IS",#N/A,FALSE,"Financials2 (Expanded)";"bsa",#N/A,FALSE,"Financials2 (Expanded)";"BS",#N/A,FALSE,"Financials2 (Expanded)";"CF",#N/A,FALSE,"Financials2 (Expanded)"}</definedName>
    <definedName name="wrn.floor." hidden="1">{#N/A,#N/A,TRUE,"Flooring "}</definedName>
    <definedName name="wrn.Friendly." hidden="1">{#N/A,#N/A,TRUE,"Julio";#N/A,#N/A,TRUE,"Agosto";#N/A,#N/A,TRUE,"BHCo";#N/A,#N/A,TRUE,"Abril";#N/A,#N/A,TRUE,"Pro Forma"}</definedName>
    <definedName name="wrn.Ful._.Set." hidden="1">{"Bsheet",#N/A,FALSE,"Details";"P&amp;L",#N/A,FALSE,"Details";"Schedule",#N/A,FALSE,"Details";"Details",#N/A,FALSE,"Details"}</definedName>
    <definedName name="WRN.FULL" hidden="1">{#N/A,#N/A,TRUE,"Front";#N/A,#N/A,TRUE,"Simple Letter";#N/A,#N/A,TRUE,"Inside";#N/A,#N/A,TRUE,"Contents";#N/A,#N/A,TRUE,"Basis";#N/A,#N/A,TRUE,"Inclusions";#N/A,#N/A,TRUE,"Exclusions";#N/A,#N/A,TRUE,"Areas";#N/A,#N/A,TRUE,"Summary";#N/A,#N/A,TRUE,"Detail"}</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hidden="1">{#N/A,#N/A,TRUE,"Financials";#N/A,#N/A,TRUE,"Operating Statistics";#N/A,#N/A,TRUE,"Capex &amp; Depreciation";#N/A,#N/A,TRUE,"Debt"}</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fin.1" hidden="1">{#N/A,#N/A,TRUE,"Financials";#N/A,#N/A,TRUE,"Operating Statistics";#N/A,#N/A,TRUE,"Capex &amp; Depreciation";#N/A,#N/A,TRUE,"Debt"}</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 hidden="1">{#N/A,#N/A,FALSE,"gc (2)"}</definedName>
    <definedName name="wrn.GENSERV." hidden="1">{#N/A,#N/A,FALSE,"VISTAF"}</definedName>
    <definedName name="wrn.GRAPHS." hidden="1">{#N/A,#N/A,FALSE,"ACQ_GRAPHS";#N/A,#N/A,FALSE,"T_1 GRAPHS";#N/A,#N/A,FALSE,"T_2 GRAPHS";#N/A,#N/A,FALSE,"COMB_GRAPHS"}</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IFF94TAX."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NDEPS." hidden="1">{"page1",#N/A,FALSE,"TIND_CC1";"page2",#N/A,FALSE,"TIND_CC1";"page3",#N/A,FALSE,"TIND_CC1";"page4",#N/A,FALSE,"TIND_CC1";"page5",#N/A,FALSE,"TIND_CC1"}</definedName>
    <definedName name="wrn.Inputs." hidden="1">{#N/A,#N/A,FALSE,"Input"}</definedName>
    <definedName name="wrn.IPO._.Valuation." hidden="1">{"assumptions",#N/A,FALSE,"Scenario 1";"valuation",#N/A,FALSE,"Scenario 1"}</definedName>
    <definedName name="wrn.item1." hidden="1">{#N/A,#N/A,FALSE,"Wadhal";#N/A,#N/A,FALSE,"Manglad U-S";#N/A,#N/A,FALSE,"Manglad D-S";#N/A,#N/A,FALSE,"Ratanpur U-S";#N/A,#N/A,FALSE,"Ratanpur D-S";#N/A,#N/A,FALSE,"VI Face"}</definedName>
    <definedName name="wrn.jck94TAXRETURN."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egrpt." hidden="1">{#N/A,#N/A,FALSE,"PJT STATUS RVW";#N/A,#N/A,FALSE,"MAPS CKLIST";#N/A,#N/A,FALSE,"HOPSR-BASE-IHOCS";#N/A,#N/A,FALSE,"HOPSR-BASE FOR REPORT";#N/A,#N/A,FALSE,"GEN SERVICES";#N/A,#N/A,FALSE,"FINANCIAL";#N/A,#N/A,FALSE,"CONTRACT CURVES";#N/A,#N/A,FALSE,"JEG GRAPH";#N/A,#N/A,FALSE,"JEG GRAPH (2)"}</definedName>
    <definedName name="wrn.Kalk." hidden="1">{"Kalk_druck",#N/A,FALSE,"Kalk";#N/A,#N/A,FALSE,"Risiken";"AllgKost_Druck",#N/A,FALSE,"AllgKost";"KompKost_Druck",#N/A,FALSE,"KompKost"}</definedName>
    <definedName name="wrn.kalk01." hidden="1">{"Kalk_druck",#N/A,FALSE,"Kalk";#N/A,#N/A,FALSE,"Risiken";"AllgKost_Druck",#N/A,FALSE,"AllgKost";"KompKost_Druck",#N/A,FALSE,"KompKost"}</definedName>
    <definedName name="wrn.kalk1." hidden="1">{"Kalk_druck",#N/A,FALSE,"Kalk";#N/A,#N/A,FALSE,"Risiken";"AllgKost_Druck",#N/A,FALSE,"AllgKost";"KompKost_Druck",#N/A,FALSE,"KompKost"}</definedName>
    <definedName name="wrn.Kontrolní._.rozpočet." hidden="1">{#N/A,#N/A,TRUE,"Krycí list"}</definedName>
    <definedName name="wrn.Kontrolní._.rozpoeet." hidden="1">{#N/A,#N/A,TRUE,"Krycí list"}</definedName>
    <definedName name="wrn.LBO._.Summary." hidden="1">{"LBO Summary",#N/A,FALSE,"Summary"}</definedName>
    <definedName name="wrn.LK." localSheetId="1" hidden="1">{#N/A,#N/A,FALSE,"MESURMENT BOOK OF 6 BILL";#N/A,#N/A,FALSE,"MESURMENT BOOK OF 6 BILL"}</definedName>
    <definedName name="wrn.LK." hidden="1">{#N/A,#N/A,FALSE,"MESURMENT BOOK OF 6 BILL";#N/A,#N/A,FALSE,"MESURMENT BOOK OF 6 BILL"}</definedName>
    <definedName name="wrn.LTCG." hidden="1">{"office ltcg",#N/A,FALSE,"gain01";"IT LTCG",#N/A,FALSE,"gain01"}</definedName>
    <definedName name="wrn.LTV._.Output." hidden="1">{"LTV Output",#N/A,FALSE,"Output"}</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del." hidden="1">{"basic",#N/A,FALSE,"BASIC"}</definedName>
    <definedName name="wrn.N.O.L.." hidden="1">{#N/A,#N/A,FALSE,"91NOLCB";#N/A,#N/A,FALSE,"92NOLCB";#N/A,#N/A,FALSE,"93NOLCB"}</definedName>
    <definedName name="wrn.One._.Pager._.plus._.Technicals." hidden="1">{#N/A,#N/A,FALSE,"One Pager";#N/A,#N/A,FALSE,"Technical"}</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ging._.Compco." hidden="1">{"financials",#N/A,TRUE,"6_30_96";"footnotes",#N/A,TRUE,"6_30_96";"valuation",#N/A,TRUE,"6_30_96"}</definedName>
    <definedName name="wrn.PAIM._.TAX._.PRO."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hidden="1">{"Present",#N/A,FALSE,"Assump";"Present",#N/A,FALSE,"Calc";"Present",#N/A,FALSE,"Cover"}</definedName>
    <definedName name="wrn.Print." hidden="1">{"vi1",#N/A,FALSE,"Financial Statements";"vi2",#N/A,FALSE,"Financial Statements";#N/A,#N/A,FALSE,"DCF"}</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All." hidden="1">{"PA1",#N/A,FALSE,"BORDMW";"pa2",#N/A,FALSE,"BORDMW";"PA3",#N/A,FALSE,"BORDMW";"PA4",#N/A,FALSE,"BORDMW"}</definedName>
    <definedName name="wrn.Profitability." hidden="1">{#N/A,"Good",TRUE,"Sheet1";#N/A,"Normal",TRUE,"Sheet1";#N/A,"Bad",TRUE,"Sheet1"}</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AA94TAX."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les." hidden="1">{"sales",#N/A,FALSE,"Sales";"sales existing",#N/A,FALSE,"Sales";"sales rd1",#N/A,FALSE,"Sales";"sales rd2",#N/A,FALSE,"Sales"}</definedName>
    <definedName name="wrn.SHORT." hidden="1">{"CREDIT STATISTICS",#N/A,FALSE,"STATS";"CF_AND_IS",#N/A,FALSE,"PLAN";"BALSHEET",#N/A,FALSE,"BALANCE SHEET"}</definedName>
    <definedName name="wrn.summ1" hidden="1">{#N/A,#N/A,FALSE,"COVER1.XLS ";#N/A,#N/A,FALSE,"RACT1.XLS";#N/A,#N/A,FALSE,"RACT2.XLS";#N/A,#N/A,FALSE,"ECCMP";#N/A,#N/A,FALSE,"WELDER.XLS"}</definedName>
    <definedName name="wrn.summary." hidden="1">{"financials",#N/A,FALSE,"BASIC"}</definedName>
    <definedName name="wrn.Test._.Report." hidden="1">{#N/A,#N/A,FALSE,"DATA D.I.";#N/A,#N/A,FALSE,"DATA C.I."}</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comp." hidden="1">{"comp1",#N/A,FALSE,"COMPS";"footnotes",#N/A,FALSE,"COMPS"}</definedName>
    <definedName name="wrn.tou구매." hidden="1">{#N/A,#N/A,FALSE,"견적대비-2"}</definedName>
    <definedName name="wrn.trial." hidden="1">{#N/A,#N/A,FALSE,"mpph1";#N/A,#N/A,FALSE,"mpmseb";#N/A,#N/A,FALSE,"mpph2"}</definedName>
    <definedName name="wrn.UNIONGAS94TAXRETURN."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간단한세무조정계산서." hidden="1">{#N/A,#N/A,TRUE,"일반적사항";#N/A,#N/A,TRUE,"주요재무자료"}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0" hidden="1">{#N/A,#N/A,FALSE,"COVER1.XLS ";#N/A,#N/A,FALSE,"RACT1.XLS";#N/A,#N/A,FALSE,"RACT2.XLS";#N/A,#N/A,FALSE,"ECCMP";#N/A,#N/A,FALSE,"WELDER.XLS"}</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sgz" hidden="1">{#N/A,#N/A,FALSE,"COVER1.XLS ";#N/A,#N/A,FALSE,"RACT1.XLS";#N/A,#N/A,FALSE,"RACT2.XLS";#N/A,#N/A,FALSE,"ECCMP";#N/A,#N/A,FALSE,"WELDER.XLS"}</definedName>
    <definedName name="wsn.full" hidden="1">{#N/A,#N/A,TRUE,"Front";#N/A,#N/A,TRUE,"Simple Letter";#N/A,#N/A,TRUE,"Inside";#N/A,#N/A,TRUE,"Contents";#N/A,#N/A,TRUE,"Basis";#N/A,#N/A,TRUE,"Inclusions";#N/A,#N/A,TRUE,"Exclusions";#N/A,#N/A,TRUE,"Areas";#N/A,#N/A,TRUE,"Summary";#N/A,#N/A,TRUE,"Detail"}</definedName>
    <definedName name="wswww">#REF!</definedName>
    <definedName name="wtrwwefr">#REF!</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#REF!</definedName>
    <definedName name="www" hidden="1">{#N/A,#N/A,FALSE,"abs";#N/A,#N/A,FALSE,"Annex-I";#N/A,#N/A,FALSE,"Annex-II";#N/A,#N/A,FALSE,"Annex-III";#N/A,#N/A,FALSE,"Annex-IV";#N/A,#N/A,FALSE,"Annex-V";#N/A,#N/A,FALSE,"Annex-VI"}</definedName>
    <definedName name="wwww" hidden="1">{#N/A,#N/A,TRUE,"Krycí list"}</definedName>
    <definedName name="wwwww" hidden="1">#REF!</definedName>
    <definedName name="wwwwww">#REF!</definedName>
    <definedName name="wwwwwwww">#REF!</definedName>
    <definedName name="wwwwwwwww">#REF!</definedName>
    <definedName name="wyh" hidden="1">{#N/A,#N/A,FALSE,"Summary";#N/A,#N/A,FALSE,"Fed.State Prov";#N/A,#N/A,FALSE,"Foreign Prov";#N/A,#N/A,FALSE,"Thera Fgrn";#N/A,#N/A,FALSE,"CCD Fgrn";#N/A,#N/A,FALSE,"Biocine Fgrn";#N/A,#N/A,FALSE,"Vision Fgrn";#N/A,#N/A,FALSE,"Frgn vs Dom"}</definedName>
    <definedName name="X">#REF!</definedName>
    <definedName name="X980210_payment_printing_List">#NAME?</definedName>
    <definedName name="xczx">#N/A</definedName>
    <definedName name="xDd">#N/A</definedName>
    <definedName name="xdfd" hidden="1">#REF!</definedName>
    <definedName name="xdfghdfxhg">#REF!</definedName>
    <definedName name="Xl">#REF!</definedName>
    <definedName name="Xl___0">#REF!</definedName>
    <definedName name="Xl___0_1">NA()</definedName>
    <definedName name="Xl___0_2">NA()</definedName>
    <definedName name="Xl___0_3">NA()</definedName>
    <definedName name="Xl___0_5">NA()</definedName>
    <definedName name="Xl___13">#REF!</definedName>
    <definedName name="Xl___13_1">NA()</definedName>
    <definedName name="Xl___13_2">NA()</definedName>
    <definedName name="Xl___13_3">NA()</definedName>
    <definedName name="Xl___13_5">NA()</definedName>
    <definedName name="Xl_1">NA()</definedName>
    <definedName name="Xl_2">NA()</definedName>
    <definedName name="Xl_3">NA()</definedName>
    <definedName name="Xl_5">NA()</definedName>
    <definedName name="XLOPTvec">"12 14 1 125 1 0 1 1 1 1 1 1 0 0 1 0 0 0 0 0"</definedName>
    <definedName name="xqdscxaq">#N/A</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ColumnsCount" hidden="1">19</definedName>
    <definedName name="XRefCopyRangeCount" hidden="1">12</definedName>
    <definedName name="XRefPasteRangeCount" hidden="1">8</definedName>
    <definedName name="xs">#N/A</definedName>
    <definedName name="xsaa">#N/A</definedName>
    <definedName name="xss">#N/A</definedName>
    <definedName name="xV" hidden="1">{#N/A,#N/A,TRUE,"Front";#N/A,#N/A,TRUE,"Simple Letter";#N/A,#N/A,TRUE,"Inside";#N/A,#N/A,TRUE,"Contents";#N/A,#N/A,TRUE,"Basis";#N/A,#N/A,TRUE,"Inclusions";#N/A,#N/A,TRUE,"Exclusions";#N/A,#N/A,TRUE,"Areas";#N/A,#N/A,TRUE,"Summary";#N/A,#N/A,TRUE,"Detail"}</definedName>
    <definedName name="xx" hidden="1">{#N/A,#N/A,TRUE,"Front";#N/A,#N/A,TRUE,"Simple Letter";#N/A,#N/A,TRUE,"Inside";#N/A,#N/A,TRUE,"Contents";#N/A,#N/A,TRUE,"Basis";#N/A,#N/A,TRUE,"Inclusions";#N/A,#N/A,TRUE,"Exclusions";#N/A,#N/A,TRUE,"Areas";#N/A,#N/A,TRUE,"Summary";#N/A,#N/A,TRUE,"Detail"}</definedName>
    <definedName name="XXX" hidden="1">{#N/A,#N/A,TRUE,"Front";#N/A,#N/A,TRUE,"Simple Letter";#N/A,#N/A,TRUE,"Inside";#N/A,#N/A,TRUE,"Contents";#N/A,#N/A,TRUE,"Basis";#N/A,#N/A,TRUE,"Inclusions";#N/A,#N/A,TRUE,"Exclusions";#N/A,#N/A,TRUE,"Areas";#N/A,#N/A,TRUE,"Summary";#N/A,#N/A,TRUE,"Detail"}</definedName>
    <definedName name="xxx_1">NA()</definedName>
    <definedName name="xxx_2">NA()</definedName>
    <definedName name="xxx_3">NA()</definedName>
    <definedName name="xxx_5">NA()</definedName>
    <definedName name="xxxx" hidden="1">{#N/A,#N/A,TRUE,"Front";#N/A,#N/A,TRUE,"Simple Letter";#N/A,#N/A,TRUE,"Inside";#N/A,#N/A,TRUE,"Contents";#N/A,#N/A,TRUE,"Basis";#N/A,#N/A,TRUE,"Inclusions";#N/A,#N/A,TRUE,"Exclusions";#N/A,#N/A,TRUE,"Areas";#N/A,#N/A,TRUE,"Summary";#N/A,#N/A,TRUE,"Detail"}</definedName>
    <definedName name="xxxxx">#REF!</definedName>
    <definedName name="xxxxxx" hidden="1">{#N/A,#N/A,TRUE,"Front";#N/A,#N/A,TRUE,"Simple Letter";#N/A,#N/A,TRUE,"Inside";#N/A,#N/A,TRUE,"Contents";#N/A,#N/A,TRUE,"Basis";#N/A,#N/A,TRUE,"Inclusions";#N/A,#N/A,TRUE,"Exclusions";#N/A,#N/A,TRUE,"Areas";#N/A,#N/A,TRUE,"Summary";#N/A,#N/A,TRUE,"Detail"}</definedName>
    <definedName name="xxxxxxxxxxxxxx" hidden="1">{#N/A,#N/A,TRUE,"Krycí list"}</definedName>
    <definedName name="xyz" hidden="1">{"'Typical Costs Estimates'!$C$158:$H$161"}</definedName>
    <definedName name="xyzz">#N/A</definedName>
    <definedName name="xz" hidden="1">{#N/A,#N/A,TRUE,"Front";#N/A,#N/A,TRUE,"Simple Letter";#N/A,#N/A,TRUE,"Inside";#N/A,#N/A,TRUE,"Contents";#N/A,#N/A,TRUE,"Basis";#N/A,#N/A,TRUE,"Inclusions";#N/A,#N/A,TRUE,"Exclusions";#N/A,#N/A,TRUE,"Areas";#N/A,#N/A,TRUE,"Summary";#N/A,#N/A,TRUE,"Detail"}</definedName>
    <definedName name="xzfvv">#REF!</definedName>
    <definedName name="xzxz">#N/A</definedName>
    <definedName name="Y" hidden="1">{#N/A,#N/A,TRUE,"Front";#N/A,#N/A,TRUE,"Simple Letter";#N/A,#N/A,TRUE,"Inside";#N/A,#N/A,TRUE,"Contents";#N/A,#N/A,TRUE,"Basis";#N/A,#N/A,TRUE,"Inclusions";#N/A,#N/A,TRUE,"Exclusions";#N/A,#N/A,TRUE,"Areas";#N/A,#N/A,TRUE,"Summary";#N/A,#N/A,TRUE,"Detail"}</definedName>
    <definedName name="y_1">NA()</definedName>
    <definedName name="Y_1_1">NA()</definedName>
    <definedName name="Y_15">"$#REF!.$#REF!$#REF!"</definedName>
    <definedName name="y_2">NA()</definedName>
    <definedName name="Y_2_1">NA()</definedName>
    <definedName name="y_3">NA()</definedName>
    <definedName name="Y_3_1">"$#REF!.$#REF!$#REF!"</definedName>
    <definedName name="Y_4">"$#REF!.$#REF!$#REF!"</definedName>
    <definedName name="y_5">NA()</definedName>
    <definedName name="Y_6">"$#REF!.$#REF!$#REF!"</definedName>
    <definedName name="y0o" hidden="1">#REF!</definedName>
    <definedName name="yash" hidden="1">{#N/A,#N/A,TRUE,"Front";#N/A,#N/A,TRUE,"Simple Letter";#N/A,#N/A,TRUE,"Inside";#N/A,#N/A,TRUE,"Contents";#N/A,#N/A,TRUE,"Basis";#N/A,#N/A,TRUE,"Inclusions";#N/A,#N/A,TRUE,"Exclusions";#N/A,#N/A,TRUE,"Areas";#N/A,#N/A,TRUE,"Summary";#N/A,#N/A,TRUE,"Detail"}</definedName>
    <definedName name="YEN">#REF!</definedName>
    <definedName name="YES" hidden="1">{#N/A,#N/A,TRUE,"Front";#N/A,#N/A,TRUE,"Simple Letter";#N/A,#N/A,TRUE,"Inside";#N/A,#N/A,TRUE,"Contents";#N/A,#N/A,TRUE,"Basis";#N/A,#N/A,TRUE,"Inclusions";#N/A,#N/A,TRUE,"Exclusions";#N/A,#N/A,TRUE,"Areas";#N/A,#N/A,TRUE,"Summary";#N/A,#N/A,TRUE,"Detail"}</definedName>
    <definedName name="YesNoMaybe">#REF!</definedName>
    <definedName name="ykdfd" hidden="1">{#N/A,#N/A,TRUE,"Front";#N/A,#N/A,TRUE,"Simple Letter";#N/A,#N/A,TRUE,"Inside";#N/A,#N/A,TRUE,"Contents";#N/A,#N/A,TRUE,"Basis";#N/A,#N/A,TRUE,"Inclusions";#N/A,#N/A,TRUE,"Exclusions";#N/A,#N/A,TRUE,"Areas";#N/A,#N/A,TRUE,"Summary";#N/A,#N/A,TRUE,"Detail"}</definedName>
    <definedName name="yr" hidden="1">#REF!</definedName>
    <definedName name="ys">#REF!</definedName>
    <definedName name="yttw" hidden="1">{#N/A,#N/A,TRUE,"Front";#N/A,#N/A,TRUE,"Simple Letter";#N/A,#N/A,TRUE,"Inside";#N/A,#N/A,TRUE,"Contents";#N/A,#N/A,TRUE,"Basis";#N/A,#N/A,TRUE,"Inclusions";#N/A,#N/A,TRUE,"Exclusions";#N/A,#N/A,TRUE,"Areas";#N/A,#N/A,TRUE,"Summary";#N/A,#N/A,TRUE,"Detail"}</definedName>
    <definedName name="yty">#REF!</definedName>
    <definedName name="ytyr4" hidden="1">{#N/A,#N/A,TRUE,"Krycí list"}</definedName>
    <definedName name="YU" hidden="1">{#N/A,#N/A,TRUE,"Front";#N/A,#N/A,TRUE,"Simple Letter";#N/A,#N/A,TRUE,"Inside";#N/A,#N/A,TRUE,"Contents";#N/A,#N/A,TRUE,"Basis";#N/A,#N/A,TRUE,"Inclusions";#N/A,#N/A,TRUE,"Exclusions";#N/A,#N/A,TRUE,"Areas";#N/A,#N/A,TRUE,"Summary";#N/A,#N/A,TRUE,"Detail"}</definedName>
    <definedName name="yuyu">#REF!</definedName>
    <definedName name="Yvdavdhavhdvahvd">#REF!</definedName>
    <definedName name="YY">#REF!</definedName>
    <definedName name="yy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yyyy">#REF!</definedName>
    <definedName name="z" hidden="1">{#N/A,#N/A,TRUE,"Front";#N/A,#N/A,TRUE,"Simple Letter";#N/A,#N/A,TRUE,"Inside";#N/A,#N/A,TRUE,"Contents";#N/A,#N/A,TRUE,"Basis";#N/A,#N/A,TRUE,"Inclusions";#N/A,#N/A,TRUE,"Exclusions";#N/A,#N/A,TRUE,"Areas";#N/A,#N/A,TRUE,"Summary";#N/A,#N/A,TRUE,"Detail"}</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localSheetId="1" hidden="1">#REF!</definedName>
    <definedName name="Z_0C509CAE_4B28_497F_9463_E056D87AE422_.wvu.Row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5A4CDE39_BC84_48C0_8208_6970E7A71896_.wvu.Cols" hidden="1">#REF!,#REF!,#REF!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21080B5_A53F_46D5_A7A8_C550E9A6DB8E_.wvu.Rows" localSheetId="1" hidden="1">#REF!</definedName>
    <definedName name="Z_821080B5_A53F_46D5_A7A8_C550E9A6DB8E_.wvu.Rows" hidden="1">#REF!</definedName>
    <definedName name="Z_89FC4C3A_6586_42BA_B0E6_F0959042E6A0_.wvu.Rows" localSheetId="1"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E61184E6_4A82_48AD_BD46_AD03682B9E61_.wvu.Rows" localSheetId="1" hidden="1">#REF!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1_Co">#REF!</definedName>
    <definedName name="ZA"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CANNEXURES">#REF!</definedName>
    <definedName name="zccz">#N/A</definedName>
    <definedName name="zcr">#REF!</definedName>
    <definedName name="ZCREPORT">#REF!</definedName>
    <definedName name="zcz">#REF!</definedName>
    <definedName name="ZDHFAEH">#N/A</definedName>
    <definedName name="ZENANA" hidden="1">{#N/A,#N/A,TRUE,"Front";#N/A,#N/A,TRUE,"Simple Letter";#N/A,#N/A,TRUE,"Inside";#N/A,#N/A,TRUE,"Contents";#N/A,#N/A,TRUE,"Basis";#N/A,#N/A,TRUE,"Inclusions";#N/A,#N/A,TRUE,"Exclusions";#N/A,#N/A,TRUE,"Areas";#N/A,#N/A,TRUE,"Summary";#N/A,#N/A,TRUE,"Detail"}</definedName>
    <definedName name="Zins_Garantee">#REF!</definedName>
    <definedName name="Zins_Monat">#REF!</definedName>
    <definedName name="Zinz_ÖKB">#REF!</definedName>
    <definedName name="Zip">#REF!</definedName>
    <definedName name="Zip1" hidden="1">{#N/A,#N/A,TRUE,"Front";#N/A,#N/A,TRUE,"Simple Letter";#N/A,#N/A,TRUE,"Inside";#N/A,#N/A,TRUE,"Contents";#N/A,#N/A,TRUE,"Basis";#N/A,#N/A,TRUE,"Inclusions";#N/A,#N/A,TRUE,"Exclusions";#N/A,#N/A,TRUE,"Areas";#N/A,#N/A,TRUE,"Summary";#N/A,#N/A,TRUE,"Detail"}</definedName>
    <definedName name="zitd">#REF!</definedName>
    <definedName name="zl">#REF!</definedName>
    <definedName name="zl___0">#REF!</definedName>
    <definedName name="zl___0_1">NA()</definedName>
    <definedName name="zl___0_2">NA()</definedName>
    <definedName name="zl___0_3">NA()</definedName>
    <definedName name="zl___0_5">NA()</definedName>
    <definedName name="zl___13">#REF!</definedName>
    <definedName name="zl___13_1">NA()</definedName>
    <definedName name="zl___13_2">NA()</definedName>
    <definedName name="zl___13_3">NA()</definedName>
    <definedName name="zl___13_5">NA()</definedName>
    <definedName name="zl_1">NA()</definedName>
    <definedName name="zl_2">NA()</definedName>
    <definedName name="zl_3">NA()</definedName>
    <definedName name="zl_5">NA()</definedName>
    <definedName name="zlpu">#REF!</definedName>
    <definedName name="zlpu___0">#REF!</definedName>
    <definedName name="zlpu___0_1">NA()</definedName>
    <definedName name="zlpu___0_2">NA()</definedName>
    <definedName name="zlpu___0_3">NA()</definedName>
    <definedName name="zlpu___0_5">NA()</definedName>
    <definedName name="zlpu___13">#REF!</definedName>
    <definedName name="zlpu___13_1">NA()</definedName>
    <definedName name="zlpu___13_2">NA()</definedName>
    <definedName name="zlpu___13_3">NA()</definedName>
    <definedName name="zlpu___13_5">NA()</definedName>
    <definedName name="zlpu_1">NA()</definedName>
    <definedName name="zlpu_2">NA()</definedName>
    <definedName name="zlpu_3">NA()</definedName>
    <definedName name="zlpu_5">NA()</definedName>
    <definedName name="Zone_1">#REF!</definedName>
    <definedName name="zs">#REF!</definedName>
    <definedName name="zs___0">#REF!</definedName>
    <definedName name="zs___0_1">NA()</definedName>
    <definedName name="zs___0_2">NA()</definedName>
    <definedName name="zs___0_3">NA()</definedName>
    <definedName name="zs___0_5">NA()</definedName>
    <definedName name="zs___13">#REF!</definedName>
    <definedName name="zs___13_1">NA()</definedName>
    <definedName name="zs___13_2">NA()</definedName>
    <definedName name="zs___13_3">NA()</definedName>
    <definedName name="zs___13_5">NA()</definedName>
    <definedName name="zs_1">NA()</definedName>
    <definedName name="zs_2">NA()</definedName>
    <definedName name="zs_3">NA()</definedName>
    <definedName name="zs_5">NA()</definedName>
    <definedName name="zspu">#REF!</definedName>
    <definedName name="zspu___0">#REF!</definedName>
    <definedName name="zspu___0_1">NA()</definedName>
    <definedName name="zspu___0_2">NA()</definedName>
    <definedName name="zspu___0_3">NA()</definedName>
    <definedName name="zspu___0_5">NA()</definedName>
    <definedName name="zspu___13">#REF!</definedName>
    <definedName name="zspu___13_1">NA()</definedName>
    <definedName name="zspu___13_2">NA()</definedName>
    <definedName name="zspu___13_3">NA()</definedName>
    <definedName name="zspu___13_5">NA()</definedName>
    <definedName name="zspu_1">NA()</definedName>
    <definedName name="zspu_2">NA()</definedName>
    <definedName name="zspu_3">NA()</definedName>
    <definedName name="zspu_5">NA()</definedName>
    <definedName name="ZSS">#REF!</definedName>
    <definedName name="ZSS___0">#REF!</definedName>
    <definedName name="ZSS___0_1">NA()</definedName>
    <definedName name="ZSS___0_2">NA()</definedName>
    <definedName name="ZSS___0_3">NA()</definedName>
    <definedName name="ZSS___0_5">NA()</definedName>
    <definedName name="ZSS___13">#REF!</definedName>
    <definedName name="ZSS___13_1">NA()</definedName>
    <definedName name="ZSS___13_2">NA()</definedName>
    <definedName name="ZSS___13_3">NA()</definedName>
    <definedName name="ZSS___13_5">NA()</definedName>
    <definedName name="ZSS_1">NA()</definedName>
    <definedName name="ZSS_2">NA()</definedName>
    <definedName name="ZSS_3">NA()</definedName>
    <definedName name="ZSS_5">NA()</definedName>
    <definedName name="ztpu">#REF!</definedName>
    <definedName name="ztpu___0">#REF!</definedName>
    <definedName name="ztpu___0_1">NA()</definedName>
    <definedName name="ztpu___0_2">NA()</definedName>
    <definedName name="ztpu___0_3">NA()</definedName>
    <definedName name="ztpu___0_5">NA()</definedName>
    <definedName name="ztpu___13">#REF!</definedName>
    <definedName name="ztpu___13_1">NA()</definedName>
    <definedName name="ztpu___13_2">NA()</definedName>
    <definedName name="ztpu___13_3">NA()</definedName>
    <definedName name="ztpu___13_5">NA()</definedName>
    <definedName name="ztpu_1">NA()</definedName>
    <definedName name="ztpu_2">NA()</definedName>
    <definedName name="ztpu_3">NA()</definedName>
    <definedName name="ztpu_5">NA()</definedName>
    <definedName name="ZX" hidden="1">{#N/A,#N/A,TRUE,"Front";#N/A,#N/A,TRUE,"Simple Letter";#N/A,#N/A,TRUE,"Inside";#N/A,#N/A,TRUE,"Contents";#N/A,#N/A,TRUE,"Basis";#N/A,#N/A,TRUE,"Inclusions";#N/A,#N/A,TRUE,"Exclusions";#N/A,#N/A,TRUE,"Areas";#N/A,#N/A,TRUE,"Summary";#N/A,#N/A,TRUE,"Detail"}</definedName>
    <definedName name="zxgsdfg" hidden="1">{"'Bill No. 7'!$A$1:$G$32"}</definedName>
    <definedName name="zxz">#N/A</definedName>
    <definedName name="ZY">#REF!</definedName>
    <definedName name="ZY___0">#REF!</definedName>
    <definedName name="ZY___0_1">NA()</definedName>
    <definedName name="ZY___0_2">NA()</definedName>
    <definedName name="ZY___0_3">NA()</definedName>
    <definedName name="ZY___0_5">NA()</definedName>
    <definedName name="ZY___13">#REF!</definedName>
    <definedName name="ZY___13_1">NA()</definedName>
    <definedName name="ZY___13_2">NA()</definedName>
    <definedName name="ZY___13_3">NA()</definedName>
    <definedName name="ZY___13_5">NA()</definedName>
    <definedName name="ZY_1">NA()</definedName>
    <definedName name="ZY_2">NA()</definedName>
    <definedName name="ZY_3">NA()</definedName>
    <definedName name="ZY_5">NA()</definedName>
    <definedName name="zz" hidden="1">{#N/A,#N/A,TRUE,"Front";#N/A,#N/A,TRUE,"Simple Letter";#N/A,#N/A,TRUE,"Inside";#N/A,#N/A,TRUE,"Contents";#N/A,#N/A,TRUE,"Basis";#N/A,#N/A,TRUE,"Inclusions";#N/A,#N/A,TRUE,"Exclusions";#N/A,#N/A,TRUE,"Areas";#N/A,#N/A,TRUE,"Summary";#N/A,#N/A,TRUE,"Detail"}</definedName>
    <definedName name="zzx">#REF!</definedName>
    <definedName name="zzz">#REF!</definedName>
    <definedName name="zzzzzzzzzzzz" hidden="1">#REF!</definedName>
    <definedName name="ZZZZZZZZZZZZZZ" hidden="1">#REF!</definedName>
    <definedName name="ああ" hidden="1">{#N/A,#N/A,TRUE,"Krycí list"}</definedName>
    <definedName name="あああ" hidden="1">{#N/A,#N/A,TRUE,"Krycí list"}</definedName>
    <definedName name="ああああ" hidden="1">{#N/A,#N/A,TRUE,"Krycí list"}</definedName>
    <definedName name="え" hidden="1">{#N/A,#N/A,TRUE,"Krycí list"}</definedName>
    <definedName name="っｋ" hidden="1">#REF!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전체">#REF!</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削除分_PriceList2001と2002との差分_">#REF!</definedName>
    <definedName name="削除分_PriceList2001と2002の差分_">#REF!</definedName>
    <definedName name="掛率">#REF!</definedName>
    <definedName name="設計見積り" hidden="1">{#N/A,#N/A,TRUE,"Krycí list"}</definedName>
    <definedName name="追加分_PriceList2002と2001との差分_">#REF!</definedName>
    <definedName name="追加分_PriceList2002と2001の差分_">#REF!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9" l="1"/>
  <c r="E13" i="29"/>
  <c r="K63" i="28"/>
  <c r="K54" i="28"/>
  <c r="E12" i="29"/>
  <c r="E10" i="29"/>
  <c r="E7" i="29"/>
  <c r="E8" i="29"/>
  <c r="K28" i="29"/>
  <c r="F28" i="29"/>
  <c r="L28" i="29" s="1"/>
  <c r="M28" i="29" s="1"/>
  <c r="L27" i="29"/>
  <c r="F26" i="29"/>
  <c r="L26" i="29" s="1"/>
  <c r="M26" i="29" s="1"/>
  <c r="F25" i="29"/>
  <c r="L25" i="29" s="1"/>
  <c r="M25" i="29" s="1"/>
  <c r="D25" i="29"/>
  <c r="L24" i="29"/>
  <c r="L23" i="29"/>
  <c r="M23" i="29" s="1"/>
  <c r="L22" i="29"/>
  <c r="M22" i="29" s="1"/>
  <c r="L21" i="29"/>
  <c r="M21" i="29" s="1"/>
  <c r="M20" i="29"/>
  <c r="L20" i="29"/>
  <c r="F19" i="29"/>
  <c r="L19" i="29" s="1"/>
  <c r="M19" i="29" s="1"/>
  <c r="M18" i="29"/>
  <c r="L18" i="29"/>
  <c r="L17" i="29"/>
  <c r="M17" i="29" s="1"/>
  <c r="I16" i="29"/>
  <c r="F14" i="29"/>
  <c r="L14" i="29" s="1"/>
  <c r="M14" i="29" s="1"/>
  <c r="F13" i="29"/>
  <c r="L11" i="29"/>
  <c r="F10" i="29"/>
  <c r="L10" i="29" s="1"/>
  <c r="M10" i="29" s="1"/>
  <c r="L9" i="29"/>
  <c r="F8" i="29"/>
  <c r="L8" i="29" s="1"/>
  <c r="M8" i="29" s="1"/>
  <c r="F7" i="29"/>
  <c r="L7" i="29" s="1"/>
  <c r="M7" i="29" s="1"/>
  <c r="L52" i="28"/>
  <c r="F12" i="29" l="1"/>
  <c r="L12" i="29"/>
  <c r="M12" i="29" s="1"/>
  <c r="L13" i="29"/>
  <c r="M13" i="29" s="1"/>
  <c r="I54" i="28" l="1"/>
  <c r="N30" i="19" l="1"/>
  <c r="N29" i="19"/>
  <c r="I267" i="4" l="1"/>
  <c r="F266" i="4"/>
  <c r="E133" i="23"/>
  <c r="I31" i="28" l="1"/>
  <c r="P17" i="28"/>
  <c r="P16" i="28" s="1"/>
  <c r="P18" i="28" l="1"/>
  <c r="I21" i="28" l="1"/>
  <c r="I73" i="28"/>
  <c r="I72" i="28"/>
  <c r="I71" i="28"/>
  <c r="I70" i="28"/>
  <c r="I69" i="28"/>
  <c r="I68" i="28"/>
  <c r="I67" i="28"/>
  <c r="I66" i="28"/>
  <c r="L266" i="4"/>
  <c r="H122" i="28" l="1"/>
  <c r="I126" i="28" s="1"/>
  <c r="I118" i="28"/>
  <c r="I115" i="28"/>
  <c r="I113" i="28"/>
  <c r="I63" i="28"/>
  <c r="I46" i="28"/>
  <c r="I10" i="28"/>
  <c r="L20" i="26" l="1"/>
  <c r="I344" i="4"/>
  <c r="I315" i="4"/>
  <c r="N62" i="15"/>
  <c r="X62" i="15"/>
  <c r="X63" i="15"/>
  <c r="X64" i="15" s="1"/>
  <c r="L59" i="15"/>
  <c r="L56" i="15"/>
  <c r="L53" i="15"/>
  <c r="L50" i="15"/>
  <c r="L47" i="15"/>
  <c r="N47" i="15"/>
  <c r="G146" i="27"/>
  <c r="G130" i="27"/>
  <c r="G164" i="27" l="1"/>
  <c r="G158" i="27"/>
  <c r="G152" i="27"/>
  <c r="G151" i="27"/>
  <c r="G147" i="27"/>
  <c r="G131" i="27"/>
  <c r="G68" i="27"/>
  <c r="G69" i="27" s="1"/>
  <c r="N59" i="15" l="1"/>
  <c r="O59" i="15" s="1"/>
  <c r="W59" i="15" s="1"/>
  <c r="N56" i="15"/>
  <c r="O56" i="15" s="1"/>
  <c r="W56" i="15" s="1"/>
  <c r="N53" i="15"/>
  <c r="O53" i="15" s="1"/>
  <c r="W53" i="15" s="1"/>
  <c r="N50" i="15"/>
  <c r="O50" i="15" s="1"/>
  <c r="W50" i="15" s="1"/>
  <c r="O47" i="15"/>
  <c r="W47" i="15" s="1"/>
  <c r="O62" i="15"/>
  <c r="N44" i="15"/>
  <c r="O44" i="15" l="1"/>
  <c r="W44" i="15" s="1"/>
  <c r="W62" i="15"/>
  <c r="K39" i="19"/>
  <c r="E10" i="25" s="1"/>
  <c r="E12" i="25"/>
  <c r="G50" i="19"/>
  <c r="G39" i="19"/>
  <c r="O39" i="19"/>
  <c r="I71" i="26"/>
  <c r="I70" i="26"/>
  <c r="I69" i="26"/>
  <c r="I68" i="26"/>
  <c r="C66" i="26"/>
  <c r="B66" i="26"/>
  <c r="I64" i="26"/>
  <c r="F63" i="26"/>
  <c r="I63" i="26" s="1"/>
  <c r="F62" i="26"/>
  <c r="I62" i="26" s="1"/>
  <c r="F61" i="26"/>
  <c r="I61" i="26" s="1"/>
  <c r="F60" i="26"/>
  <c r="I60" i="26" s="1"/>
  <c r="F59" i="26"/>
  <c r="I59" i="26" s="1"/>
  <c r="F58" i="26"/>
  <c r="I58" i="26" s="1"/>
  <c r="F57" i="26"/>
  <c r="I57" i="26" s="1"/>
  <c r="F56" i="26"/>
  <c r="I56" i="26" s="1"/>
  <c r="F55" i="26"/>
  <c r="I55" i="26" s="1"/>
  <c r="F54" i="26"/>
  <c r="I54" i="26" s="1"/>
  <c r="F53" i="26"/>
  <c r="I53" i="26" s="1"/>
  <c r="F52" i="26"/>
  <c r="I52" i="26" s="1"/>
  <c r="F51" i="26"/>
  <c r="I51" i="26" s="1"/>
  <c r="F50" i="26"/>
  <c r="I50" i="26" s="1"/>
  <c r="F49" i="26"/>
  <c r="I49" i="26" s="1"/>
  <c r="F48" i="26"/>
  <c r="I48" i="26" s="1"/>
  <c r="F47" i="26"/>
  <c r="I47" i="26" s="1"/>
  <c r="F46" i="26"/>
  <c r="I46" i="26" s="1"/>
  <c r="F45" i="26"/>
  <c r="I45" i="26" s="1"/>
  <c r="F44" i="26"/>
  <c r="I44" i="26" s="1"/>
  <c r="I43" i="26"/>
  <c r="F43" i="26"/>
  <c r="F42" i="26"/>
  <c r="I42" i="26" s="1"/>
  <c r="F41" i="26"/>
  <c r="I41" i="26" s="1"/>
  <c r="F40" i="26"/>
  <c r="I40" i="26" s="1"/>
  <c r="F39" i="26"/>
  <c r="I39" i="26" s="1"/>
  <c r="I38" i="26"/>
  <c r="F35" i="26"/>
  <c r="I35" i="26" s="1"/>
  <c r="F26" i="26"/>
  <c r="I26" i="26" s="1"/>
  <c r="I29" i="26" s="1"/>
  <c r="J44" i="19" s="1"/>
  <c r="F19" i="26"/>
  <c r="I19" i="26" s="1"/>
  <c r="F18" i="26"/>
  <c r="I18" i="26" s="1"/>
  <c r="F17" i="26"/>
  <c r="I17" i="26" s="1"/>
  <c r="F14" i="26"/>
  <c r="I14" i="26" s="1"/>
  <c r="F12" i="26"/>
  <c r="I12" i="26" s="1"/>
  <c r="F10" i="26"/>
  <c r="I10" i="26" s="1"/>
  <c r="F9" i="26"/>
  <c r="I9" i="26" s="1"/>
  <c r="G48" i="19"/>
  <c r="G46" i="19"/>
  <c r="G44" i="19"/>
  <c r="G42" i="19"/>
  <c r="I20" i="26" l="1"/>
  <c r="I44" i="19"/>
  <c r="L44" i="19" s="1"/>
  <c r="M44" i="19"/>
  <c r="I72" i="26"/>
  <c r="J42" i="19" s="1"/>
  <c r="E14" i="25"/>
  <c r="I65" i="26"/>
  <c r="J48" i="19" s="1"/>
  <c r="J46" i="19"/>
  <c r="M46" i="19" l="1"/>
  <c r="I46" i="19"/>
  <c r="L46" i="19" s="1"/>
  <c r="M48" i="19"/>
  <c r="I48" i="19"/>
  <c r="L48" i="19" s="1"/>
  <c r="M42" i="19"/>
  <c r="M50" i="19" s="1"/>
  <c r="G12" i="25" s="1"/>
  <c r="F12" i="25" s="1"/>
  <c r="I42" i="19"/>
  <c r="L42" i="19" s="1"/>
  <c r="L50" i="19" s="1"/>
  <c r="O40" i="19"/>
  <c r="F68" i="4" l="1"/>
  <c r="I68" i="4" s="1"/>
  <c r="I129" i="4"/>
  <c r="I95" i="4"/>
  <c r="K307" i="4"/>
  <c r="K306" i="4"/>
  <c r="I307" i="4"/>
  <c r="I306" i="4"/>
  <c r="I305" i="4"/>
  <c r="G89" i="23"/>
  <c r="G109" i="23"/>
  <c r="G121" i="23"/>
  <c r="G132" i="23"/>
  <c r="L131" i="23"/>
  <c r="L130" i="23"/>
  <c r="H130" i="23"/>
  <c r="K29" i="23"/>
  <c r="F224" i="4"/>
  <c r="I224" i="4" s="1"/>
  <c r="I223" i="4"/>
  <c r="I222" i="4"/>
  <c r="D10" i="25"/>
  <c r="D14" i="25" s="1"/>
  <c r="K305" i="4" l="1"/>
  <c r="D15" i="25"/>
  <c r="D16" i="25" s="1"/>
  <c r="F265" i="4" l="1"/>
  <c r="I265" i="4" s="1"/>
  <c r="F264" i="4"/>
  <c r="I264" i="4" s="1"/>
  <c r="F263" i="4"/>
  <c r="I263" i="4" s="1"/>
  <c r="F262" i="4"/>
  <c r="I262" i="4" s="1"/>
  <c r="F261" i="4"/>
  <c r="I261" i="4" s="1"/>
  <c r="F388" i="4"/>
  <c r="I388" i="4" s="1"/>
  <c r="F387" i="4"/>
  <c r="I387" i="4" s="1"/>
  <c r="F304" i="4"/>
  <c r="I304" i="4" s="1"/>
  <c r="H34" i="15" l="1"/>
  <c r="E7" i="13"/>
  <c r="G133" i="23"/>
  <c r="G41" i="23"/>
  <c r="G62" i="23"/>
  <c r="G74" i="23"/>
  <c r="F133" i="23"/>
  <c r="E132" i="23"/>
  <c r="F132" i="23"/>
  <c r="H122" i="23"/>
  <c r="H128" i="23"/>
  <c r="H129" i="23"/>
  <c r="H127" i="23"/>
  <c r="H126" i="23"/>
  <c r="H125" i="23"/>
  <c r="H124" i="23"/>
  <c r="H123" i="23"/>
  <c r="F121" i="23"/>
  <c r="E121" i="23"/>
  <c r="H120" i="23"/>
  <c r="H119" i="23"/>
  <c r="H118" i="23"/>
  <c r="H117" i="23"/>
  <c r="H116" i="23"/>
  <c r="H115" i="23"/>
  <c r="H114" i="23"/>
  <c r="H113" i="23"/>
  <c r="H112" i="23"/>
  <c r="H111" i="23"/>
  <c r="H110" i="23"/>
  <c r="H121" i="23" s="1"/>
  <c r="F109" i="23"/>
  <c r="E109" i="23"/>
  <c r="H108" i="23"/>
  <c r="H107" i="23"/>
  <c r="H106" i="23"/>
  <c r="H105" i="23"/>
  <c r="H104" i="23"/>
  <c r="H103" i="23"/>
  <c r="H102" i="23"/>
  <c r="H101" i="23"/>
  <c r="H100" i="23"/>
  <c r="H99" i="23"/>
  <c r="H98" i="23"/>
  <c r="H97" i="23"/>
  <c r="H96" i="23"/>
  <c r="H95" i="23"/>
  <c r="H94" i="23"/>
  <c r="H93" i="23"/>
  <c r="H92" i="23"/>
  <c r="H91" i="23"/>
  <c r="H109" i="23" s="1"/>
  <c r="H90" i="23"/>
  <c r="F89" i="23"/>
  <c r="H89" i="23"/>
  <c r="E89" i="23"/>
  <c r="H132" i="23" l="1"/>
  <c r="G7" i="13" l="1"/>
  <c r="P65" i="15"/>
  <c r="Q65" i="15"/>
  <c r="R65" i="15"/>
  <c r="S65" i="15"/>
  <c r="T65" i="15"/>
  <c r="U65" i="15"/>
  <c r="V65" i="15"/>
  <c r="F38" i="15"/>
  <c r="F34" i="15"/>
  <c r="F32" i="15"/>
  <c r="F27" i="15"/>
  <c r="F29" i="15"/>
  <c r="F382" i="4" l="1"/>
  <c r="J127" i="4"/>
  <c r="F354" i="4"/>
  <c r="F193" i="4"/>
  <c r="O15" i="19"/>
  <c r="O18" i="19"/>
  <c r="O19" i="19"/>
  <c r="O20" i="19"/>
  <c r="O21" i="19"/>
  <c r="O22" i="19"/>
  <c r="O23" i="19"/>
  <c r="O25" i="19"/>
  <c r="O28" i="19"/>
  <c r="O34" i="19"/>
  <c r="F302" i="4"/>
  <c r="I302" i="4" s="1"/>
  <c r="F93" i="4"/>
  <c r="I93" i="4" s="1"/>
  <c r="F259" i="4"/>
  <c r="I259" i="4" s="1"/>
  <c r="F66" i="4"/>
  <c r="I66" i="4" s="1"/>
  <c r="F65" i="4"/>
  <c r="I65" i="4" s="1"/>
  <c r="F64" i="4"/>
  <c r="I64" i="4" s="1"/>
  <c r="F63" i="4"/>
  <c r="I63" i="4" s="1"/>
  <c r="I60" i="7" l="1"/>
  <c r="I50" i="7"/>
  <c r="I63" i="7"/>
  <c r="I64" i="7"/>
  <c r="I65" i="7"/>
  <c r="F86" i="12"/>
  <c r="F87" i="12" s="1"/>
  <c r="E86" i="12"/>
  <c r="E87" i="12" s="1"/>
  <c r="F88" i="12" l="1"/>
  <c r="K80" i="12" l="1"/>
  <c r="K81" i="12" s="1"/>
  <c r="J80" i="12"/>
  <c r="J81" i="12" s="1"/>
  <c r="F74" i="12"/>
  <c r="F75" i="12" s="1"/>
  <c r="E74" i="12"/>
  <c r="E75" i="12" s="1"/>
  <c r="F215" i="4"/>
  <c r="I215" i="4" s="1"/>
  <c r="K82" i="12" l="1"/>
  <c r="F76" i="12"/>
  <c r="F220" i="4" l="1"/>
  <c r="I220" i="4" s="1"/>
  <c r="F219" i="4"/>
  <c r="I219" i="4" s="1"/>
  <c r="N66" i="14"/>
  <c r="M213" i="4"/>
  <c r="C12" i="24"/>
  <c r="C13" i="24" s="1"/>
  <c r="C14" i="24" l="1"/>
  <c r="I63" i="14" l="1"/>
  <c r="F218" i="4"/>
  <c r="I218" i="4" s="1"/>
  <c r="F195" i="4"/>
  <c r="I195" i="4" s="1"/>
  <c r="I105" i="7"/>
  <c r="J71" i="23"/>
  <c r="J70" i="23"/>
  <c r="F409" i="4" l="1"/>
  <c r="I409" i="4" s="1"/>
  <c r="F408" i="4"/>
  <c r="I408" i="4" s="1"/>
  <c r="F407" i="4"/>
  <c r="I407" i="4" s="1"/>
  <c r="F258" i="4" l="1"/>
  <c r="I258" i="4" s="1"/>
  <c r="N39" i="15"/>
  <c r="L39" i="15"/>
  <c r="N37" i="15"/>
  <c r="L37" i="15"/>
  <c r="F92" i="4"/>
  <c r="I92" i="4" s="1"/>
  <c r="I217" i="4"/>
  <c r="I216" i="4"/>
  <c r="F214" i="4"/>
  <c r="I214" i="4" s="1"/>
  <c r="F127" i="4"/>
  <c r="I127" i="4" s="1"/>
  <c r="F296" i="4"/>
  <c r="F297" i="4"/>
  <c r="F298" i="4"/>
  <c r="F299" i="4"/>
  <c r="F300" i="4"/>
  <c r="F91" i="4"/>
  <c r="I91" i="4" s="1"/>
  <c r="F126" i="4"/>
  <c r="I126" i="4" s="1"/>
  <c r="F125" i="4"/>
  <c r="F90" i="4"/>
  <c r="I90" i="4" s="1"/>
  <c r="O39" i="15" l="1"/>
  <c r="W39" i="15" s="1"/>
  <c r="O37" i="15"/>
  <c r="W37" i="15" s="1"/>
  <c r="G126" i="11"/>
  <c r="G141" i="11"/>
  <c r="G68" i="11"/>
  <c r="F89" i="4" l="1"/>
  <c r="I89" i="4" s="1"/>
  <c r="F124" i="4"/>
  <c r="I124" i="4" s="1"/>
  <c r="F123" i="4"/>
  <c r="I123" i="4" s="1"/>
  <c r="F88" i="4"/>
  <c r="I88" i="4" s="1"/>
  <c r="F86" i="4"/>
  <c r="I86" i="4" s="1"/>
  <c r="F87" i="4"/>
  <c r="I87" i="4" s="1"/>
  <c r="F256" i="4"/>
  <c r="I256" i="4" s="1"/>
  <c r="F257" i="4"/>
  <c r="I257" i="4" s="1"/>
  <c r="F19" i="14"/>
  <c r="I19" i="14" s="1"/>
  <c r="F18" i="14"/>
  <c r="I18" i="14" s="1"/>
  <c r="F17" i="14"/>
  <c r="I17" i="14" s="1"/>
  <c r="F14" i="14"/>
  <c r="F12" i="14"/>
  <c r="F240" i="4" l="1"/>
  <c r="I240" i="4" s="1"/>
  <c r="F239" i="4"/>
  <c r="I239" i="4" s="1"/>
  <c r="F238" i="4"/>
  <c r="I238" i="4" s="1"/>
  <c r="O50" i="19"/>
  <c r="N33" i="15"/>
  <c r="L33" i="15"/>
  <c r="N31" i="15"/>
  <c r="L31" i="15"/>
  <c r="N28" i="15"/>
  <c r="L28" i="15"/>
  <c r="N26" i="15"/>
  <c r="L26" i="15"/>
  <c r="H23" i="15"/>
  <c r="N22" i="15" s="1"/>
  <c r="F21" i="15"/>
  <c r="L22" i="15" s="1"/>
  <c r="L20" i="15"/>
  <c r="N20" i="15" l="1"/>
  <c r="O33" i="15"/>
  <c r="W33" i="15" s="1"/>
  <c r="O31" i="15"/>
  <c r="W31" i="15" s="1"/>
  <c r="O26" i="15"/>
  <c r="W26" i="15" s="1"/>
  <c r="O28" i="15"/>
  <c r="W28" i="15" s="1"/>
  <c r="O20" i="15"/>
  <c r="W20" i="15" s="1"/>
  <c r="O22" i="15"/>
  <c r="W22" i="15" s="1"/>
  <c r="F194" i="4"/>
  <c r="I194" i="4" s="1"/>
  <c r="I193" i="4"/>
  <c r="I354" i="4"/>
  <c r="F62" i="14"/>
  <c r="I62" i="14" s="1"/>
  <c r="F61" i="14"/>
  <c r="I61" i="14" s="1"/>
  <c r="F60" i="14"/>
  <c r="I60" i="14" s="1"/>
  <c r="F59" i="14"/>
  <c r="I59" i="14" s="1"/>
  <c r="F58" i="14"/>
  <c r="I58" i="14" s="1"/>
  <c r="F57" i="14"/>
  <c r="I57" i="14" s="1"/>
  <c r="F56" i="14"/>
  <c r="I56" i="14" s="1"/>
  <c r="F55" i="14"/>
  <c r="I55" i="14" s="1"/>
  <c r="F54" i="14"/>
  <c r="I54" i="14" s="1"/>
  <c r="F53" i="14"/>
  <c r="I53" i="14" s="1"/>
  <c r="F52" i="14"/>
  <c r="I52" i="14" s="1"/>
  <c r="F51" i="14"/>
  <c r="I51" i="14" s="1"/>
  <c r="F50" i="14"/>
  <c r="I50" i="14" s="1"/>
  <c r="F49" i="14"/>
  <c r="I49" i="14" s="1"/>
  <c r="F48" i="14"/>
  <c r="I48" i="14" s="1"/>
  <c r="F47" i="14"/>
  <c r="I47" i="14" s="1"/>
  <c r="F46" i="14"/>
  <c r="I46" i="14" s="1"/>
  <c r="F45" i="14"/>
  <c r="I45" i="14" s="1"/>
  <c r="F44" i="14"/>
  <c r="I44" i="14" s="1"/>
  <c r="F43" i="14"/>
  <c r="I43" i="14" s="1"/>
  <c r="F42" i="14"/>
  <c r="I42" i="14" s="1"/>
  <c r="F41" i="14"/>
  <c r="I41" i="14" s="1"/>
  <c r="F40" i="14"/>
  <c r="I40" i="14" s="1"/>
  <c r="F39" i="14"/>
  <c r="I39" i="14" s="1"/>
  <c r="F38" i="14"/>
  <c r="I38" i="14" s="1"/>
  <c r="I37" i="14"/>
  <c r="I14" i="14"/>
  <c r="J399" i="4"/>
  <c r="I399" i="4"/>
  <c r="I398" i="4"/>
  <c r="I397" i="4"/>
  <c r="F385" i="4"/>
  <c r="I385" i="4" s="1"/>
  <c r="F384" i="4"/>
  <c r="I384" i="4" s="1"/>
  <c r="F383" i="4"/>
  <c r="I383" i="4" s="1"/>
  <c r="I382" i="4"/>
  <c r="F381" i="4"/>
  <c r="I381" i="4" s="1"/>
  <c r="F380" i="4"/>
  <c r="I380" i="4" s="1"/>
  <c r="F379" i="4"/>
  <c r="I379" i="4" s="1"/>
  <c r="F378" i="4"/>
  <c r="I378" i="4" s="1"/>
  <c r="F377" i="4"/>
  <c r="I377" i="4" s="1"/>
  <c r="F376" i="4"/>
  <c r="I376" i="4" s="1"/>
  <c r="F375" i="4"/>
  <c r="I375" i="4" s="1"/>
  <c r="F374" i="4"/>
  <c r="I374" i="4" s="1"/>
  <c r="F373" i="4"/>
  <c r="I373" i="4" s="1"/>
  <c r="F372" i="4"/>
  <c r="I372" i="4" s="1"/>
  <c r="F371" i="4"/>
  <c r="I371" i="4" s="1"/>
  <c r="F370" i="4"/>
  <c r="I370" i="4" s="1"/>
  <c r="F369" i="4"/>
  <c r="I369" i="4" s="1"/>
  <c r="F368" i="4"/>
  <c r="I368" i="4" s="1"/>
  <c r="F367" i="4"/>
  <c r="I367" i="4" s="1"/>
  <c r="F366" i="4"/>
  <c r="I366" i="4" s="1"/>
  <c r="F365" i="4"/>
  <c r="I365" i="4" s="1"/>
  <c r="F364" i="4"/>
  <c r="I364" i="4" s="1"/>
  <c r="F363" i="4"/>
  <c r="I363" i="4" s="1"/>
  <c r="I362" i="4"/>
  <c r="F301" i="4"/>
  <c r="I301" i="4" s="1"/>
  <c r="I300" i="4"/>
  <c r="I299" i="4"/>
  <c r="I298" i="4"/>
  <c r="I297" i="4"/>
  <c r="I296" i="4"/>
  <c r="F295" i="4"/>
  <c r="I295" i="4" s="1"/>
  <c r="F294" i="4"/>
  <c r="I294" i="4" s="1"/>
  <c r="F293" i="4"/>
  <c r="I293" i="4" s="1"/>
  <c r="F292" i="4"/>
  <c r="I292" i="4" s="1"/>
  <c r="F291" i="4"/>
  <c r="I291" i="4" s="1"/>
  <c r="F290" i="4"/>
  <c r="I290" i="4" s="1"/>
  <c r="F289" i="4"/>
  <c r="I289" i="4" s="1"/>
  <c r="F288" i="4"/>
  <c r="I288" i="4" s="1"/>
  <c r="F287" i="4"/>
  <c r="I287" i="4" s="1"/>
  <c r="F286" i="4"/>
  <c r="I286" i="4" s="1"/>
  <c r="F285" i="4"/>
  <c r="I285" i="4" s="1"/>
  <c r="F284" i="4"/>
  <c r="I284" i="4" s="1"/>
  <c r="F283" i="4"/>
  <c r="I283" i="4" s="1"/>
  <c r="F282" i="4"/>
  <c r="I282" i="4" s="1"/>
  <c r="F281" i="4"/>
  <c r="I281" i="4" s="1"/>
  <c r="F280" i="4"/>
  <c r="I280" i="4" s="1"/>
  <c r="F279" i="4"/>
  <c r="I279" i="4" s="1"/>
  <c r="I278" i="4"/>
  <c r="P252" i="4"/>
  <c r="O252" i="4"/>
  <c r="F12" i="22"/>
  <c r="F14" i="22" l="1"/>
  <c r="E74" i="23" l="1"/>
  <c r="E62" i="23"/>
  <c r="E41" i="23"/>
  <c r="E19" i="23"/>
  <c r="E10" i="23"/>
  <c r="I60" i="4"/>
  <c r="G6" i="13" l="1"/>
  <c r="E275" i="4"/>
  <c r="I395" i="4" l="1"/>
  <c r="I394" i="4"/>
  <c r="F360" i="4"/>
  <c r="I360" i="4" s="1"/>
  <c r="F191" i="4" l="1"/>
  <c r="I191" i="4" s="1"/>
  <c r="B404" i="4"/>
  <c r="C404" i="4"/>
  <c r="I405" i="4"/>
  <c r="I410" i="4" s="1"/>
  <c r="J12" i="19" l="1"/>
  <c r="O12" i="19" s="1"/>
  <c r="H114" i="7"/>
  <c r="I110" i="7"/>
  <c r="I107" i="7"/>
  <c r="G159" i="11"/>
  <c r="G153" i="11"/>
  <c r="G142" i="11"/>
  <c r="G127" i="11"/>
  <c r="G69" i="11"/>
  <c r="I12" i="14"/>
  <c r="F10" i="14"/>
  <c r="I10" i="14" s="1"/>
  <c r="I118" i="7" l="1"/>
  <c r="I276" i="4"/>
  <c r="F275" i="4"/>
  <c r="H16" i="15"/>
  <c r="D4" i="22" l="1"/>
  <c r="I275" i="4"/>
  <c r="F16" i="15"/>
  <c r="L13" i="15" s="1"/>
  <c r="F14" i="15"/>
  <c r="N15" i="15"/>
  <c r="L15" i="15"/>
  <c r="N13" i="15"/>
  <c r="F43" i="12"/>
  <c r="F44" i="12" s="1"/>
  <c r="F211" i="4"/>
  <c r="F210" i="4"/>
  <c r="F209" i="4"/>
  <c r="F208" i="4"/>
  <c r="F207" i="4"/>
  <c r="F206" i="4"/>
  <c r="F205" i="4"/>
  <c r="F60" i="12"/>
  <c r="F61" i="12" s="1"/>
  <c r="E60" i="12"/>
  <c r="E61" i="12" s="1"/>
  <c r="K53" i="12"/>
  <c r="K54" i="12" s="1"/>
  <c r="J53" i="12"/>
  <c r="J54" i="12" s="1"/>
  <c r="K43" i="12"/>
  <c r="K44" i="12" s="1"/>
  <c r="J43" i="12"/>
  <c r="J44" i="12" s="1"/>
  <c r="E43" i="12"/>
  <c r="E44" i="12" s="1"/>
  <c r="F236" i="4"/>
  <c r="I236" i="4" s="1"/>
  <c r="F61" i="4"/>
  <c r="I61" i="4" s="1"/>
  <c r="F59" i="4"/>
  <c r="I59" i="4" s="1"/>
  <c r="F58" i="4"/>
  <c r="I58" i="4" s="1"/>
  <c r="F45" i="12" l="1"/>
  <c r="H206" i="4" s="1"/>
  <c r="I206" i="4" s="1"/>
  <c r="O13" i="15"/>
  <c r="W13" i="15" s="1"/>
  <c r="O15" i="15"/>
  <c r="W15" i="15" s="1"/>
  <c r="K55" i="12"/>
  <c r="K45" i="12"/>
  <c r="F62" i="12"/>
  <c r="H212" i="4" s="1"/>
  <c r="I212" i="4" s="1"/>
  <c r="B391" i="4"/>
  <c r="C391" i="4"/>
  <c r="I393" i="4"/>
  <c r="I400" i="4" s="1"/>
  <c r="I359" i="4"/>
  <c r="I389" i="4" s="1"/>
  <c r="D357" i="4"/>
  <c r="B357" i="4"/>
  <c r="C357" i="4"/>
  <c r="F253" i="4"/>
  <c r="I253" i="4" s="1"/>
  <c r="K253" i="4" s="1"/>
  <c r="F254" i="4"/>
  <c r="I254" i="4" s="1"/>
  <c r="K254" i="4" s="1"/>
  <c r="F252" i="4"/>
  <c r="I252" i="4" s="1"/>
  <c r="K252" i="4" s="1"/>
  <c r="F189" i="4"/>
  <c r="I189" i="4" s="1"/>
  <c r="F188" i="4"/>
  <c r="I188" i="4" s="1"/>
  <c r="F187" i="4"/>
  <c r="I187" i="4" s="1"/>
  <c r="F186" i="4"/>
  <c r="I186" i="4" s="1"/>
  <c r="F185" i="4"/>
  <c r="I185" i="4" s="1"/>
  <c r="F184" i="4"/>
  <c r="I184" i="4" s="1"/>
  <c r="F182" i="4"/>
  <c r="I182" i="4" s="1"/>
  <c r="J181" i="4"/>
  <c r="F181" i="4" s="1"/>
  <c r="I181" i="4" s="1"/>
  <c r="F121" i="4"/>
  <c r="I121" i="4" s="1"/>
  <c r="F120" i="4"/>
  <c r="I120" i="4" s="1"/>
  <c r="F119" i="4"/>
  <c r="I119" i="4" s="1"/>
  <c r="F118" i="4"/>
  <c r="I118" i="4" s="1"/>
  <c r="F117" i="4"/>
  <c r="I117" i="4" s="1"/>
  <c r="F116" i="4"/>
  <c r="I116" i="4" s="1"/>
  <c r="F84" i="4"/>
  <c r="I84" i="4" s="1"/>
  <c r="J83" i="4"/>
  <c r="F83" i="4" s="1"/>
  <c r="I83" i="4" s="1"/>
  <c r="I352" i="4"/>
  <c r="I355" i="4" s="1"/>
  <c r="J14" i="19" s="1"/>
  <c r="O14" i="19" s="1"/>
  <c r="B350" i="4"/>
  <c r="C350" i="4"/>
  <c r="F178" i="4"/>
  <c r="I178" i="4" s="1"/>
  <c r="F177" i="4"/>
  <c r="I177" i="4" s="1"/>
  <c r="F71" i="14"/>
  <c r="I71" i="14" s="1"/>
  <c r="L71" i="14" s="1"/>
  <c r="F70" i="14"/>
  <c r="I70" i="14" s="1"/>
  <c r="L70" i="14" s="1"/>
  <c r="F69" i="14"/>
  <c r="I69" i="14" s="1"/>
  <c r="K69" i="14" s="1"/>
  <c r="F68" i="14"/>
  <c r="I68" i="14" s="1"/>
  <c r="K68" i="14" s="1"/>
  <c r="G5" i="13"/>
  <c r="G15" i="13"/>
  <c r="G18" i="13" s="1"/>
  <c r="B7" i="4"/>
  <c r="B8" i="4"/>
  <c r="B3" i="4"/>
  <c r="B4" i="4"/>
  <c r="B5" i="4"/>
  <c r="B6" i="4"/>
  <c r="B2" i="4"/>
  <c r="C334" i="4"/>
  <c r="B334" i="4"/>
  <c r="C325" i="4"/>
  <c r="B325" i="4"/>
  <c r="C318" i="4"/>
  <c r="B318" i="4"/>
  <c r="C310" i="4"/>
  <c r="B310" i="4"/>
  <c r="C271" i="4"/>
  <c r="B271" i="4"/>
  <c r="C245" i="4"/>
  <c r="B245" i="4"/>
  <c r="C227" i="4"/>
  <c r="B227" i="4"/>
  <c r="C199" i="4"/>
  <c r="B199" i="4"/>
  <c r="C133" i="4"/>
  <c r="B133" i="4"/>
  <c r="C98" i="4"/>
  <c r="B98" i="4"/>
  <c r="C71" i="4"/>
  <c r="B71" i="4"/>
  <c r="C12" i="4"/>
  <c r="B12" i="4"/>
  <c r="K38" i="19"/>
  <c r="G38" i="19"/>
  <c r="K37" i="19"/>
  <c r="G37" i="19"/>
  <c r="K36" i="19"/>
  <c r="G36" i="19"/>
  <c r="K35" i="19"/>
  <c r="G35" i="19"/>
  <c r="M34" i="19"/>
  <c r="K34" i="19"/>
  <c r="I34" i="19"/>
  <c r="L34" i="19" s="1"/>
  <c r="G34" i="19"/>
  <c r="K33" i="19"/>
  <c r="G33" i="19"/>
  <c r="K32" i="19"/>
  <c r="G32" i="19"/>
  <c r="K31" i="19"/>
  <c r="G31" i="19"/>
  <c r="K30" i="19"/>
  <c r="G30" i="19"/>
  <c r="K29" i="19"/>
  <c r="G29" i="19"/>
  <c r="K27" i="19"/>
  <c r="G27" i="19"/>
  <c r="K26" i="19"/>
  <c r="G26" i="19"/>
  <c r="M25" i="19"/>
  <c r="K25" i="19"/>
  <c r="I25" i="19"/>
  <c r="L25" i="19" s="1"/>
  <c r="G25" i="19"/>
  <c r="K24" i="19"/>
  <c r="G24" i="19"/>
  <c r="M23" i="19"/>
  <c r="K23" i="19"/>
  <c r="I23" i="19"/>
  <c r="L23" i="19" s="1"/>
  <c r="G23" i="19"/>
  <c r="M22" i="19"/>
  <c r="K22" i="19"/>
  <c r="I22" i="19"/>
  <c r="L22" i="19" s="1"/>
  <c r="G22" i="19"/>
  <c r="M21" i="19"/>
  <c r="K21" i="19"/>
  <c r="I21" i="19"/>
  <c r="L21" i="19" s="1"/>
  <c r="G21" i="19"/>
  <c r="M20" i="19"/>
  <c r="K20" i="19"/>
  <c r="I20" i="19"/>
  <c r="L20" i="19" s="1"/>
  <c r="G20" i="19"/>
  <c r="M19" i="19"/>
  <c r="K19" i="19"/>
  <c r="I19" i="19"/>
  <c r="L19" i="19" s="1"/>
  <c r="G19" i="19"/>
  <c r="M18" i="19"/>
  <c r="K18" i="19"/>
  <c r="I18" i="19"/>
  <c r="L18" i="19" s="1"/>
  <c r="G18" i="19"/>
  <c r="K17" i="19"/>
  <c r="G17" i="19"/>
  <c r="K16" i="19"/>
  <c r="G16" i="19"/>
  <c r="M15" i="19"/>
  <c r="K15" i="19"/>
  <c r="I15" i="19"/>
  <c r="L15" i="19" s="1"/>
  <c r="G15" i="19"/>
  <c r="K14" i="19"/>
  <c r="G14" i="19"/>
  <c r="K13" i="19"/>
  <c r="G13" i="19"/>
  <c r="M12" i="19"/>
  <c r="K12" i="19"/>
  <c r="I12" i="19"/>
  <c r="L12" i="19" s="1"/>
  <c r="G12" i="19"/>
  <c r="B7" i="19"/>
  <c r="C8" i="4" s="1"/>
  <c r="B6" i="19"/>
  <c r="C7" i="4" s="1"/>
  <c r="B5" i="19"/>
  <c r="C6" i="4" s="1"/>
  <c r="B4" i="19"/>
  <c r="C5" i="4" s="1"/>
  <c r="B3" i="19"/>
  <c r="C4" i="4" s="1"/>
  <c r="B2" i="19"/>
  <c r="C3" i="4" s="1"/>
  <c r="B1" i="19"/>
  <c r="C2" i="4" s="1"/>
  <c r="A24" i="17"/>
  <c r="A25" i="17" s="1"/>
  <c r="A26" i="17" s="1"/>
  <c r="A27" i="17" s="1"/>
  <c r="A28" i="17" s="1"/>
  <c r="A16" i="17"/>
  <c r="A17" i="17" s="1"/>
  <c r="A18" i="17" s="1"/>
  <c r="A19" i="17" s="1"/>
  <c r="A20" i="17" s="1"/>
  <c r="A21" i="17" s="1"/>
  <c r="B7" i="17"/>
  <c r="A7" i="17"/>
  <c r="C3" i="17"/>
  <c r="B42" i="16"/>
  <c r="B39" i="16"/>
  <c r="C22" i="16"/>
  <c r="D10" i="21" l="1"/>
  <c r="D12" i="21" s="1"/>
  <c r="J26" i="19"/>
  <c r="O26" i="19" s="1"/>
  <c r="J27" i="19"/>
  <c r="O27" i="19" s="1"/>
  <c r="H210" i="4"/>
  <c r="I210" i="4" s="1"/>
  <c r="H211" i="4"/>
  <c r="I211" i="4" s="1"/>
  <c r="H209" i="4"/>
  <c r="I209" i="4" s="1"/>
  <c r="H207" i="4"/>
  <c r="I207" i="4" s="1"/>
  <c r="H208" i="4"/>
  <c r="I208" i="4" s="1"/>
  <c r="H205" i="4"/>
  <c r="I205" i="4" s="1"/>
  <c r="I72" i="14"/>
  <c r="I179" i="4"/>
  <c r="M14" i="19"/>
  <c r="I14" i="19"/>
  <c r="L14" i="19" s="1"/>
  <c r="D10" i="24" l="1"/>
  <c r="D12" i="24" s="1"/>
  <c r="D13" i="24" s="1"/>
  <c r="D14" i="24" s="1"/>
  <c r="I26" i="19"/>
  <c r="L26" i="19" s="1"/>
  <c r="M26" i="19"/>
  <c r="M27" i="19"/>
  <c r="I27" i="19"/>
  <c r="L27" i="19" s="1"/>
  <c r="D13" i="21"/>
  <c r="D14" i="21" s="1"/>
  <c r="E10" i="21"/>
  <c r="E12" i="21" s="1"/>
  <c r="H9" i="15"/>
  <c r="F9" i="15"/>
  <c r="L6" i="15" s="1"/>
  <c r="F7" i="15"/>
  <c r="L8" i="15" s="1"/>
  <c r="F234" i="4"/>
  <c r="I234" i="4" s="1"/>
  <c r="F40" i="4"/>
  <c r="I41" i="7"/>
  <c r="I20" i="7"/>
  <c r="E15" i="25" l="1"/>
  <c r="E16" i="25" s="1"/>
  <c r="N8" i="15"/>
  <c r="E13" i="21"/>
  <c r="E14" i="21" s="1"/>
  <c r="N6" i="15"/>
  <c r="I12" i="7"/>
  <c r="I26" i="7"/>
  <c r="I342" i="4" l="1"/>
  <c r="I341" i="4"/>
  <c r="I339" i="4"/>
  <c r="I337" i="4"/>
  <c r="I332" i="4"/>
  <c r="I330" i="4"/>
  <c r="I328" i="4"/>
  <c r="I323" i="4"/>
  <c r="I321" i="4"/>
  <c r="I313" i="4"/>
  <c r="I316" i="4" s="1"/>
  <c r="J33" i="19" s="1"/>
  <c r="O33" i="19" s="1"/>
  <c r="I346" i="4" l="1"/>
  <c r="M33" i="19"/>
  <c r="I33" i="19"/>
  <c r="L33" i="19" s="1"/>
  <c r="I333" i="4"/>
  <c r="J36" i="19" s="1"/>
  <c r="O36" i="19" s="1"/>
  <c r="I324" i="4"/>
  <c r="J35" i="19" s="1"/>
  <c r="O35" i="19" s="1"/>
  <c r="J37" i="19"/>
  <c r="O37" i="19" s="1"/>
  <c r="O8" i="15"/>
  <c r="W8" i="15" s="1"/>
  <c r="O6" i="15"/>
  <c r="O65" i="15" s="1"/>
  <c r="Q67" i="15"/>
  <c r="Q68" i="15" s="1"/>
  <c r="W6" i="15" l="1"/>
  <c r="W65" i="15" s="1"/>
  <c r="O67" i="15"/>
  <c r="O68" i="15" s="1"/>
  <c r="M36" i="19"/>
  <c r="I36" i="19"/>
  <c r="L36" i="19" s="1"/>
  <c r="I35" i="19"/>
  <c r="L35" i="19" s="1"/>
  <c r="M35" i="19"/>
  <c r="I37" i="19"/>
  <c r="L37" i="19" s="1"/>
  <c r="M37" i="19"/>
  <c r="P67" i="15"/>
  <c r="P68" i="15" l="1"/>
  <c r="W68" i="15" s="1"/>
  <c r="O70" i="15" s="1"/>
  <c r="W67" i="15"/>
  <c r="O69" i="15" s="1"/>
  <c r="J32" i="19" l="1"/>
  <c r="O32" i="19" s="1"/>
  <c r="F34" i="14"/>
  <c r="I34" i="14" s="1"/>
  <c r="I64" i="14" s="1"/>
  <c r="F273" i="4"/>
  <c r="I273" i="4" s="1"/>
  <c r="I308" i="4" s="1"/>
  <c r="F151" i="4"/>
  <c r="I151" i="4" s="1"/>
  <c r="F150" i="4"/>
  <c r="I150" i="4" s="1"/>
  <c r="F175" i="4"/>
  <c r="I175" i="4" s="1"/>
  <c r="F174" i="4"/>
  <c r="I174" i="4" s="1"/>
  <c r="F172" i="4"/>
  <c r="I172" i="4" s="1"/>
  <c r="F171" i="4"/>
  <c r="I171" i="4" s="1"/>
  <c r="F170" i="4"/>
  <c r="I170" i="4" s="1"/>
  <c r="F169" i="4"/>
  <c r="I169" i="4" s="1"/>
  <c r="F168" i="4"/>
  <c r="I168" i="4" s="1"/>
  <c r="F167" i="4"/>
  <c r="I167" i="4" s="1"/>
  <c r="F166" i="4"/>
  <c r="I166" i="4" s="1"/>
  <c r="F165" i="4"/>
  <c r="I165" i="4" s="1"/>
  <c r="F164" i="4"/>
  <c r="I164" i="4" s="1"/>
  <c r="F163" i="4"/>
  <c r="I163" i="4" s="1"/>
  <c r="F162" i="4"/>
  <c r="I162" i="4" s="1"/>
  <c r="F161" i="4"/>
  <c r="I161" i="4" s="1"/>
  <c r="F159" i="4"/>
  <c r="I159" i="4" s="1"/>
  <c r="F158" i="4"/>
  <c r="I158" i="4" s="1"/>
  <c r="F157" i="4"/>
  <c r="I157" i="4" s="1"/>
  <c r="F156" i="4"/>
  <c r="I156" i="4" s="1"/>
  <c r="F155" i="4"/>
  <c r="I155" i="4" s="1"/>
  <c r="F154" i="4"/>
  <c r="I154" i="4" s="1"/>
  <c r="F153" i="4"/>
  <c r="I153" i="4" s="1"/>
  <c r="F149" i="4"/>
  <c r="I149" i="4" s="1"/>
  <c r="F148" i="4"/>
  <c r="I148" i="4" s="1"/>
  <c r="F147" i="4"/>
  <c r="I147" i="4" s="1"/>
  <c r="F146" i="4"/>
  <c r="I146" i="4" s="1"/>
  <c r="F145" i="4"/>
  <c r="I145" i="4" s="1"/>
  <c r="F144" i="4"/>
  <c r="I144" i="4" s="1"/>
  <c r="F143" i="4"/>
  <c r="I143" i="4" s="1"/>
  <c r="M32" i="19" l="1"/>
  <c r="I32" i="19"/>
  <c r="L32" i="19" s="1"/>
  <c r="J38" i="19"/>
  <c r="O38" i="19" s="1"/>
  <c r="F233" i="4"/>
  <c r="I233" i="4" s="1"/>
  <c r="F232" i="4"/>
  <c r="I232" i="4" s="1"/>
  <c r="F231" i="4"/>
  <c r="I231" i="4" s="1"/>
  <c r="F56" i="4"/>
  <c r="I56" i="4" s="1"/>
  <c r="F55" i="4"/>
  <c r="I55" i="4" s="1"/>
  <c r="F53" i="4"/>
  <c r="I53" i="4" s="1"/>
  <c r="F52" i="4"/>
  <c r="I52" i="4" s="1"/>
  <c r="F51" i="4"/>
  <c r="I51" i="4" s="1"/>
  <c r="F50" i="4"/>
  <c r="I50" i="4" s="1"/>
  <c r="F49" i="4"/>
  <c r="I49" i="4" s="1"/>
  <c r="F48" i="4"/>
  <c r="I48" i="4" s="1"/>
  <c r="F47" i="4"/>
  <c r="I47" i="4" s="1"/>
  <c r="F46" i="4"/>
  <c r="I46" i="4" s="1"/>
  <c r="F45" i="4"/>
  <c r="I45" i="4" s="1"/>
  <c r="F44" i="4"/>
  <c r="I44" i="4" s="1"/>
  <c r="F43" i="4"/>
  <c r="I43" i="4" s="1"/>
  <c r="F42" i="4"/>
  <c r="I42" i="4" s="1"/>
  <c r="I40" i="4"/>
  <c r="F39" i="4"/>
  <c r="I39" i="4" s="1"/>
  <c r="F38" i="4"/>
  <c r="I38" i="4" s="1"/>
  <c r="F37" i="4"/>
  <c r="I37" i="4" s="1"/>
  <c r="F36" i="4"/>
  <c r="I36" i="4" s="1"/>
  <c r="F35" i="4"/>
  <c r="I35" i="4" s="1"/>
  <c r="F34" i="4"/>
  <c r="I34" i="4" s="1"/>
  <c r="F78" i="4"/>
  <c r="I78" i="4" s="1"/>
  <c r="F79" i="4"/>
  <c r="I79" i="4" s="1"/>
  <c r="F81" i="4"/>
  <c r="I81" i="4" s="1"/>
  <c r="F80" i="4"/>
  <c r="I80" i="4" s="1"/>
  <c r="F104" i="4"/>
  <c r="I104" i="4" s="1"/>
  <c r="F103" i="4"/>
  <c r="I103" i="4" s="1"/>
  <c r="F31" i="4"/>
  <c r="I31" i="4" s="1"/>
  <c r="F30" i="4"/>
  <c r="I30" i="4" s="1"/>
  <c r="F29" i="4"/>
  <c r="I29" i="4" s="1"/>
  <c r="F28" i="4"/>
  <c r="I28" i="4" s="1"/>
  <c r="F27" i="4"/>
  <c r="I27" i="4" s="1"/>
  <c r="F26" i="4"/>
  <c r="I26" i="4" s="1"/>
  <c r="F25" i="4"/>
  <c r="I25" i="4" s="1"/>
  <c r="F24" i="4"/>
  <c r="I24" i="4" s="1"/>
  <c r="F23" i="4"/>
  <c r="I23" i="4" s="1"/>
  <c r="F22" i="4"/>
  <c r="I22" i="4" s="1"/>
  <c r="F250" i="4"/>
  <c r="I250" i="4" s="1"/>
  <c r="K250" i="4" s="1"/>
  <c r="F249" i="4"/>
  <c r="I249" i="4" s="1"/>
  <c r="K249" i="4" s="1"/>
  <c r="F248" i="4"/>
  <c r="I248" i="4" s="1"/>
  <c r="K248" i="4" s="1"/>
  <c r="F247" i="4"/>
  <c r="I247" i="4" s="1"/>
  <c r="I268" i="4" s="1"/>
  <c r="F26" i="14"/>
  <c r="I26" i="14" s="1"/>
  <c r="I28" i="14" s="1"/>
  <c r="F9" i="14"/>
  <c r="I9" i="14" s="1"/>
  <c r="I20" i="14" s="1"/>
  <c r="F114" i="4"/>
  <c r="I114" i="4" s="1"/>
  <c r="F113" i="4"/>
  <c r="I113" i="4" s="1"/>
  <c r="F112" i="4"/>
  <c r="I112" i="4" s="1"/>
  <c r="F111" i="4"/>
  <c r="I111" i="4" s="1"/>
  <c r="F110" i="4"/>
  <c r="I110" i="4" s="1"/>
  <c r="F109" i="4"/>
  <c r="I109" i="4" s="1"/>
  <c r="F108" i="4"/>
  <c r="I108" i="4" s="1"/>
  <c r="F107" i="4"/>
  <c r="I107" i="4" s="1"/>
  <c r="F106" i="4"/>
  <c r="I106" i="4" s="1"/>
  <c r="F105" i="4"/>
  <c r="I105" i="4" s="1"/>
  <c r="F75" i="4"/>
  <c r="I75" i="4" s="1"/>
  <c r="F76" i="4"/>
  <c r="I76" i="4" s="1"/>
  <c r="F77" i="4"/>
  <c r="I77" i="4" s="1"/>
  <c r="K247" i="4" l="1"/>
  <c r="K268" i="4" s="1"/>
  <c r="M38" i="19"/>
  <c r="I38" i="19"/>
  <c r="L38" i="19" s="1"/>
  <c r="E4" i="22" l="1"/>
  <c r="F4" i="22" s="1"/>
  <c r="H4" i="22" s="1"/>
  <c r="H6" i="22" s="1"/>
  <c r="J24" i="19"/>
  <c r="O24" i="19" s="1"/>
  <c r="G4" i="13"/>
  <c r="G9" i="13" s="1"/>
  <c r="I24" i="19" l="1"/>
  <c r="L24" i="19" s="1"/>
  <c r="M24" i="19"/>
  <c r="J18" i="12"/>
  <c r="K18" i="12"/>
  <c r="D24" i="12"/>
  <c r="D25" i="12" s="1"/>
  <c r="E24" i="12"/>
  <c r="E25" i="12" s="1"/>
  <c r="K19" i="12" l="1"/>
  <c r="E26" i="12"/>
  <c r="G146" i="11"/>
  <c r="G147" i="11" s="1"/>
  <c r="F141" i="4"/>
  <c r="I141" i="4" s="1"/>
  <c r="F140" i="4"/>
  <c r="I140" i="4" s="1"/>
  <c r="F139" i="4"/>
  <c r="I139" i="4" s="1"/>
  <c r="F138" i="4"/>
  <c r="I138" i="4" s="1"/>
  <c r="F73" i="4" l="1"/>
  <c r="I73" i="4" s="1"/>
  <c r="I96" i="4" s="1"/>
  <c r="J16" i="19" l="1"/>
  <c r="O16" i="19" s="1"/>
  <c r="M16" i="19" l="1"/>
  <c r="I16" i="19"/>
  <c r="L16" i="19" s="1"/>
  <c r="F202" i="4"/>
  <c r="I202" i="4" s="1"/>
  <c r="F203" i="4"/>
  <c r="I203" i="4" s="1"/>
  <c r="F135" i="4"/>
  <c r="F100" i="4" l="1"/>
  <c r="I100" i="4" s="1"/>
  <c r="F18" i="4" l="1"/>
  <c r="F16" i="4" l="1"/>
  <c r="I16" i="4" s="1"/>
  <c r="F137" i="4"/>
  <c r="I137" i="4" s="1"/>
  <c r="F136" i="4"/>
  <c r="I136" i="4" s="1"/>
  <c r="I135" i="4"/>
  <c r="F20" i="4"/>
  <c r="I20" i="4" s="1"/>
  <c r="F19" i="4"/>
  <c r="I19" i="4" s="1"/>
  <c r="I18" i="4"/>
  <c r="I196" i="4" l="1"/>
  <c r="K196" i="4" s="1"/>
  <c r="F229" i="4"/>
  <c r="I229" i="4" s="1"/>
  <c r="I241" i="4" s="1"/>
  <c r="F17" i="4"/>
  <c r="I17" i="4" s="1"/>
  <c r="F201" i="4"/>
  <c r="F15" i="4"/>
  <c r="I15" i="4" s="1"/>
  <c r="F101" i="4"/>
  <c r="I101" i="4" s="1"/>
  <c r="F14" i="4"/>
  <c r="I14" i="4" s="1"/>
  <c r="I69" i="4" s="1"/>
  <c r="J29" i="19" l="1"/>
  <c r="O29" i="19" s="1"/>
  <c r="J30" i="19"/>
  <c r="O30" i="19" s="1"/>
  <c r="J13" i="19"/>
  <c r="O13" i="19" s="1"/>
  <c r="I201" i="4"/>
  <c r="I225" i="4" s="1"/>
  <c r="I30" i="19" l="1"/>
  <c r="L30" i="19" s="1"/>
  <c r="M30" i="19"/>
  <c r="I13" i="19"/>
  <c r="L13" i="19" s="1"/>
  <c r="M13" i="19"/>
  <c r="I29" i="19"/>
  <c r="L29" i="19" s="1"/>
  <c r="M29" i="19"/>
  <c r="J31" i="19"/>
  <c r="O31" i="19" s="1"/>
  <c r="M31" i="19" l="1"/>
  <c r="I31" i="19"/>
  <c r="L31" i="19" s="1"/>
  <c r="I125" i="4" l="1"/>
  <c r="I130" i="4" s="1"/>
  <c r="J17" i="19" l="1"/>
  <c r="O17" i="19" s="1"/>
  <c r="I17" i="19" l="1"/>
  <c r="L17" i="19" s="1"/>
  <c r="L39" i="19" s="1"/>
  <c r="M17" i="19"/>
  <c r="M39" i="19" s="1"/>
  <c r="G10" i="25" s="1"/>
  <c r="G14" i="25" s="1"/>
  <c r="F10" i="21" l="1"/>
  <c r="F12" i="21" s="1"/>
  <c r="F13" i="21" s="1"/>
  <c r="F14" i="21" s="1"/>
  <c r="F10" i="24"/>
  <c r="E10" i="24" s="1"/>
  <c r="E12" i="24" s="1"/>
  <c r="E13" i="24" s="1"/>
  <c r="E14" i="24" s="1"/>
  <c r="G10" i="21"/>
  <c r="G12" i="21" s="1"/>
  <c r="G13" i="21" s="1"/>
  <c r="G14" i="21" s="1"/>
  <c r="F12" i="24" l="1"/>
  <c r="F13" i="24" s="1"/>
  <c r="F14" i="24" s="1"/>
  <c r="G15" i="25"/>
  <c r="G16" i="25" s="1"/>
  <c r="F10" i="25"/>
  <c r="F14" i="25" l="1"/>
  <c r="F15" i="25" s="1"/>
  <c r="F16" i="25" s="1"/>
</calcChain>
</file>

<file path=xl/sharedStrings.xml><?xml version="1.0" encoding="utf-8"?>
<sst xmlns="http://schemas.openxmlformats.org/spreadsheetml/2006/main" count="2960" uniqueCount="687">
  <si>
    <t>UNIT</t>
  </si>
  <si>
    <t>QTY</t>
  </si>
  <si>
    <t>REMARKS</t>
  </si>
  <si>
    <t>A</t>
  </si>
  <si>
    <t>B</t>
  </si>
  <si>
    <t>HARDSCAPE WORKS</t>
  </si>
  <si>
    <t>PREVIOUS</t>
  </si>
  <si>
    <t>CUMMULATIVE</t>
  </si>
  <si>
    <t>RA BILL-01</t>
  </si>
  <si>
    <t>SL No.</t>
  </si>
  <si>
    <t>DESCRIPTION</t>
  </si>
  <si>
    <t>BOQ AMOUNT</t>
  </si>
  <si>
    <t>CURRENT</t>
  </si>
  <si>
    <t>GST @ 18%</t>
  </si>
  <si>
    <t>GRAND TOTAL</t>
  </si>
  <si>
    <t>CONTRACTOR :  M/S PRAGATHI LANDSCAPERS LLP</t>
  </si>
  <si>
    <t>SUB - TOTAL</t>
  </si>
  <si>
    <t>NATURE OF WORK: HARDSCAPE WORKS</t>
  </si>
  <si>
    <t>PROJECT :SATTVA CITY</t>
  </si>
  <si>
    <t>CLIENT : SATTVA CITY PRIVATE LIMITED</t>
  </si>
  <si>
    <t>M2</t>
  </si>
  <si>
    <t>M3</t>
  </si>
  <si>
    <t>55009582
LAND_SUP/FIX_GRANITE COBBLE HARDSCAPE WORKS
Black flamed Granite Cobble Stone Providing &amp; laying of Black Granite Cobble stones of 100X100mm  over 50mm thick pcc bed to required shape, size and pattern .to required line, level, etc. all complete cost including of all materials at site, necessary earth compaction, all labour charges and other charges required to complete.
Location - Driveway paving band (75mm thick)</t>
  </si>
  <si>
    <t>55009582
LAND_SUP/FIX_GRANITE COBBLE
Same as above,  for paving band (40mm thick)- Pedestrian walkway</t>
  </si>
  <si>
    <t>M</t>
  </si>
  <si>
    <t>KG</t>
  </si>
  <si>
    <t>TOTAL</t>
  </si>
  <si>
    <t>SQM</t>
  </si>
  <si>
    <t>CUM</t>
  </si>
  <si>
    <t>Receiving &amp; fixing reinforcement for RCC work with high yield strength ribbed cold twisted for steel of various diameters of grade Fe-500 confirming to BIS specificationincluding cutting, bending, fabricating, &amp; placing in position according to drawings &amp; binding the reinforcement with the use of 18 guage MS binding wire of double fold &amp; providing precast cement cover blocks for main reinforecements to ensure specified cover according to relevant IS code. The measurements will be in accordance with the code IS: 1200. Note: Unless noted otherwise the measurements in accordance with IS: 1200 or equivalent BS codes. However reinforcement shall be measured only in lengths of bars as actually placed in position on standard weight basis, no allowance being made in the weight for rolling margin. Authorised laps and splices only will be measured. Chairs of any shape and profile, Spacer bar of any bshape &amp; profile, cover block, wastage &amp; binding wire will not be measured &amp; shall be included in the quote rates. Quoted rate shall be deemed to have considered the above stipulation.</t>
  </si>
  <si>
    <t>L</t>
  </si>
  <si>
    <t>D</t>
  </si>
  <si>
    <t>MEASUREMENT BACK UP</t>
  </si>
  <si>
    <t>SL.NO</t>
  </si>
  <si>
    <t>NOS</t>
  </si>
  <si>
    <t>AREA-01</t>
  </si>
  <si>
    <t>AREA-02</t>
  </si>
  <si>
    <t>AREA-03</t>
  </si>
  <si>
    <t>PARKING AREA</t>
  </si>
  <si>
    <t xml:space="preserve"> CHAMBER WORK (450*450* Depth up to 0.7mt)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</si>
  <si>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(600*600*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and including chamber cover fixing on the top etc., complete. (Note: chamber cover supply by sattva)</t>
  </si>
  <si>
    <t xml:space="preserve"> CHAMBER WORK (750*750*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</si>
  <si>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(300*300*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</si>
  <si>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Receiving and laying controlled Reinforced Cement Concrete of M30 grade at all levels and heights specified below using ordinary Portland cement of grade 43 from approved manufacturer, river sand, 20mm and down size coarse aggregates, necessary admixtures approved by Consultants (Conplast SP-430SRV from Fosroc or equivalent), including all leads and lifts, pumping using line pump or boom placer, vibrating/compaction, scaffolding wherever necessary, all lead and lifts, tools &amp; Plants, pumping the concrete to all levels, curing etc. complete but excluding cost of reinforcement and formwork, centering, shuttering. Depending on the size and location, the maximum depth of concreting will be decided by Engineer in casting at a time.</t>
  </si>
  <si>
    <t>DRIVEWAY FROM ROUND ABOUT TOWARD ENTRACE AREA</t>
  </si>
  <si>
    <t>PARKING AREA-PATHWAY</t>
  </si>
  <si>
    <t>RMT</t>
  </si>
  <si>
    <t>PLANTING AREA DEDUCTIONS</t>
  </si>
  <si>
    <t>AREA-2A</t>
  </si>
  <si>
    <t>AREA-3A</t>
  </si>
  <si>
    <t>PARKING AREA-PATHWAY KERB PLUGGING</t>
  </si>
  <si>
    <t>AREA-1A</t>
  </si>
  <si>
    <t>AREA-1B</t>
  </si>
  <si>
    <t>NEAR PARKING AREA</t>
  </si>
  <si>
    <t>PARKING PATHWAY-PLANTING AREA</t>
  </si>
  <si>
    <t>SL.   No</t>
  </si>
  <si>
    <t>NAME OF MATERIAL</t>
  </si>
  <si>
    <t>RECEIVED QTY</t>
  </si>
  <si>
    <t>WORK IN PROGRESS</t>
  </si>
  <si>
    <t>STOCK AT SITE</t>
  </si>
  <si>
    <t>DIFFERENCE QTY</t>
  </si>
  <si>
    <t>PERCENTAGE OF WASTAGE</t>
  </si>
  <si>
    <t>KERB STONE</t>
  </si>
  <si>
    <t>CEMENT</t>
  </si>
  <si>
    <t>BAGS</t>
  </si>
  <si>
    <t>DCS AND ISSUE DETAILS</t>
  </si>
  <si>
    <t>SL NO</t>
  </si>
  <si>
    <t>DC/ ISSUE SLIPS</t>
  </si>
  <si>
    <t>DATE</t>
  </si>
  <si>
    <t>069</t>
  </si>
  <si>
    <t>KERB STONE 600*450*100MM</t>
  </si>
  <si>
    <t>070</t>
  </si>
  <si>
    <t>SQFT</t>
  </si>
  <si>
    <t>072</t>
  </si>
  <si>
    <t>CONCRETE PAVERS LIGHT GREY-100*200*60MM</t>
  </si>
  <si>
    <t>078</t>
  </si>
  <si>
    <t>KERB STONE 600*300*100 MM</t>
  </si>
  <si>
    <t>083</t>
  </si>
  <si>
    <t>GRANITE SADARAHALLI ANTIQUE-18MM THICK</t>
  </si>
  <si>
    <t>GRAITE JET BLACK POLISH 50MM THICK</t>
  </si>
  <si>
    <t>GRANITE SADARAHALLI ANTIQUE-30MM THICK</t>
  </si>
  <si>
    <t>100</t>
  </si>
  <si>
    <t>KERB STONE 600*450*150 MM</t>
  </si>
  <si>
    <t>SAUCER DRAIN 600*300*125 MM</t>
  </si>
  <si>
    <t>FLUSH</t>
  </si>
  <si>
    <t>CONCRETE PAVERS DARK GREY-100*200*80MM</t>
  </si>
  <si>
    <t>3229</t>
  </si>
  <si>
    <t>3228</t>
  </si>
  <si>
    <t>FULL BATTER</t>
  </si>
  <si>
    <t>3230</t>
  </si>
  <si>
    <t>2948</t>
  </si>
  <si>
    <t>2947</t>
  </si>
  <si>
    <t>2830</t>
  </si>
  <si>
    <t>2873</t>
  </si>
  <si>
    <t>2847</t>
  </si>
  <si>
    <t>2845</t>
  </si>
  <si>
    <t>2829</t>
  </si>
  <si>
    <t>2874</t>
  </si>
  <si>
    <t>3277</t>
  </si>
  <si>
    <t xml:space="preserve">SAUCER DRAIN </t>
  </si>
  <si>
    <t>GRANITE</t>
  </si>
  <si>
    <t>KERB STONE 600*300*100 MM FLUSH</t>
  </si>
  <si>
    <t>KERB STONE 600*450*150 MM F/B</t>
  </si>
  <si>
    <t>`</t>
  </si>
  <si>
    <t>3278</t>
  </si>
  <si>
    <t xml:space="preserve"> CHAMBER WORK (900*900* Depth up to 1.5mt)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</si>
  <si>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NT ITEMS-26-14127</t>
  </si>
  <si>
    <t>PARKING AREA-KERB BASE GSB</t>
  </si>
  <si>
    <t xml:space="preserve">DCNOS </t>
  </si>
  <si>
    <t>GSB</t>
  </si>
  <si>
    <t>WET MIX</t>
  </si>
  <si>
    <t>M SAND</t>
  </si>
  <si>
    <t>20MM JELLY</t>
  </si>
  <si>
    <t>4" SOLID BLOCK</t>
  </si>
  <si>
    <t>6" BLOCK</t>
  </si>
  <si>
    <t>CONCRETE</t>
  </si>
  <si>
    <t>CONCRETE PAVERS</t>
  </si>
  <si>
    <t>7791</t>
  </si>
  <si>
    <t>RMC-M10</t>
  </si>
  <si>
    <t>7801</t>
  </si>
  <si>
    <t>7792</t>
  </si>
  <si>
    <t>7879</t>
  </si>
  <si>
    <t>7881</t>
  </si>
  <si>
    <t>7877</t>
  </si>
  <si>
    <t>WO NO: 4300006116/R1  DATED : 03-10-2024</t>
  </si>
  <si>
    <t>JMR-083</t>
  </si>
  <si>
    <t>JMR-084</t>
  </si>
  <si>
    <t>LEVELS DETAILS</t>
  </si>
  <si>
    <t>SL NO.</t>
  </si>
  <si>
    <t>RL</t>
  </si>
  <si>
    <t>FFL</t>
  </si>
  <si>
    <t>AVL LEVELS</t>
  </si>
  <si>
    <t>DEPTH</t>
  </si>
  <si>
    <t>CAR PARKING PLANTATION AREA</t>
  </si>
  <si>
    <t xml:space="preserve">Co-efficient </t>
  </si>
  <si>
    <t>RMC Issued details - Pragathi Landscapers LLP</t>
  </si>
  <si>
    <t>Sl.No</t>
  </si>
  <si>
    <t>Description</t>
  </si>
  <si>
    <t>Unit</t>
  </si>
  <si>
    <t>Grade</t>
  </si>
  <si>
    <t>Qty</t>
  </si>
  <si>
    <t>Rate</t>
  </si>
  <si>
    <t>Amount Excluding Tax</t>
  </si>
  <si>
    <t>Remarks</t>
  </si>
  <si>
    <t>Feb'24</t>
  </si>
  <si>
    <t>Cum</t>
  </si>
  <si>
    <t>Rate Reference : 
UNO Infracon 
 PO No: 4000071141</t>
  </si>
  <si>
    <t xml:space="preserve">Total </t>
  </si>
  <si>
    <t>RA BILL-02</t>
  </si>
  <si>
    <t>MARKETING OFFICE AREA WALKWAY</t>
  </si>
  <si>
    <t>ROUND ABOUT AREA</t>
  </si>
  <si>
    <t>MARKETING OFFICE AREA ENTRANCE</t>
  </si>
  <si>
    <t>AREA-04</t>
  </si>
  <si>
    <t>DRIVEWAY BESIDE WALKWAY</t>
  </si>
  <si>
    <t>AREA-05</t>
  </si>
  <si>
    <t>DRIVEWAY BETWEEN PLANTER</t>
  </si>
  <si>
    <t>AREA-06</t>
  </si>
  <si>
    <t>AREA-07</t>
  </si>
  <si>
    <t>PARKING AREA KERB</t>
  </si>
  <si>
    <t>AREA-08</t>
  </si>
  <si>
    <t>AREA-09</t>
  </si>
  <si>
    <t>AREA-10</t>
  </si>
  <si>
    <t>AREA-11</t>
  </si>
  <si>
    <t>NT-01</t>
  </si>
  <si>
    <t>SAUCER DRAIN</t>
  </si>
  <si>
    <t>NT-02</t>
  </si>
  <si>
    <t>40MM THICK STEEL GREY FLAMED FINISH GRANITE FLOORING</t>
  </si>
  <si>
    <t>MARKETING OFFICE DROP OFF</t>
  </si>
  <si>
    <t>MEDIAN DEDUCTION</t>
  </si>
  <si>
    <t>CAR PARKING AREA</t>
  </si>
  <si>
    <t>DEDUCTIONS</t>
  </si>
  <si>
    <t>DRIVEWAY BESIDE PATHWAY</t>
  </si>
  <si>
    <t>DRIVEWAY BESIDE PATHWAY-GREY</t>
  </si>
  <si>
    <t>GREY PAVER</t>
  </si>
  <si>
    <t>PARKING  AREA WALKWAY-GREY</t>
  </si>
  <si>
    <t>PARKING AREA PEDESTRIAN WALKWAY</t>
  </si>
  <si>
    <t xml:space="preserve">MARKETING OFFICE DROP OFF PATHWAY </t>
  </si>
  <si>
    <t>MARKETING OFFICE DROP OFF GRANITE AREA</t>
  </si>
  <si>
    <t>MARKETING OFFICE WALKWAY</t>
  </si>
  <si>
    <t>DRIVEWAY AREA</t>
  </si>
  <si>
    <t>ROUND ABOUT</t>
  </si>
  <si>
    <t>KERB AREA GSB</t>
  </si>
  <si>
    <t>300MM KERB</t>
  </si>
  <si>
    <t>MARKETING AREA OFFICE DROP OFF AREA</t>
  </si>
  <si>
    <t>MEDIAN AREA DEDUCTION</t>
  </si>
  <si>
    <t>MARKETING AREA OFFICE DROP OFF ENTRY GRANITE AREA</t>
  </si>
  <si>
    <t>MARKETING OFFICE PEDESTRIAN PATHWAY</t>
  </si>
  <si>
    <t>CAR PARKING PEDESTRIAN PATHWAY</t>
  </si>
  <si>
    <t>MARKETING OFFICE PEDESTRIAN PATHWAY-ENTRY</t>
  </si>
  <si>
    <t xml:space="preserve">CAR PARKING </t>
  </si>
  <si>
    <t>NT-03</t>
  </si>
  <si>
    <t>LDPE SHEET  600 MICRON BELOW M30 CONCRETE</t>
  </si>
  <si>
    <t>Sl. No</t>
  </si>
  <si>
    <t>TYPE</t>
  </si>
  <si>
    <t>SHAPE OF BAR</t>
  </si>
  <si>
    <t>Dia</t>
  </si>
  <si>
    <t>Spacing</t>
  </si>
  <si>
    <t>No of Members</t>
  </si>
  <si>
    <t>Nos of Bars</t>
  </si>
  <si>
    <t>Lap Length</t>
  </si>
  <si>
    <t>Cutting length(m)</t>
  </si>
  <si>
    <t>12mm</t>
  </si>
  <si>
    <t>16mm</t>
  </si>
  <si>
    <t>20mm</t>
  </si>
  <si>
    <t>25mm</t>
  </si>
  <si>
    <t>28mm</t>
  </si>
  <si>
    <t>32mm</t>
  </si>
  <si>
    <t>L1</t>
  </si>
  <si>
    <t>L2</t>
  </si>
  <si>
    <t>L3</t>
  </si>
  <si>
    <t>Ld</t>
  </si>
  <si>
    <t>Slab</t>
  </si>
  <si>
    <t>VERTICAL BARS</t>
  </si>
  <si>
    <t>HORIZONTAL BARS</t>
  </si>
  <si>
    <t>TOTAL CUTTING LENGTH dia wise in mtr</t>
  </si>
  <si>
    <t>Unit Weight</t>
  </si>
  <si>
    <t>Total (in KG)</t>
  </si>
  <si>
    <t>Total (Diawise in MT)</t>
  </si>
  <si>
    <t>Total quantity executed till date in kg</t>
  </si>
  <si>
    <t>KGS</t>
  </si>
  <si>
    <t>Total quantity executed till date in TONNES</t>
  </si>
  <si>
    <t>TONNES</t>
  </si>
  <si>
    <t>REINFORCEMENT WORKS</t>
  </si>
  <si>
    <t>NON-TENDERED ITEMS</t>
  </si>
  <si>
    <t>41</t>
  </si>
  <si>
    <t>041</t>
  </si>
  <si>
    <t>3648</t>
  </si>
  <si>
    <t>MODULAR OFFICE</t>
  </si>
  <si>
    <t>750*750</t>
  </si>
  <si>
    <t>300*300</t>
  </si>
  <si>
    <t>HTP SOUTH SIDE</t>
  </si>
  <si>
    <t>900*900</t>
  </si>
  <si>
    <t>600*600</t>
  </si>
  <si>
    <t>BOREWELL AREA</t>
  </si>
  <si>
    <t>MO ELECTRICAL ROOM</t>
  </si>
  <si>
    <t>RAK DG SIDE</t>
  </si>
  <si>
    <t>MOCKUP BACKSIDE</t>
  </si>
  <si>
    <t>INTERNAL COURTYARD</t>
  </si>
  <si>
    <t>300*300-(JMR)</t>
  </si>
  <si>
    <t>042</t>
  </si>
  <si>
    <t>CONCRETE PAVERS BLACK-100*200*80MM</t>
  </si>
  <si>
    <t>3650</t>
  </si>
  <si>
    <t>3649</t>
  </si>
  <si>
    <t>004</t>
  </si>
  <si>
    <t>034</t>
  </si>
  <si>
    <t>3623</t>
  </si>
  <si>
    <t>SAUCER DRAIN 600*300*150 MM</t>
  </si>
  <si>
    <t>035</t>
  </si>
  <si>
    <t>3611</t>
  </si>
  <si>
    <t>3612</t>
  </si>
  <si>
    <t>STEEL 8MM DIA</t>
  </si>
  <si>
    <t>015</t>
  </si>
  <si>
    <t>MT</t>
  </si>
  <si>
    <t>021</t>
  </si>
  <si>
    <t>3532</t>
  </si>
  <si>
    <t>3531</t>
  </si>
  <si>
    <t>IS NO-039</t>
  </si>
  <si>
    <t>028</t>
  </si>
  <si>
    <t>3598</t>
  </si>
  <si>
    <t>3599</t>
  </si>
  <si>
    <t>3597</t>
  </si>
  <si>
    <t>450MM KERB Below PCC</t>
  </si>
  <si>
    <t>300MM KERB  Below PCC</t>
  </si>
  <si>
    <t xml:space="preserve">450MM KERB Below </t>
  </si>
  <si>
    <t xml:space="preserve">8mm </t>
  </si>
  <si>
    <t xml:space="preserve">10mm </t>
  </si>
  <si>
    <t xml:space="preserve">Project     </t>
  </si>
  <si>
    <t>: Sattva City</t>
  </si>
  <si>
    <t>Date:</t>
  </si>
  <si>
    <t xml:space="preserve">Vendor    </t>
  </si>
  <si>
    <t>: Pragathi Landscapers LLP</t>
  </si>
  <si>
    <t xml:space="preserve">WO NO    </t>
  </si>
  <si>
    <t>: 4300006116</t>
  </si>
  <si>
    <t>WO Value</t>
  </si>
  <si>
    <t xml:space="preserve">Nature of Work </t>
  </si>
  <si>
    <t>: Landscape Works</t>
  </si>
  <si>
    <t xml:space="preserve">RA Bill No </t>
  </si>
  <si>
    <t xml:space="preserve">Bill Period </t>
  </si>
  <si>
    <t>WORK BILL TRACKING CHART</t>
  </si>
  <si>
    <t>S No</t>
  </si>
  <si>
    <t>Particulars</t>
  </si>
  <si>
    <t>Date</t>
  </si>
  <si>
    <t>No of Days Taken</t>
  </si>
  <si>
    <t>Reasons for Delay if any</t>
  </si>
  <si>
    <t>PROJECTS/SITE QS/CONTRACTS DEPT.</t>
  </si>
  <si>
    <t>Document date</t>
  </si>
  <si>
    <t>Bill Received by Project In-charge</t>
  </si>
  <si>
    <t>Bill Received by Site QS</t>
  </si>
  <si>
    <t>Contractor QS/Reqd. Information/Attachment not available</t>
  </si>
  <si>
    <t>Other delays if any</t>
  </si>
  <si>
    <t>Amendment/Open WO request  sent to Planning</t>
  </si>
  <si>
    <t>PR Raised by planning</t>
  </si>
  <si>
    <t>Amendment released by Contract/Purchase Dept</t>
  </si>
  <si>
    <t>Bill approved by Site In-charge</t>
  </si>
  <si>
    <t>Certified/SES Entry made by Site QS  (1st Level)</t>
  </si>
  <si>
    <t>BILLING, HO</t>
  </si>
  <si>
    <t>Bill Received at HO QS</t>
  </si>
  <si>
    <t xml:space="preserve">Bill Processed to Billing A/C </t>
  </si>
  <si>
    <t>SES 2nd level Release</t>
  </si>
  <si>
    <t>Tax Invoice Date</t>
  </si>
  <si>
    <t xml:space="preserve">Corrected Tax Invoice Received </t>
  </si>
  <si>
    <t xml:space="preserve">Parking Date </t>
  </si>
  <si>
    <t xml:space="preserve">Received duly approved </t>
  </si>
  <si>
    <t>Posting Date</t>
  </si>
  <si>
    <t>Handedover to Acct. Dept.</t>
  </si>
  <si>
    <t>C</t>
  </si>
  <si>
    <t>ACCOUNTS</t>
  </si>
  <si>
    <t>Cheque Signing List</t>
  </si>
  <si>
    <t>Cheque handedover to Vendor.</t>
  </si>
  <si>
    <t>SAP WO</t>
  </si>
  <si>
    <t xml:space="preserve">SES NO </t>
  </si>
  <si>
    <t>:</t>
  </si>
  <si>
    <t xml:space="preserve">SAP Amount </t>
  </si>
  <si>
    <t xml:space="preserve">    </t>
  </si>
  <si>
    <t>Salarpuria Sattva Group</t>
  </si>
  <si>
    <t>DOC No.</t>
  </si>
  <si>
    <t>Page 1 of 1</t>
  </si>
  <si>
    <t xml:space="preserve">Service Invoice Checklist </t>
  </si>
  <si>
    <t xml:space="preserve">Invoice Number: </t>
  </si>
  <si>
    <t xml:space="preserve">Single Point of Contact Number </t>
  </si>
  <si>
    <t>Project Name</t>
  </si>
  <si>
    <t>Project Manager</t>
  </si>
  <si>
    <t>: Annappa S Chikkamani</t>
  </si>
  <si>
    <t>S. No.</t>
  </si>
  <si>
    <t xml:space="preserve">Document Name </t>
  </si>
  <si>
    <t xml:space="preserve">Available </t>
  </si>
  <si>
    <t xml:space="preserve">Checklist for Invoicing </t>
  </si>
  <si>
    <t xml:space="preserve">Point of Contact  (POC) / Work Order Number </t>
  </si>
  <si>
    <t>a</t>
  </si>
  <si>
    <t xml:space="preserve">Quantity Surveyor </t>
  </si>
  <si>
    <t>Billing Break Up (BBU) Codes  - (Nature of Works)</t>
  </si>
  <si>
    <t xml:space="preserve">Three Way Match: BBU Quantity - Certified Quantity - Invoice Quantity </t>
  </si>
  <si>
    <t xml:space="preserve">Location of Invoicing </t>
  </si>
  <si>
    <t>NA</t>
  </si>
  <si>
    <t>Reconciliation of Quantity Executed/ Pending Execution</t>
  </si>
  <si>
    <t>Scope Change Note/ Quantity Amendment Note</t>
  </si>
  <si>
    <t xml:space="preserve">BBU / Nature of Work  Rates </t>
  </si>
  <si>
    <t>Ad-Hoc Payment</t>
  </si>
  <si>
    <t>x</t>
  </si>
  <si>
    <t xml:space="preserve">Billing &amp; Audit </t>
  </si>
  <si>
    <t xml:space="preserve">Tax Rates as per Jurisdiction  </t>
  </si>
  <si>
    <t xml:space="preserve">Advance Adjustment (If Applicable) </t>
  </si>
  <si>
    <t>Retention</t>
  </si>
  <si>
    <t>Hold Amount</t>
  </si>
  <si>
    <t>Car Policy</t>
  </si>
  <si>
    <t>BG's and Validity</t>
  </si>
  <si>
    <t>Advances</t>
  </si>
  <si>
    <t xml:space="preserve">Service Documents </t>
  </si>
  <si>
    <t xml:space="preserve">Approved Work Measurement Sheets </t>
  </si>
  <si>
    <t>Quality Inspection Reports (Pour Cards, Cube Test Reports etc.)</t>
  </si>
  <si>
    <t>QC/Safety Clearance (If Applicable)</t>
  </si>
  <si>
    <t>Material Reconciliation Report (if any)</t>
  </si>
  <si>
    <t xml:space="preserve">Debit Notes </t>
  </si>
  <si>
    <t xml:space="preserve">Approval of Extra Items </t>
  </si>
  <si>
    <t xml:space="preserve">As-Built Drawings </t>
  </si>
  <si>
    <t>Abstract Sheets</t>
  </si>
  <si>
    <t>Labour Cess Challans/Receipts</t>
  </si>
  <si>
    <t xml:space="preserve">PF/Employees State Insurance (ESI) Copies </t>
  </si>
  <si>
    <t>Labour License</t>
  </si>
  <si>
    <t xml:space="preserve">Minimum Wage Act Compliance Report </t>
  </si>
  <si>
    <t xml:space="preserve">Handover Protocols (If Applicable) </t>
  </si>
  <si>
    <t>Tax Exemption Certificate from Client (TDS, Others)</t>
  </si>
  <si>
    <t xml:space="preserve">Works Contract Tax  Remittance against Declaration </t>
  </si>
  <si>
    <t>For Raw Material Supplied</t>
  </si>
  <si>
    <t xml:space="preserve"> Invoice </t>
  </si>
  <si>
    <t xml:space="preserve">Test Certificates </t>
  </si>
  <si>
    <t xml:space="preserve">Pre-dispatch clearance certificate </t>
  </si>
  <si>
    <t xml:space="preserve">Weighbridge Slips  </t>
  </si>
  <si>
    <t>For Price Variation Invoices</t>
  </si>
  <si>
    <t>Contracts</t>
  </si>
  <si>
    <t xml:space="preserve">Schedule of Dates </t>
  </si>
  <si>
    <t xml:space="preserve">Schedule of Indices </t>
  </si>
  <si>
    <t xml:space="preserve">Calculation Sheet </t>
  </si>
  <si>
    <t>E</t>
  </si>
  <si>
    <t>Other Contract Specific Document Requirements</t>
  </si>
  <si>
    <t>Name</t>
  </si>
  <si>
    <t>Designation</t>
  </si>
  <si>
    <t>Signature</t>
  </si>
  <si>
    <t>Prepared by</t>
  </si>
  <si>
    <t>Chethan G A</t>
  </si>
  <si>
    <t>Engineer-QS</t>
  </si>
  <si>
    <t>Approved by</t>
  </si>
  <si>
    <t>NA: Not applicable</t>
  </si>
  <si>
    <t>ABSTRACT</t>
  </si>
  <si>
    <t>Sr.No</t>
  </si>
  <si>
    <t>SAP CODE</t>
  </si>
  <si>
    <t>BOQ Qty</t>
  </si>
  <si>
    <t>Amount</t>
  </si>
  <si>
    <t>Quantity</t>
  </si>
  <si>
    <t>Previous</t>
  </si>
  <si>
    <t>Present</t>
  </si>
  <si>
    <t>Cumulative</t>
  </si>
  <si>
    <t xml:space="preserve"> Marketing office front area Hardscape</t>
  </si>
  <si>
    <t>LAND_BASE PREPARATION BASE PREPARATION  WORKS
Clearing and grubbing of top 150mm top soil including cutting, removing and disposing of all materials such as trees, bushes, shrubs, stumps, roots, grass, weeds, top organic soil  etc. complete.</t>
  </si>
  <si>
    <t>LAND_SUP/FlX_PIain Concrete M10 grade
PCC WORKS (1:4:8)
Providing and laying Plain cement concrete  1:4:8 mix of following to the depth at locations specified at all levels using river sand, graded granite aggregate  of 20mm and down size including base preparation, compaction.  levelling, all leads and lifts, curing and shuttering if necessary  etc., complete as per drawings. (100mm thick PCC)</t>
  </si>
  <si>
    <t>Land_sup/fix_pebbles Pebbles
Supply and laying of "River washed Pebbles" of 40-50 mm dia or as per drawings.  The quoted rate shall include  the cost of supply, transport and laying in layers, pattern, etc., complete with cement mortor Location- Laid on waterbody drain</t>
  </si>
  <si>
    <t xml:space="preserve">
LAND_FIX_BALCK GRANITE
Granite Flooring
Receiving and laying in position of approved Polished Jet Black Granite stone flooring of size 20mm thick as per selection laid over a bed of minimum 35mm thick cemen mortar 1:4 to the approved pattern as per the detail drawings. The joints shall be pointed with the matching cement based  polymer grout with polished and unpolished surfaces of the granite slabs shall be finished with sealer coats as recommended  by Laticrete/ Bal Endura/  Aqua mix  or approved equivalent make and complete.
Pre-polished  granite slabs shall have the edges machine cut to precise sizes to produce very fine joints. All the exposed edges of the flooring shall be machine polished to profiles as per the detail drawings. This also includes providing top covering over the polythene  sheets for the entire flooring to protect against scratches etc.
Location- Water Feature</t>
  </si>
  <si>
    <t>F/C_FIX_Granite Cladding Granite Cladding
Receving and fixing in position of 40-50mm thick approved Polished Jet Black Granite  stone cladding to walls, columns and other vertical faces as called for fixed over a backing of avg 25mm thick cement mortar 1:4 and Grey Cement paste CM 1:1 to pattern as per the detail drawings.  The joints shall be pointed with the matching cement based  polymer grout by Laticrete or approved equivalent make and complete.  Rate includes necessary scaffolding, staging, curing, etc., complete as per the instructions of the Architect  / Engineer in charge. The slabs shall have the edges machine cut and polished  to produce very fine joints. The cladding shall be polished if required to give the final finish as
desired by architects. Rate to include  wastage,  providing necessary V-grooves in the joints, Granite insets in different vertical and horizontal levels/ plane as per the detail drawings if required.
Location- Water Feature Location- Planter</t>
  </si>
  <si>
    <t>F/C_FlX_Granite Cladding above line item
Location- Planter</t>
  </si>
  <si>
    <t>LAND_GRANITE  COPING
Granite Coping Receiving &amp; Laying of 40mm thick Polished Jet Black Granite, flamed finish coping with full nosing, edge polishing on both sides in CM 1:4 over minimum thickness of
25-30mm over the  masonry/RCC. The rate shall include cutting required size. laying, grouting, curing. edge finishing etc complete. Location-  Water Feature 300mm width</t>
  </si>
  <si>
    <t>LAND_GRANITE  COPING
above line item
Location- Planter 450 mm width</t>
  </si>
  <si>
    <t>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 Pedestrian walkway -80mm Thick Paver</t>
  </si>
  <si>
    <t>Land_SUP/Lay_Brush Finish Concrete
Broom Finish Concrete
Providing and laying of Concrete in M25 grade screed  with water cement ratio of 0.5 of average thickness of 150mm as directed during execution and shall be laid in bays of suitable sizes and to required slope in a alternate panel fashion and neatly finished with power trowelled and lines drawn as directed, Screed Concrete  shall be laid in One layer with 10 mm and down size graded stone aggregates This layer shall be thoroughly tamped, spread,incIusive of Power trowelled and finished smooth with E floating coat of neat cement. No dry cement shall be allowed to be used for finishing the surface. The  surface shall be kept well watered after it is dry for a period of 8 days. Cost Shall be inclusive of making sub base area clean by removing dead mortor/concrete by chipping and  laying the concrete in panels o 4mx4m providing suitable grooves. The surface Shall be finished with troll finish/broom  finish etc  complete.
The construction  joint shall be cut using diamond bit wheel for a width of 3 to 4mm and a depth of 30mm within 20 to 30 hours of concreting, no delay shall be acceptable. On curing and drying of the concrete the construction  joints have to be filled with sealants  as per manufacturers  specification.
Location- Entry Ramp</t>
  </si>
  <si>
    <t>LAND_POW ER TROWEL
Power Trowel with broom finish for above item</t>
  </si>
  <si>
    <t>LAND_GROOVE  CUTTING
Groove cutting for above item</t>
  </si>
  <si>
    <t xml:space="preserve">Land_Sup/Fix_Granular Sub Base 
Providing &amp; laying of Granular Sub-base with Coarse Graded material (Table:- 400-2) compacted thickness of 150mm   by providing, laying, spreading and compacting , spreading in uniform layers with motor grader on prepared surface, mixing by mix in place method with rotavator at OMC, and compacting with vibratory roller 8-10 tonne to achieve the desired density of 98% including protection of edges of GSB layer, cost of all materials, labour, hire charges of machinery, loading &amp; Unloading, all lead and lift etc., complete. as per the directions of eng-in- charge of work in accordance Technical Specification </t>
  </si>
  <si>
    <t>Land_SUP/FlX_Wet Mix Macadam 
Providing,laying 2 layers WMM (Wet mix macadem) with Stone aggregate with approved quality of 20mm down grade and quarry dust, well packed, correct to level. The surface shall be consolidated by 8 to 10 Tonne power road roller after spreading of well compacted earth or boulder soling as the sub base etc., complete. The finish consolidated thickness shall be 150mm.</t>
  </si>
  <si>
    <t>Land__SUP/FILL_sweet earth fill
Shifting and Filling of existing soil within the site for planter box and any other location manually
with consolidation.</t>
  </si>
  <si>
    <t>Total Amount</t>
  </si>
  <si>
    <t>M10</t>
  </si>
  <si>
    <t>Cement Issued details - Pragathi Landscapers LLP</t>
  </si>
  <si>
    <t xml:space="preserve">Cement </t>
  </si>
  <si>
    <t>Amount Including Tax</t>
  </si>
  <si>
    <t>STEEL GREY GRANITE, FLAMED 40MM THK</t>
  </si>
  <si>
    <t>STEEL GREY GRANITE, ANTIQUE FINISH- 30MM</t>
  </si>
  <si>
    <t>SADARAHALLI ANTIQUE GRANITE 20MM THK</t>
  </si>
  <si>
    <t>JET BLACK GRANITE POLISHED, 40MM THK</t>
  </si>
  <si>
    <t>RMC-M30</t>
  </si>
  <si>
    <t>STEEL</t>
  </si>
  <si>
    <t>8MM DIA STEEL</t>
  </si>
  <si>
    <r>
      <t xml:space="preserve">LAND_FIX_CONCRETE KERBS
Precast Concrete Kerb 
Receiving and fixing of Precast Concrete kerbs of size 150mm thick of approved make, on cement concrete base of 1:3:6 mix as per dwg, cost including all materials at site, necessary earth excavation, all labour Charges and other necessary charges all as per drawings.
</t>
    </r>
    <r>
      <rPr>
        <b/>
        <sz val="16"/>
        <rFont val="Rockwell"/>
        <family val="1"/>
      </rPr>
      <t>Location- Along Driveway</t>
    </r>
  </si>
  <si>
    <r>
      <t xml:space="preserve">LAND_FIX_FLUSH KERBS
Flush Kerb
Kerbs: Receiving and fixing of Concrete flush type kerbs of size 100x300x600mm  of approved make with Matte Finish, on cement concrete base of 1:3:6mix as per dwg, cost including all materials at site, necessary earth excavation. all labour charges and other necessary charges all as per drawings.
</t>
    </r>
    <r>
      <rPr>
        <b/>
        <sz val="16"/>
        <rFont val="Rockwell"/>
        <family val="1"/>
      </rPr>
      <t>Location- Along Pedestrian walkway</t>
    </r>
  </si>
  <si>
    <t>NT-04</t>
  </si>
  <si>
    <t>PARKING AREA-LIGHT GREY</t>
  </si>
  <si>
    <t>CAR PARKING AREA-DARK GREY</t>
  </si>
  <si>
    <t>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ForPARKING AREA -80mm Thick Paver</t>
  </si>
  <si>
    <t>RA BILL-03</t>
  </si>
  <si>
    <t xml:space="preserve">MARKETING OFFICE WALKWAY </t>
  </si>
  <si>
    <t>MAIN DRIVEWAY COBBLE STONE  AREA</t>
  </si>
  <si>
    <t xml:space="preserve">SQM </t>
  </si>
  <si>
    <t>AREA -01</t>
  </si>
  <si>
    <t xml:space="preserve">MAIN DRIVEWAY 1 SIDE </t>
  </si>
  <si>
    <t xml:space="preserve">MAIN DRIVWAY AREA </t>
  </si>
  <si>
    <t>DRIVEWAY SIDE PEDESTRIAN WALKWAY</t>
  </si>
  <si>
    <t>DRIVEWAY NEAR ROUND ABOUT AREA</t>
  </si>
  <si>
    <t xml:space="preserve">CARPARKING DRIVEWAY AREA </t>
  </si>
  <si>
    <t>CARPARKING PEDESTRIAN WALKWAY</t>
  </si>
  <si>
    <t>MARKETING OFFICE NORTHSIDE WALKWAY</t>
  </si>
  <si>
    <t>MARKETING OFFICE FRONT SIDE</t>
  </si>
  <si>
    <t>CARPARKING AREA PEDESTRIAN WALKWAY</t>
  </si>
  <si>
    <t xml:space="preserve">MARKETING OFFICE NORTHSIDE WALKWAY </t>
  </si>
  <si>
    <t>RA BILL 03</t>
  </si>
  <si>
    <t>MARKETING OFFICE SOUTH SIDE</t>
  </si>
  <si>
    <t xml:space="preserve">CARPARKING AREA SOIL FILLING </t>
  </si>
  <si>
    <t xml:space="preserve">ELECTRIC SHED DEMOLITION LEVELS </t>
  </si>
  <si>
    <t xml:space="preserve">MARKETING OFFICE FRONT SIDE PLANTER AREA </t>
  </si>
  <si>
    <t xml:space="preserve">MARKETING OFFICE SOUTHSIDE </t>
  </si>
  <si>
    <t>MARKETING OFFICE NORTHSIDE</t>
  </si>
  <si>
    <t>MARKETING AREA FRONT SIDE WALKWAY</t>
  </si>
  <si>
    <t>CARPARKING AREA PLANTER AREA</t>
  </si>
  <si>
    <t>JMR-203</t>
  </si>
  <si>
    <t xml:space="preserve">MAIN DRIVEWAY AREA </t>
  </si>
  <si>
    <t>CAR PARKING AREA(HOLD QTY RA BILL-01)</t>
  </si>
  <si>
    <t>DATE: 06-05-2025</t>
  </si>
  <si>
    <t>064</t>
  </si>
  <si>
    <t>8334</t>
  </si>
  <si>
    <t>8338</t>
  </si>
  <si>
    <t>8362</t>
  </si>
  <si>
    <t>8430</t>
  </si>
  <si>
    <t>8431</t>
  </si>
  <si>
    <t>8432</t>
  </si>
  <si>
    <t>8433</t>
  </si>
  <si>
    <t>8509</t>
  </si>
  <si>
    <t>8516</t>
  </si>
  <si>
    <t>8581</t>
  </si>
  <si>
    <t>8821</t>
  </si>
  <si>
    <t>9063</t>
  </si>
  <si>
    <t>9065</t>
  </si>
  <si>
    <t>9141</t>
  </si>
  <si>
    <t>157742</t>
  </si>
  <si>
    <t>157763</t>
  </si>
  <si>
    <t>9378</t>
  </si>
  <si>
    <t>22</t>
  </si>
  <si>
    <t>230</t>
  </si>
  <si>
    <t>556</t>
  </si>
  <si>
    <t>065</t>
  </si>
  <si>
    <t xml:space="preserve">OPC 43 GRADE CEMENT </t>
  </si>
  <si>
    <t xml:space="preserve">BAGS </t>
  </si>
  <si>
    <t>YECD1010794</t>
  </si>
  <si>
    <t>018</t>
  </si>
  <si>
    <t>23</t>
  </si>
  <si>
    <t>664</t>
  </si>
  <si>
    <t>sqm</t>
  </si>
  <si>
    <t>AREA -02</t>
  </si>
  <si>
    <t>CAR PARKING</t>
  </si>
  <si>
    <t>Pending area dedu</t>
  </si>
  <si>
    <t>040</t>
  </si>
  <si>
    <t>053</t>
  </si>
  <si>
    <t>3782</t>
  </si>
  <si>
    <t>3781</t>
  </si>
  <si>
    <t>054</t>
  </si>
  <si>
    <t>RMC M30 GARDE</t>
  </si>
  <si>
    <t>Rate Reference : 
UNO Infracon 
PO No: 4000073577</t>
  </si>
  <si>
    <t>RMC Hold details - Pragathi Landscapers LLP</t>
  </si>
  <si>
    <t>Difference in Qty</t>
  </si>
  <si>
    <t>Certified Qty</t>
  </si>
  <si>
    <t>Issue Qty</t>
  </si>
  <si>
    <t>March'24</t>
  </si>
  <si>
    <t>SATTVA SUPPLY RMC DETAILS /RASK - SATTVA CITY</t>
  </si>
  <si>
    <t>SATTVA SUPPLY RMC DETAILS/ PRAGATHI</t>
  </si>
  <si>
    <t>SUPPLER</t>
  </si>
  <si>
    <t>DC NO</t>
  </si>
  <si>
    <t xml:space="preserve">M25 </t>
  </si>
  <si>
    <t>M30</t>
  </si>
  <si>
    <t>TOTAL QTY.</t>
  </si>
  <si>
    <t>08.02.2025</t>
  </si>
  <si>
    <t>UNO</t>
  </si>
  <si>
    <t>09.02.2025</t>
  </si>
  <si>
    <t>12.02.2025</t>
  </si>
  <si>
    <t>MANTH OF FEB.1ST HALF</t>
  </si>
  <si>
    <t>24.02.2025</t>
  </si>
  <si>
    <t>25.02.2025</t>
  </si>
  <si>
    <t>27.02.2025</t>
  </si>
  <si>
    <t>MANTH OF FEB.2ST HALF</t>
  </si>
  <si>
    <t>01.03.2025</t>
  </si>
  <si>
    <t>04.03.2025</t>
  </si>
  <si>
    <t>13.03.2025</t>
  </si>
  <si>
    <t>18.03.2025</t>
  </si>
  <si>
    <t>20.03.2025</t>
  </si>
  <si>
    <t>22.03.2025</t>
  </si>
  <si>
    <t>25.03.2025</t>
  </si>
  <si>
    <t>08.03.2025</t>
  </si>
  <si>
    <t>HELLA</t>
  </si>
  <si>
    <t xml:space="preserve">MANTH OF MARCH </t>
  </si>
  <si>
    <t>28.03.2025</t>
  </si>
  <si>
    <t>uno</t>
  </si>
  <si>
    <t>m3</t>
  </si>
  <si>
    <t>01.04.2025</t>
  </si>
  <si>
    <t>02.04.2025</t>
  </si>
  <si>
    <t>04.04.2025</t>
  </si>
  <si>
    <t>06.04.2025</t>
  </si>
  <si>
    <t>08.04.2025</t>
  </si>
  <si>
    <t>14.04.2025</t>
  </si>
  <si>
    <t xml:space="preserve">manth of april 1ts half </t>
  </si>
  <si>
    <t>17.04.2025</t>
  </si>
  <si>
    <t>18.04.2025</t>
  </si>
  <si>
    <t>22.04.2025</t>
  </si>
  <si>
    <t>23.04.2025</t>
  </si>
  <si>
    <t>24.04.2025</t>
  </si>
  <si>
    <t>25.04.2025</t>
  </si>
  <si>
    <t xml:space="preserve">manth of april 2st half </t>
  </si>
  <si>
    <t>04.05.2025</t>
  </si>
  <si>
    <t>06.05.2025</t>
  </si>
  <si>
    <t>Month of may 1st half</t>
  </si>
  <si>
    <t>01.04.2025 to 06.05.2025</t>
  </si>
  <si>
    <t>RA Bill 03</t>
  </si>
  <si>
    <t xml:space="preserve">Bill Vaule </t>
  </si>
  <si>
    <t>% of Amount Hold for Snag Points not Cleared</t>
  </si>
  <si>
    <t>10% Hold Amt due to Snag Point not yet Clear</t>
  </si>
  <si>
    <t>Snag Point Hold details - Pragathi Landscapers LLP</t>
  </si>
  <si>
    <t xml:space="preserve">ROUNDABOUT AREA </t>
  </si>
  <si>
    <t>DEDUCTION OF COBBLE AREA</t>
  </si>
  <si>
    <t xml:space="preserve">DEDUCTION OF COBBLE AREA </t>
  </si>
  <si>
    <t xml:space="preserve">CAR PARKING AREA DRIVEWAY </t>
  </si>
  <si>
    <t>RA BILL-04</t>
  </si>
  <si>
    <t xml:space="preserve">CAR PARKING AREA EXTENSION </t>
  </si>
  <si>
    <t xml:space="preserve">MAIN DRIVEWAY COBBLE AREA </t>
  </si>
  <si>
    <t xml:space="preserve">MAIN DRIVEWAY COBBLE ENTRENCE AREA </t>
  </si>
  <si>
    <t xml:space="preserve">AREA-01 </t>
  </si>
  <si>
    <t xml:space="preserve">RA BILL-04 </t>
  </si>
  <si>
    <t xml:space="preserve">RABILL-04 </t>
  </si>
  <si>
    <t xml:space="preserve">MARKETING OFFICE NORTHSIDE PATHWAY </t>
  </si>
  <si>
    <t>NEAR ROUNDABOUT AREA CORNER</t>
  </si>
  <si>
    <t xml:space="preserve">DRIVEWAY BESIDE KERB </t>
  </si>
  <si>
    <t xml:space="preserve">MARKETING OFFICE NORTHSIDE </t>
  </si>
  <si>
    <t xml:space="preserve">ROUNDABOUT NORTHEAST SIDE </t>
  </si>
  <si>
    <t xml:space="preserve">AROUND CYCLE PARKING AREA </t>
  </si>
  <si>
    <t xml:space="preserve">MARKETING OFFICE PEDESTRIAN WALKWAY </t>
  </si>
  <si>
    <t xml:space="preserve">MARKETING OFFICE FRONTSIDE CENTRE MEDIAN </t>
  </si>
  <si>
    <t xml:space="preserve">DRIVEWAY BESIDE WALKWAY </t>
  </si>
  <si>
    <t xml:space="preserve">MAIN DRIVEWAY CENTRE MEADIAN </t>
  </si>
  <si>
    <t xml:space="preserve">MAIN DRIVEWAY BESIDE PAVERS AREA </t>
  </si>
  <si>
    <t xml:space="preserve">MAIN DRIVEWAY BESIDE PLANTER AREA </t>
  </si>
  <si>
    <t xml:space="preserve">MAIN DRIVEWAY EXIT SIDE AREA </t>
  </si>
  <si>
    <t xml:space="preserve">MAIN DRIVEWAY ENTRY COBBLE AREA </t>
  </si>
  <si>
    <t xml:space="preserve">AREA-03 </t>
  </si>
  <si>
    <t xml:space="preserve">MARKETING OFFICE AROUND PAVERS </t>
  </si>
  <si>
    <t xml:space="preserve">MARKETING OFFICE AROUND KERB EXCAVATION </t>
  </si>
  <si>
    <t>006</t>
  </si>
  <si>
    <t>012</t>
  </si>
  <si>
    <t>013</t>
  </si>
  <si>
    <t xml:space="preserve">TOTAL 47 CUM </t>
  </si>
  <si>
    <t>235</t>
  </si>
  <si>
    <t>675</t>
  </si>
  <si>
    <t>786</t>
  </si>
  <si>
    <t>804</t>
  </si>
  <si>
    <t>825</t>
  </si>
  <si>
    <t>1088</t>
  </si>
  <si>
    <t>1182</t>
  </si>
  <si>
    <t>1153</t>
  </si>
  <si>
    <t xml:space="preserve">NEAR MARKETING OFFICE PAVERS AREA </t>
  </si>
  <si>
    <t xml:space="preserve">AREA-05 </t>
  </si>
  <si>
    <t xml:space="preserve">ROUNDABOUT INSIDE AREA </t>
  </si>
  <si>
    <t xml:space="preserve">DEDUCTION OF FOUNTAIN </t>
  </si>
  <si>
    <t>016</t>
  </si>
  <si>
    <t xml:space="preserve">MANNUAL MIX </t>
  </si>
  <si>
    <t xml:space="preserve">DRIVEWAY CENTRE MEDIAN PLANTER BOX </t>
  </si>
  <si>
    <t xml:space="preserve">       RA BILL 04</t>
  </si>
  <si>
    <t xml:space="preserve">ROUNDABOUT INSIDE FILLING AREA </t>
  </si>
  <si>
    <t xml:space="preserve">DRIVEWAY BESIDE PLANTER BOX </t>
  </si>
  <si>
    <t>DATE: 14-07-2025</t>
  </si>
  <si>
    <t>S</t>
  </si>
  <si>
    <t xml:space="preserve">MODULE OFFICE FRONT SIDE </t>
  </si>
  <si>
    <t xml:space="preserve">MAIN DRIVEWAY ENTRY SIDE AREA </t>
  </si>
  <si>
    <t xml:space="preserve">MAIN DRIVEWAY BESIDE PATHWAY </t>
  </si>
  <si>
    <t>AREA-12</t>
  </si>
  <si>
    <t xml:space="preserve">CYCLE PARKING AREA ENTRY SIDE </t>
  </si>
  <si>
    <t>MAIN DRIVEWAY AREA</t>
  </si>
  <si>
    <t>: 07.05.2025 to 04.07.2025</t>
  </si>
  <si>
    <t>05.07.2025</t>
  </si>
  <si>
    <t xml:space="preserve">NT </t>
  </si>
  <si>
    <t>07.05.2025 to 04.07.2025</t>
  </si>
  <si>
    <t>10.05.2025</t>
  </si>
  <si>
    <t>11.05.2025</t>
  </si>
  <si>
    <t>11.05.2026</t>
  </si>
  <si>
    <t>11.05.2027</t>
  </si>
  <si>
    <t>11.05.2028</t>
  </si>
  <si>
    <t>13.05.2025</t>
  </si>
  <si>
    <t>23.05.2025</t>
  </si>
  <si>
    <t>26.05.2025</t>
  </si>
  <si>
    <t>30.05.2025</t>
  </si>
  <si>
    <t>MANTH OF MAY 2 HALF</t>
  </si>
  <si>
    <t>08.06.2025</t>
  </si>
  <si>
    <t>manth of jun 1st half</t>
  </si>
  <si>
    <t>26.06.2025</t>
  </si>
  <si>
    <t>manth of jun 2nd half</t>
  </si>
  <si>
    <t xml:space="preserve">Returned to Sattva </t>
  </si>
  <si>
    <t>JET BLACK GRANITE POLISHED, 20MM THK</t>
  </si>
  <si>
    <t>05.06.2025</t>
  </si>
  <si>
    <t>NO concrete in this period</t>
  </si>
  <si>
    <t>16.07.2025</t>
  </si>
  <si>
    <t xml:space="preserve"> 21.07.2025</t>
  </si>
  <si>
    <t>: Rs. 1,44,70,656.36/-</t>
  </si>
  <si>
    <t>CYCLE PARKING AREA</t>
  </si>
  <si>
    <t>RA BILL-05</t>
  </si>
  <si>
    <t>: 05</t>
  </si>
  <si>
    <t>BAR BENDING SCHEDULE  RA BILL-05</t>
  </si>
  <si>
    <t>04.08.2025</t>
  </si>
  <si>
    <t>MEASUREMENT BACK UP-RA BILL-05</t>
  </si>
  <si>
    <t>DRIVEWAY EXIT SIDE PAVERS AREA</t>
  </si>
  <si>
    <t>DRIVEWAY BESIDE KERBSTONE WORK</t>
  </si>
  <si>
    <t xml:space="preserve">INSIDE MARKETING OFFICE PLANTING AREA </t>
  </si>
  <si>
    <t>Flooring / Cladding</t>
  </si>
  <si>
    <t>Landscape</t>
  </si>
  <si>
    <t>NT ITEMS-25-15179</t>
  </si>
  <si>
    <t>52008807
WP_ SUP/FIX_EXPANSION BOARD
Supply and fixing of 25mm thick separation board of silplex capell HD-100 Soft board with 12mm dia dowell bars and 20mm PVC pipe with closed end filled with Grease with all material , labour and lead and lift complete as per specification.</t>
  </si>
  <si>
    <t>Waterproofing works</t>
  </si>
  <si>
    <t>F/C_FIX_Granite Flooring 40MM THICK STEEL GREY FLAMED FINISH GRANITE
FLOORING-Machine cut, straight edge, with paper joint and 10mm wide 8mm deep recessed pointed groove joint between different granites, as per landscape architects details. laid over the CM 1:6mix cost including of all materials at site, all labour charges and other charges required to complete.
Material Supplied by Sattva.</t>
  </si>
  <si>
    <t>Fabrication works</t>
  </si>
  <si>
    <t>53000664
FAB_SUP/FIX_Saucer Drain RECEVING AND LAYING OF SAUCER DRAIN 600*300*125 MM
Thick of approved make, on cement concrete base of 1:3:6 mix as per dwg, cost including all materials at site, necessary earth excavation, all labour Charges and other  necessary charges all as per drawings.</t>
  </si>
  <si>
    <t>55001982
Land_SUP/FIX_polyethylene Modular sheet
Providing and laying 300 micron High Density Polyethylene (HDPE) sheet below concrete pavement including all materials and labour complete</t>
  </si>
  <si>
    <t>HDPE SHEET  600 MICRON BELOW M30 CONCRETE</t>
  </si>
  <si>
    <t>ROUNDABOUT AREA</t>
  </si>
  <si>
    <t>NT ITEMS</t>
  </si>
  <si>
    <t xml:space="preserve">CHAMBER WORK </t>
  </si>
  <si>
    <t xml:space="preserve">             DATE: 23-10-2025</t>
  </si>
  <si>
    <t>DATE:23-10-2025</t>
  </si>
  <si>
    <t xml:space="preserve"> </t>
  </si>
  <si>
    <t>RA BILL-05 &amp; FINAL</t>
  </si>
  <si>
    <t>GATEWAY RECIVED</t>
  </si>
  <si>
    <t>051</t>
  </si>
  <si>
    <t>3772</t>
  </si>
  <si>
    <t>052</t>
  </si>
  <si>
    <t>3773</t>
  </si>
  <si>
    <t>3774</t>
  </si>
  <si>
    <t>3775</t>
  </si>
  <si>
    <t>3783</t>
  </si>
  <si>
    <t>3784</t>
  </si>
  <si>
    <t>GRAITE JET BLACK POLISH 40MM THICK</t>
  </si>
  <si>
    <t>066</t>
  </si>
  <si>
    <t>183</t>
  </si>
  <si>
    <t>GRAITE JET BLACK POLISH 30MM THICK</t>
  </si>
  <si>
    <t xml:space="preserve">STEEL GREY GRANITE SLAB </t>
  </si>
  <si>
    <t>188</t>
  </si>
  <si>
    <t>STEEL GREY GRANITE 40 MM</t>
  </si>
  <si>
    <t>3917</t>
  </si>
  <si>
    <t>3614</t>
  </si>
  <si>
    <t>3615</t>
  </si>
  <si>
    <t>3613</t>
  </si>
  <si>
    <t>3231</t>
  </si>
  <si>
    <t>074</t>
  </si>
  <si>
    <t>3916</t>
  </si>
  <si>
    <t>2780</t>
  </si>
  <si>
    <t xml:space="preserve">RECONCILATION SUMMARY -RA BILL-05 &amp; FINAL </t>
  </si>
  <si>
    <t>CONSUMED QTY (As per RA Bill-04)</t>
  </si>
  <si>
    <t>NOT USED IN SITE</t>
  </si>
  <si>
    <t>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</si>
</sst>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1">
    <numFmt numFmtId="41" formatCode="_ * #,##0_ ;_ * \-#,##0_ ;_ * &quot;-&quot;_ ;_ @_ "/>
    <numFmt numFmtId="43" formatCode="_ * #,##0.00_ ;_ * \-#,##0.00_ ;_ * &quot;-&quot;??_ ;_ @_ "/>
    <numFmt numFmtId="164" formatCode="_ * #,##0.000_ ;_ * \-#,##0.000_ ;_ * &quot;-&quot;??_ ;_ @_ "/>
    <numFmt numFmtId="165" formatCode="_(* #,##0_);_(* \(#,##0\);_(* &quot;-&quot;??_);_(@_)"/>
    <numFmt numFmtId="166" formatCode="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quot;$&quot;#,##0_);\(&quot;$&quot;#,##0\)"/>
    <numFmt numFmtId="172" formatCode="&quot;$&quot;#,##0_);[Red]\(&quot;$&quot;#,##0\)"/>
    <numFmt numFmtId="173" formatCode="_(&quot;$&quot;* #,##0.00_);_(&quot;$&quot;* \(#,##0.00\);_(&quot;$&quot;* &quot;-&quot;??_);_(@_)"/>
    <numFmt numFmtId="174" formatCode="0.000"/>
    <numFmt numFmtId="175" formatCode="0_);[Red]\(0\)"/>
    <numFmt numFmtId="176" formatCode="#,##0.0"/>
    <numFmt numFmtId="177" formatCode="[$-409]dd/mmm/yy;@"/>
    <numFmt numFmtId="178" formatCode="&quot;L.&quot;\ #,##0;[Red]\-&quot;L.&quot;\ #,##0"/>
    <numFmt numFmtId="179" formatCode="_([$€-2]* #,##0.00_);_([$€-2]* \(#,##0.00\);_([$€-2]* &quot;-&quot;??_)"/>
    <numFmt numFmtId="180" formatCode="_(* #,##0_);_(* \(#,##0\);_(* &quot;-&quot;?????_);_(@_)"/>
    <numFmt numFmtId="181" formatCode="_(* #,##0.00_);_(* #,##0.00;_(* &quot;-&quot;??_);_(@_)"/>
    <numFmt numFmtId="182" formatCode="_(* #,##0_);_(* #,##0_);_(* &quot;-&quot;??_);_(@_)"/>
    <numFmt numFmtId="183" formatCode="#,##0.0000_);\(#,##0.0000\)"/>
    <numFmt numFmtId="184" formatCode="_-* #,##0\ &quot;F&quot;_-;\-* #,##0\ &quot;F&quot;_-;_-* &quot;-&quot;\ &quot;F&quot;_-;_-@_-"/>
    <numFmt numFmtId="185" formatCode="0.00000_)"/>
    <numFmt numFmtId="186" formatCode="_-* #,##0\ _F_-;\-* #,##0\ _F_-;_-* &quot;-&quot;\ _F_-;_-@_-"/>
    <numFmt numFmtId="187" formatCode="General_)"/>
    <numFmt numFmtId="188" formatCode="#,##0;\-#,##0;&quot;-&quot;"/>
    <numFmt numFmtId="189" formatCode="yyyy"/>
    <numFmt numFmtId="190" formatCode="#,##0.0_);\(#,##0.0\)"/>
    <numFmt numFmtId="191" formatCode="#,##0.000_);\(#,##0.000\)"/>
    <numFmt numFmtId="192" formatCode="\(0.00%"/>
    <numFmt numFmtId="193" formatCode="0.000_)"/>
    <numFmt numFmtId="194" formatCode="#,##0_);[Red]\(#,##0\);0\ "/>
    <numFmt numFmtId="195" formatCode="[$-C09]dd\-mmm\-yy;@"/>
    <numFmt numFmtId="196" formatCode="_(* #,##0.00_);_(* \(#,##0.00\);_(* \-??_);_(@_)"/>
    <numFmt numFmtId="197" formatCode="[$-409]dddd\,\ mmmm\ dd\,\ yyyy"/>
    <numFmt numFmtId="198" formatCode="_-* #,##0_-;\-* #,##0_-;_-* &quot;-&quot;??_-;_-@_-"/>
    <numFmt numFmtId="199" formatCode="0.00000000000"/>
    <numFmt numFmtId="200" formatCode="#,##0."/>
    <numFmt numFmtId="201" formatCode="0###0"/>
    <numFmt numFmtId="202" formatCode="&quot;Rs.&quot;#,##0_);[Red]\(&quot;Rs.&quot;#,##0\)"/>
    <numFmt numFmtId="203" formatCode="&quot;$&quot;#,##0.00;[Red]\-&quot;$&quot;#,##0.00"/>
    <numFmt numFmtId="204" formatCode="&quot;£&quot;#."/>
    <numFmt numFmtId="205" formatCode="0.000000000"/>
    <numFmt numFmtId="206" formatCode="&quot;Rs.&quot;#,##0.00_);\(&quot;Rs.&quot;#,##0.00\)"/>
    <numFmt numFmtId="207" formatCode="\U\S\$#,##0.00;\(\U\S\$#,##0.00\)"/>
    <numFmt numFmtId="208" formatCode="#,##0_);[Red]\(#,##0\);;@"/>
    <numFmt numFmtId="209" formatCode="0.0000000000"/>
    <numFmt numFmtId="210" formatCode="#.00"/>
    <numFmt numFmtId="211" formatCode="General\ ;[Red]\(General\)"/>
    <numFmt numFmtId="212" formatCode="#."/>
    <numFmt numFmtId="213" formatCode="mmm\-yyyy"/>
    <numFmt numFmtId="214" formatCode=";;;"/>
    <numFmt numFmtId="215" formatCode="_-* #,##0.00\ _P_t_s_-;\-* #,##0.00\ _P_t_s_-;_-* &quot;-&quot;??\ _P_t_s_-;_-@_-"/>
    <numFmt numFmtId="216" formatCode="_-* #,##0.00\ _F_-;\-* #,##0.00\ _F_-;_-* &quot;-&quot;??\ _F_-;_-@_-"/>
    <numFmt numFmtId="217" formatCode="_-* #,##0\ &quot;Pts&quot;_-;\-* #,##0\ &quot;Pts&quot;_-;_-* &quot;-&quot;\ &quot;Pts&quot;_-;_-@_-"/>
    <numFmt numFmtId="218" formatCode="_-* #,##0.00\ &quot;Pts&quot;_-;\-* #,##0.00\ &quot;Pts&quot;_-;_-* &quot;-&quot;??\ &quot;Pts&quot;_-;_-@_-"/>
    <numFmt numFmtId="219" formatCode="_ * #,##0_)\ &quot;$&quot;_ ;_ * \(#,##0\)\ &quot;$&quot;_ ;_ * &quot;-&quot;_)\ &quot;$&quot;_ ;_ @_ "/>
    <numFmt numFmtId="220" formatCode="_ * #,##0.00_)\ &quot;$&quot;_ ;_ * \(#,##0.00\)\ &quot;$&quot;_ ;_ * &quot;-&quot;??_)\ &quot;$&quot;_ ;_ @_ "/>
    <numFmt numFmtId="221" formatCode="0.00_)"/>
    <numFmt numFmtId="222" formatCode="#,##0.000"/>
    <numFmt numFmtId="223" formatCode="_(0.00_);_(\(0.00\);_(* &quot;-&quot;??_);_(@_)"/>
    <numFmt numFmtId="224" formatCode="&quot;1 : &quot;#,##0.00_);[Red]\(&quot;1 : &quot;#,##0.00\)"/>
    <numFmt numFmtId="225" formatCode="mm/dd/yy"/>
    <numFmt numFmtId="226" formatCode="_(&quot;Rs.&quot;* #,##0_);_(&quot;Rs.&quot;* \(#,##0\);_(&quot;Rs.&quot;* &quot;-&quot;??_);_(@_)"/>
    <numFmt numFmtId="227" formatCode="\+0.00%\+"/>
    <numFmt numFmtId="228" formatCode="0.00%\)"/>
    <numFmt numFmtId="229" formatCode="0##0"/>
    <numFmt numFmtId="230" formatCode="_ &quot;Fr.&quot;\ * #,##0_ ;_ &quot;Fr.&quot;\ * \-#,##0_ ;_ &quot;Fr.&quot;\ * &quot;-&quot;_ ;_ @_ "/>
    <numFmt numFmtId="231" formatCode="_ &quot;Fr.&quot;\ * #,##0.00_ ;_ &quot;Fr.&quot;\ * \-#,##0.00_ ;_ &quot;Fr.&quot;\ * &quot;-&quot;??_ ;_ @_ "/>
    <numFmt numFmtId="232" formatCode="_(&quot;Yes&quot;_);_(&quot;No&quot;_);_(&quot;No&quot;_)"/>
    <numFmt numFmtId="233" formatCode="_ &quot;\&quot;* #,##0_ ;_ &quot;\&quot;* \-#,##0_ ;_ &quot;\&quot;* &quot;-&quot;_ ;_ @_ "/>
    <numFmt numFmtId="234" formatCode="_ &quot;\&quot;* #,##0.00_ ;_ &quot;\&quot;* \-#,##0.00_ ;_ &quot;\&quot;* &quot;-&quot;??_ ;_ @_ "/>
    <numFmt numFmtId="235" formatCode="0.00_);\(0.00\)"/>
    <numFmt numFmtId="236" formatCode="_ * #,##0_ ;_ * \-#,##0_ ;_ * &quot;-&quot;??_ ;_ @_ "/>
    <numFmt numFmtId="237" formatCode="_ * #,##0.0000_ ;_ * \-#,##0.0000_ ;_ * &quot;-&quot;??_ ;_ @_ "/>
    <numFmt numFmtId="238" formatCode="_ * #,##0.00000_ ;_ * \-#,##0.00000_ ;_ * &quot;-&quot;??_ ;_ @_ "/>
    <numFmt numFmtId="239" formatCode="_ * #,##0.0_ ;_ * \-#,##0.0_ ;_ * &quot;-&quot;??_ ;_ @_ "/>
    <numFmt numFmtId="240" formatCode="_(* #,##0.00_);_(* \(#,##0.00\);_(* &quot;-&quot;??_);_(@_)"/>
    <numFmt numFmtId="241" formatCode="_(* #,##0.000000000000_);_(* \(#,##0.000000000000\);_(* &quot;-&quot;??_);_(@_)"/>
    <numFmt numFmtId="242" formatCode="_(* #,##0.000_);_(* \(#,##0.000\);_(* &quot;-&quot;??_);_(@_)"/>
  </numFmts>
  <fonts count="167">
    <font>
      <sz val="11"/>
      <color theme="1"/>
      <name val="Calibri"/>
      <family val="2"/>
      <scheme val="minor"/>
    </font>
    <font>
      <sz val="11"/>
      <color theme="1"/>
      <name val="Calibri"/>
      <family val="2"/>
      <scheme val="minor"/>
    </font>
    <font>
      <sz val="10"/>
      <name val="Arial"/>
      <family val="2"/>
    </font>
    <font>
      <sz val="11"/>
      <color theme="1"/>
      <name val="Rockwell"/>
      <family val="1"/>
    </font>
    <font>
      <b/>
      <sz val="11"/>
      <color theme="1"/>
      <name val="Rockwell"/>
      <family val="1"/>
    </font>
    <font>
      <b/>
      <sz val="11"/>
      <name val="Rockwell"/>
      <family val="1"/>
    </font>
    <font>
      <b/>
      <sz val="14"/>
      <name val="Rockwell"/>
      <family val="1"/>
    </font>
    <font>
      <sz val="14"/>
      <name val="Rockwell"/>
      <family val="1"/>
    </font>
    <font>
      <b/>
      <sz val="12"/>
      <color theme="1"/>
      <name val="Rockwell"/>
      <family val="1"/>
    </font>
    <font>
      <sz val="12"/>
      <color theme="1"/>
      <name val="Rockwell"/>
      <family val="1"/>
    </font>
    <font>
      <b/>
      <sz val="16"/>
      <color theme="1"/>
      <name val="Rockwell"/>
      <family val="1"/>
    </font>
    <font>
      <sz val="10"/>
      <name val="Times New Roman"/>
      <family val="1"/>
      <charset val="204"/>
    </font>
    <font>
      <sz val="11"/>
      <color indexed="8"/>
      <name val="Calibri"/>
      <family val="2"/>
    </font>
    <font>
      <sz val="10"/>
      <color indexed="8"/>
      <name val="MS Sans Serif"/>
      <family val="2"/>
    </font>
    <font>
      <sz val="10"/>
      <name val="Helv"/>
      <charset val="204"/>
    </font>
    <font>
      <b/>
      <sz val="10"/>
      <name val="Arial"/>
      <family val="2"/>
    </font>
    <font>
      <sz val="10"/>
      <color theme="1"/>
      <name val="Arial"/>
      <family val="2"/>
    </font>
    <font>
      <b/>
      <sz val="9"/>
      <name val="Arial"/>
      <family val="2"/>
    </font>
    <font>
      <sz val="10"/>
      <color indexed="8"/>
      <name val="Arial"/>
      <family val="2"/>
    </font>
    <font>
      <sz val="12"/>
      <name val="Times New Roman"/>
      <family val="1"/>
    </font>
    <font>
      <sz val="11"/>
      <name val="?? ??"/>
      <family val="1"/>
      <charset val="128"/>
    </font>
    <font>
      <sz val="14"/>
      <name val="Terminal"/>
      <family val="3"/>
      <charset val="128"/>
    </font>
    <font>
      <sz val="10"/>
      <name val="Helv"/>
      <family val="2"/>
    </font>
    <font>
      <sz val="9"/>
      <name val="Arial"/>
      <family val="2"/>
    </font>
    <font>
      <sz val="10"/>
      <name val="Helv"/>
    </font>
    <font>
      <sz val="10"/>
      <name val="Arial"/>
      <family val="2"/>
      <charset val="204"/>
    </font>
    <font>
      <sz val="8"/>
      <name val="Helv"/>
      <charset val="204"/>
    </font>
    <font>
      <sz val="8"/>
      <name val="Arial"/>
      <family val="2"/>
    </font>
    <font>
      <sz val="11"/>
      <name val="돋움"/>
      <charset val="129"/>
    </font>
    <font>
      <b/>
      <sz val="14"/>
      <name val="Arial"/>
      <family val="2"/>
    </font>
    <font>
      <sz val="11"/>
      <color indexed="9"/>
      <name val="Calibri"/>
      <family val="2"/>
    </font>
    <font>
      <sz val="14"/>
      <name val="AngsanaUPC"/>
      <family val="1"/>
    </font>
    <font>
      <sz val="10"/>
      <name val="Times New Roman"/>
      <family val="1"/>
    </font>
    <font>
      <sz val="12"/>
      <name val="¹UAAA¼"/>
      <family val="3"/>
      <charset val="129"/>
    </font>
    <font>
      <sz val="11"/>
      <color indexed="20"/>
      <name val="Calibri"/>
      <family val="2"/>
    </font>
    <font>
      <sz val="7"/>
      <name val="Helv"/>
    </font>
    <font>
      <sz val="12"/>
      <name val="Tms Rmn"/>
    </font>
    <font>
      <b/>
      <sz val="11"/>
      <color indexed="8"/>
      <name val="Arial"/>
      <family val="2"/>
    </font>
    <font>
      <b/>
      <sz val="10"/>
      <name val="MS Sans Serif"/>
      <family val="2"/>
    </font>
    <font>
      <sz val="10"/>
      <name val="MS Sans Serif"/>
      <family val="2"/>
    </font>
    <font>
      <sz val="12"/>
      <name val="¹ÙÅÁÃ¼"/>
      <charset val="129"/>
    </font>
    <font>
      <sz val="11"/>
      <name val="µ¸¿ò"/>
      <family val="3"/>
      <charset val="129"/>
    </font>
    <font>
      <sz val="9"/>
      <name val="Times New Roman"/>
      <family val="1"/>
    </font>
    <font>
      <sz val="10"/>
      <name val="Courier"/>
      <family val="3"/>
    </font>
    <font>
      <b/>
      <sz val="11"/>
      <color indexed="52"/>
      <name val="Calibri"/>
      <family val="2"/>
    </font>
    <font>
      <b/>
      <sz val="10"/>
      <name val="Helv"/>
    </font>
    <font>
      <sz val="8"/>
      <name val="Helvetica-Narrow"/>
      <family val="2"/>
    </font>
    <font>
      <b/>
      <sz val="11"/>
      <color indexed="9"/>
      <name val="Calibri"/>
      <family val="2"/>
    </font>
    <font>
      <sz val="10"/>
      <name val="Tms Rmn"/>
    </font>
    <font>
      <sz val="11"/>
      <name val="Tms Rmn"/>
    </font>
    <font>
      <sz val="9"/>
      <color indexed="8"/>
      <name val="Times New Roman"/>
      <family val="1"/>
    </font>
    <font>
      <sz val="10"/>
      <name val="Helv"/>
      <family val="2"/>
      <charset val="204"/>
    </font>
    <font>
      <sz val="1"/>
      <color indexed="8"/>
      <name val="Courier"/>
      <family val="3"/>
    </font>
    <font>
      <sz val="10"/>
      <name val="MS Serif"/>
      <family val="1"/>
    </font>
    <font>
      <sz val="11"/>
      <name val="Courier"/>
      <family val="3"/>
    </font>
    <font>
      <b/>
      <u/>
      <sz val="11"/>
      <name val="Times New Roman"/>
      <family val="1"/>
    </font>
    <font>
      <sz val="12"/>
      <name val="Helv"/>
    </font>
    <font>
      <sz val="12"/>
      <name val="Arial"/>
      <family val="2"/>
    </font>
    <font>
      <sz val="10"/>
      <name val="Century Gothic"/>
      <family val="2"/>
    </font>
    <font>
      <sz val="10"/>
      <color indexed="16"/>
      <name val="MS Serif"/>
      <family val="1"/>
    </font>
    <font>
      <i/>
      <sz val="11"/>
      <color indexed="23"/>
      <name val="Calibri"/>
      <family val="2"/>
    </font>
    <font>
      <u/>
      <sz val="11"/>
      <color indexed="12"/>
      <name val="Book Antiqua"/>
      <family val="1"/>
    </font>
    <font>
      <sz val="10"/>
      <color indexed="10"/>
      <name val="Arial"/>
      <family val="2"/>
    </font>
    <font>
      <sz val="11"/>
      <color indexed="17"/>
      <name val="Calibri"/>
      <family val="2"/>
    </font>
    <font>
      <b/>
      <sz val="10"/>
      <name val="Century Gothic"/>
      <family val="2"/>
    </font>
    <font>
      <b/>
      <sz val="12"/>
      <name val="Arial"/>
      <family val="2"/>
    </font>
    <font>
      <b/>
      <sz val="16"/>
      <name val="Arial"/>
      <family val="2"/>
    </font>
    <font>
      <b/>
      <sz val="15"/>
      <color indexed="56"/>
      <name val="Calibri"/>
      <family val="2"/>
    </font>
    <font>
      <b/>
      <sz val="1"/>
      <color indexed="8"/>
      <name val="Courier"/>
      <family val="3"/>
    </font>
    <font>
      <b/>
      <sz val="13"/>
      <color indexed="56"/>
      <name val="Calibri"/>
      <family val="2"/>
    </font>
    <font>
      <b/>
      <sz val="11"/>
      <color indexed="56"/>
      <name val="Calibri"/>
      <family val="2"/>
    </font>
    <font>
      <b/>
      <sz val="10"/>
      <name val="Times New Roman"/>
      <family val="1"/>
    </font>
    <font>
      <u/>
      <sz val="10"/>
      <color indexed="12"/>
      <name val="Arial"/>
      <family val="2"/>
    </font>
    <font>
      <u/>
      <sz val="9"/>
      <color indexed="12"/>
      <name val="Arial"/>
      <family val="2"/>
    </font>
    <font>
      <sz val="11"/>
      <color indexed="62"/>
      <name val="Calibri"/>
      <family val="2"/>
    </font>
    <font>
      <b/>
      <sz val="14"/>
      <name val="Helv"/>
    </font>
    <font>
      <b/>
      <u val="double"/>
      <sz val="12"/>
      <name val="Times New Roman"/>
      <family val="1"/>
    </font>
    <font>
      <b/>
      <u val="double"/>
      <sz val="11"/>
      <name val="Times New Roman"/>
      <family val="1"/>
    </font>
    <font>
      <u/>
      <sz val="10"/>
      <color indexed="36"/>
      <name val="Arial"/>
      <family val="2"/>
    </font>
    <font>
      <u/>
      <sz val="6"/>
      <color indexed="12"/>
      <name val="Arial"/>
      <family val="2"/>
    </font>
    <font>
      <sz val="11"/>
      <color indexed="52"/>
      <name val="Calibri"/>
      <family val="2"/>
    </font>
    <font>
      <b/>
      <sz val="11"/>
      <name val="Helv"/>
    </font>
    <font>
      <sz val="11"/>
      <color indexed="60"/>
      <name val="Calibri"/>
      <family val="2"/>
    </font>
    <font>
      <sz val="11"/>
      <name val="Tahoma"/>
      <family val="2"/>
    </font>
    <font>
      <sz val="7"/>
      <name val="Small Fonts"/>
      <family val="2"/>
    </font>
    <font>
      <b/>
      <i/>
      <sz val="16"/>
      <name val="Helv"/>
    </font>
    <font>
      <sz val="10"/>
      <name val="Book Antiqua"/>
      <family val="1"/>
    </font>
    <font>
      <b/>
      <sz val="11"/>
      <color indexed="63"/>
      <name val="Calibri"/>
      <family val="2"/>
    </font>
    <font>
      <sz val="12"/>
      <color indexed="8"/>
      <name val="Times New Roman"/>
      <family val="1"/>
    </font>
    <font>
      <b/>
      <sz val="10"/>
      <name val="Arial CE"/>
      <family val="2"/>
      <charset val="238"/>
    </font>
    <font>
      <sz val="7"/>
      <color indexed="10"/>
      <name val="Helv"/>
    </font>
    <font>
      <sz val="8"/>
      <name val="Helv"/>
    </font>
    <font>
      <b/>
      <u/>
      <sz val="10"/>
      <color indexed="18"/>
      <name val="Century Gothic"/>
      <family val="2"/>
    </font>
    <font>
      <sz val="10"/>
      <name val="CG Times"/>
      <family val="1"/>
    </font>
    <font>
      <u/>
      <sz val="9"/>
      <color indexed="36"/>
      <name val="Arial"/>
      <family val="2"/>
    </font>
    <font>
      <sz val="12"/>
      <name val="Univers (WN)"/>
    </font>
    <font>
      <b/>
      <sz val="12"/>
      <color indexed="18"/>
      <name val="Times New Roman"/>
      <family val="1"/>
    </font>
    <font>
      <b/>
      <sz val="8"/>
      <color indexed="8"/>
      <name val="Helv"/>
    </font>
    <font>
      <sz val="10"/>
      <color indexed="12"/>
      <name val="Times New Roman"/>
      <family val="1"/>
    </font>
    <font>
      <b/>
      <u/>
      <sz val="10"/>
      <color indexed="10"/>
      <name val="Arial"/>
      <family val="2"/>
    </font>
    <font>
      <sz val="11"/>
      <name val="Times New Roman"/>
      <family val="1"/>
    </font>
    <font>
      <b/>
      <sz val="11"/>
      <name val="Times New Roman"/>
      <family val="1"/>
    </font>
    <font>
      <sz val="24"/>
      <color indexed="13"/>
      <name val="Helv"/>
    </font>
    <font>
      <b/>
      <sz val="18"/>
      <color indexed="56"/>
      <name val="Cambria"/>
      <family val="2"/>
    </font>
    <font>
      <b/>
      <i/>
      <sz val="12"/>
      <name val="Times New Roman"/>
      <family val="1"/>
    </font>
    <font>
      <b/>
      <sz val="14"/>
      <color indexed="48"/>
      <name val="Albertus Medium"/>
      <family val="2"/>
    </font>
    <font>
      <b/>
      <sz val="10"/>
      <name val="Britannic Bold"/>
      <family val="2"/>
    </font>
    <font>
      <b/>
      <sz val="10"/>
      <name val="Univers Condensed"/>
      <family val="2"/>
    </font>
    <font>
      <b/>
      <sz val="7"/>
      <name val="Tms Rmn"/>
    </font>
    <font>
      <b/>
      <sz val="11"/>
      <color indexed="8"/>
      <name val="Calibri"/>
      <family val="2"/>
    </font>
    <font>
      <sz val="11"/>
      <color indexed="10"/>
      <name val="Calibri"/>
      <family val="2"/>
    </font>
    <font>
      <u/>
      <sz val="11"/>
      <color indexed="12"/>
      <name val="ＭＳ Ｐゴシック"/>
      <family val="3"/>
      <charset val="128"/>
    </font>
    <font>
      <sz val="14"/>
      <name val="뼻뮝"/>
      <family val="3"/>
      <charset val="129"/>
    </font>
    <font>
      <sz val="12"/>
      <name val="바탕체"/>
      <family val="1"/>
      <charset val="129"/>
    </font>
    <font>
      <sz val="12"/>
      <name val="뼻뮝"/>
      <family val="1"/>
      <charset val="129"/>
    </font>
    <font>
      <sz val="12"/>
      <name val="돋움체"/>
      <family val="3"/>
      <charset val="129"/>
    </font>
    <font>
      <sz val="10"/>
      <name val="굴림체"/>
      <family val="3"/>
      <charset val="129"/>
    </font>
    <font>
      <sz val="11"/>
      <name val="ＭＳ 明朝"/>
      <family val="1"/>
      <charset val="128"/>
    </font>
    <font>
      <sz val="10"/>
      <name val="ＭＳ ゴシック"/>
      <family val="3"/>
      <charset val="128"/>
    </font>
    <font>
      <u/>
      <sz val="11"/>
      <color indexed="36"/>
      <name val="ＭＳ Ｐゴシック"/>
      <family val="3"/>
      <charset val="128"/>
    </font>
    <font>
      <sz val="10"/>
      <color rgb="FF000000"/>
      <name val="Times New Roman"/>
      <family val="1"/>
    </font>
    <font>
      <sz val="10"/>
      <name val="Verdana"/>
      <family val="2"/>
    </font>
    <font>
      <sz val="14"/>
      <color theme="1"/>
      <name val="Calibri"/>
      <family val="2"/>
      <scheme val="minor"/>
    </font>
    <font>
      <sz val="14"/>
      <color theme="1"/>
      <name val="Rockwell"/>
      <family val="1"/>
    </font>
    <font>
      <b/>
      <sz val="14"/>
      <color theme="1"/>
      <name val="Rockwell"/>
      <family val="1"/>
    </font>
    <font>
      <b/>
      <sz val="11"/>
      <color theme="1"/>
      <name val="Calibri"/>
      <family val="2"/>
      <scheme val="minor"/>
    </font>
    <font>
      <b/>
      <sz val="11"/>
      <color rgb="FFC00000"/>
      <name val="Rockwell"/>
      <family val="1"/>
    </font>
    <font>
      <b/>
      <sz val="14"/>
      <color rgb="FFC00000"/>
      <name val="Rockwell"/>
      <family val="1"/>
    </font>
    <font>
      <b/>
      <sz val="11"/>
      <color theme="1"/>
      <name val="Cambria"/>
      <family val="1"/>
    </font>
    <font>
      <sz val="11"/>
      <name val="Cambria"/>
      <family val="1"/>
    </font>
    <font>
      <b/>
      <sz val="11"/>
      <name val="Cambria"/>
      <family val="1"/>
    </font>
    <font>
      <sz val="11"/>
      <color theme="1"/>
      <name val="Cambria"/>
      <family val="1"/>
    </font>
    <font>
      <sz val="10"/>
      <name val="Georgia"/>
      <family val="1"/>
    </font>
    <font>
      <b/>
      <sz val="12"/>
      <color theme="0"/>
      <name val="Georgia"/>
      <family val="1"/>
    </font>
    <font>
      <b/>
      <sz val="16"/>
      <color theme="1"/>
      <name val="Georgia"/>
      <family val="1"/>
    </font>
    <font>
      <b/>
      <sz val="10"/>
      <color theme="1"/>
      <name val="Georgia"/>
      <family val="1"/>
    </font>
    <font>
      <b/>
      <u/>
      <sz val="14"/>
      <color theme="0"/>
      <name val="Georgia"/>
      <family val="1"/>
    </font>
    <font>
      <b/>
      <u/>
      <sz val="9"/>
      <color theme="0"/>
      <name val="Georgia"/>
      <family val="1"/>
    </font>
    <font>
      <b/>
      <sz val="9"/>
      <color theme="1"/>
      <name val="Georgia"/>
      <family val="1"/>
    </font>
    <font>
      <b/>
      <sz val="9"/>
      <name val="Georgia"/>
      <family val="1"/>
    </font>
    <font>
      <b/>
      <sz val="11"/>
      <name val="Georgia"/>
      <family val="1"/>
    </font>
    <font>
      <b/>
      <sz val="9"/>
      <name val="Wingdings"/>
      <charset val="2"/>
    </font>
    <font>
      <sz val="9"/>
      <name val="Georgia"/>
      <family val="1"/>
    </font>
    <font>
      <b/>
      <sz val="9"/>
      <name val="Webdings"/>
      <family val="1"/>
      <charset val="2"/>
    </font>
    <font>
      <sz val="8"/>
      <name val="Georgia"/>
      <family val="1"/>
    </font>
    <font>
      <b/>
      <sz val="9"/>
      <name val="Times New Roman"/>
      <family val="1"/>
    </font>
    <font>
      <b/>
      <sz val="12"/>
      <name val="Georgia"/>
      <family val="1"/>
    </font>
    <font>
      <sz val="10"/>
      <name val="Arial"/>
      <family val="2"/>
      <charset val="1"/>
    </font>
    <font>
      <sz val="10"/>
      <name val="Arial"/>
      <family val="2"/>
    </font>
    <font>
      <sz val="16"/>
      <name val="Rockwell"/>
      <family val="1"/>
    </font>
    <font>
      <b/>
      <sz val="16"/>
      <name val="Rockwell"/>
      <family val="1"/>
    </font>
    <font>
      <sz val="16"/>
      <color theme="1"/>
      <name val="Rockwell"/>
      <family val="1"/>
    </font>
    <font>
      <b/>
      <sz val="18"/>
      <color theme="1"/>
      <name val="Rockwell"/>
      <family val="1"/>
    </font>
    <font>
      <sz val="18"/>
      <name val="Rockwell"/>
      <family val="1"/>
    </font>
    <font>
      <b/>
      <sz val="18"/>
      <name val="Rockwell"/>
      <family val="1"/>
    </font>
    <font>
      <sz val="18"/>
      <color theme="1"/>
      <name val="Rockwell"/>
      <family val="1"/>
    </font>
    <font>
      <b/>
      <sz val="16"/>
      <color rgb="FF000000"/>
      <name val="Rockwell"/>
      <family val="1"/>
    </font>
    <font>
      <sz val="16"/>
      <color rgb="FF000000"/>
      <name val="Rockwell"/>
      <family val="1"/>
    </font>
    <font>
      <b/>
      <sz val="14"/>
      <color theme="1"/>
      <name val="Calibri"/>
      <family val="2"/>
      <scheme val="minor"/>
    </font>
    <font>
      <b/>
      <sz val="16"/>
      <color theme="1"/>
      <name val="Calibri"/>
      <family val="2"/>
      <scheme val="minor"/>
    </font>
    <font>
      <sz val="8"/>
      <name val="Calibri"/>
      <family val="2"/>
      <scheme val="minor"/>
    </font>
    <font>
      <sz val="11"/>
      <name val="Rockwell"/>
      <family val="1"/>
    </font>
    <font>
      <b/>
      <sz val="8"/>
      <color theme="1"/>
      <name val="Calibri"/>
      <family val="2"/>
      <scheme val="minor"/>
    </font>
    <font>
      <sz val="12"/>
      <color theme="1"/>
      <name val="Calibri"/>
      <family val="2"/>
      <scheme val="minor"/>
    </font>
    <font>
      <sz val="12"/>
      <name val="Rockwell"/>
      <family val="1"/>
    </font>
    <font>
      <b/>
      <sz val="12"/>
      <color rgb="FFC00000"/>
      <name val="Rockwell"/>
      <family val="1"/>
    </font>
    <font>
      <sz val="14"/>
      <color rgb="FFC00000"/>
      <name val="Rockwell"/>
      <family val="1"/>
    </font>
  </fonts>
  <fills count="50">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indexed="12"/>
      </patternFill>
    </fill>
    <fill>
      <patternFill patternType="solid">
        <fgColor indexed="13"/>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39988402966399123"/>
        <bgColor indexed="64"/>
      </patternFill>
    </fill>
    <fill>
      <patternFill patternType="solid">
        <fgColor theme="2"/>
        <bgColor indexed="64"/>
      </patternFill>
    </fill>
    <fill>
      <patternFill patternType="solid">
        <fgColor rgb="FF19194D"/>
        <bgColor indexed="64"/>
      </patternFill>
    </fill>
    <fill>
      <patternFill patternType="solid">
        <fgColor rgb="FFDCE6F2"/>
        <bgColor indexed="64"/>
      </patternFill>
    </fill>
    <fill>
      <patternFill patternType="solid">
        <fgColor rgb="FFF2F2F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3" tint="0.79998168889431442"/>
        <bgColor indexed="64"/>
      </patternFill>
    </fill>
  </fills>
  <borders count="105">
    <border>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hair">
        <color indexed="64"/>
      </left>
      <right style="hair">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8"/>
      </top>
      <bottom style="hair">
        <color indexed="8"/>
      </bottom>
      <diagonal/>
    </border>
    <border>
      <left/>
      <right/>
      <top style="double">
        <color indexed="64"/>
      </top>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style="thin">
        <color indexed="64"/>
      </left>
      <right style="thin">
        <color indexed="64"/>
      </right>
      <top style="thin">
        <color indexed="64"/>
      </top>
      <bottom/>
      <diagonal/>
    </border>
    <border>
      <left style="hair">
        <color indexed="64"/>
      </left>
      <right/>
      <top style="hair">
        <color indexed="64"/>
      </top>
      <bottom style="medium">
        <color indexed="64"/>
      </bottom>
      <diagonal/>
    </border>
    <border>
      <left style="hair">
        <color indexed="64"/>
      </left>
      <right style="hair">
        <color indexed="64"/>
      </right>
      <top/>
      <bottom style="medium">
        <color indexed="64"/>
      </bottom>
      <diagonal/>
    </border>
    <border>
      <left/>
      <right style="hair">
        <color indexed="64"/>
      </right>
      <top/>
      <bottom/>
      <diagonal/>
    </border>
    <border>
      <left style="hair">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hair">
        <color indexed="64"/>
      </right>
      <top style="hair">
        <color indexed="64"/>
      </top>
      <bottom style="hair">
        <color indexed="64"/>
      </bottom>
      <diagonal/>
    </border>
    <border>
      <left/>
      <right/>
      <top style="hair">
        <color auto="1"/>
      </top>
      <bottom style="hair">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top style="thin">
        <color auto="1"/>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auto="1"/>
      </left>
      <right/>
      <top style="thin">
        <color theme="1"/>
      </top>
      <bottom style="thin">
        <color auto="1"/>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hair">
        <color indexed="64"/>
      </top>
      <bottom/>
      <diagonal/>
    </border>
    <border>
      <left style="thin">
        <color indexed="64"/>
      </left>
      <right style="thin">
        <color indexed="64"/>
      </right>
      <top/>
      <bottom/>
      <diagonal/>
    </border>
    <border>
      <left/>
      <right/>
      <top style="hair">
        <color auto="1"/>
      </top>
      <bottom style="medium">
        <color indexed="64"/>
      </bottom>
      <diagonal/>
    </border>
    <border>
      <left/>
      <right style="hair">
        <color indexed="64"/>
      </right>
      <top style="hair">
        <color indexed="64"/>
      </top>
      <bottom style="medium">
        <color indexed="64"/>
      </bottom>
      <diagonal/>
    </border>
    <border>
      <left style="medium">
        <color indexed="64"/>
      </left>
      <right/>
      <top style="hair">
        <color indexed="64"/>
      </top>
      <bottom style="hair">
        <color indexed="64"/>
      </bottom>
      <diagonal/>
    </border>
    <border>
      <left/>
      <right style="hair">
        <color indexed="64"/>
      </right>
      <top style="medium">
        <color indexed="64"/>
      </top>
      <bottom style="hair">
        <color indexed="64"/>
      </bottom>
      <diagonal/>
    </border>
    <border>
      <left style="medium">
        <color indexed="64"/>
      </left>
      <right style="thin">
        <color indexed="64"/>
      </right>
      <top/>
      <bottom/>
      <diagonal/>
    </border>
  </borders>
  <cellStyleXfs count="1298">
    <xf numFmtId="0" fontId="0" fillId="0" borderId="0"/>
    <xf numFmtId="43" fontId="1" fillId="0" borderId="0" applyFont="0" applyFill="0" applyBorder="0" applyAlignment="0" applyProtection="0"/>
    <xf numFmtId="0" fontId="1" fillId="0" borderId="0"/>
    <xf numFmtId="0" fontId="2" fillId="0" borderId="0"/>
    <xf numFmtId="43" fontId="1" fillId="0" borderId="0" applyFont="0" applyFill="0" applyBorder="0" applyAlignment="0" applyProtection="0"/>
    <xf numFmtId="0" fontId="2" fillId="0" borderId="0"/>
    <xf numFmtId="0" fontId="2" fillId="0" borderId="0"/>
    <xf numFmtId="0" fontId="11" fillId="0" borderId="0" applyNumberFormat="0" applyFill="0" applyBorder="0" applyProtection="0">
      <alignment vertical="top" wrapText="1"/>
    </xf>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12"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12" fillId="0" borderId="0"/>
    <xf numFmtId="0" fontId="13" fillId="0" borderId="0"/>
    <xf numFmtId="0" fontId="14" fillId="0" borderId="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2" fillId="0" borderId="0"/>
    <xf numFmtId="43" fontId="12" fillId="0" borderId="0" applyFont="0" applyFill="0" applyBorder="0" applyAlignment="0" applyProtection="0"/>
    <xf numFmtId="0" fontId="2" fillId="0" borderId="0"/>
    <xf numFmtId="175" fontId="2" fillId="0" borderId="0" applyFont="0" applyFill="0" applyBorder="0" applyAlignment="0" applyProtection="0"/>
    <xf numFmtId="175"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2" fillId="0" borderId="0"/>
    <xf numFmtId="177" fontId="1" fillId="0" borderId="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9" fillId="0" borderId="0"/>
    <xf numFmtId="176" fontId="2" fillId="0" borderId="0" applyFont="0" applyFill="0" applyBorder="0" applyAlignment="0" applyProtection="0"/>
    <xf numFmtId="178" fontId="2"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0" fontId="21" fillId="0" borderId="0"/>
    <xf numFmtId="179" fontId="22" fillId="0" borderId="0"/>
    <xf numFmtId="0" fontId="22" fillId="0" borderId="0"/>
    <xf numFmtId="0" fontId="22" fillId="0" borderId="0"/>
    <xf numFmtId="179" fontId="14" fillId="0" borderId="0"/>
    <xf numFmtId="179" fontId="2" fillId="0" borderId="0" applyNumberFormat="0" applyFill="0" applyBorder="0" applyAlignment="0" applyProtection="0"/>
    <xf numFmtId="179" fontId="14" fillId="0" borderId="0"/>
    <xf numFmtId="179" fontId="14" fillId="0" borderId="0"/>
    <xf numFmtId="179" fontId="2" fillId="0" borderId="0" applyNumberFormat="0" applyFill="0" applyBorder="0" applyAlignment="0" applyProtection="0"/>
    <xf numFmtId="179" fontId="14" fillId="0" borderId="0"/>
    <xf numFmtId="0" fontId="23" fillId="0" borderId="0"/>
    <xf numFmtId="0" fontId="14" fillId="0" borderId="0"/>
    <xf numFmtId="179" fontId="14" fillId="0" borderId="0"/>
    <xf numFmtId="179" fontId="22" fillId="0" borderId="0"/>
    <xf numFmtId="179" fontId="22" fillId="0" borderId="0"/>
    <xf numFmtId="179" fontId="22" fillId="0" borderId="0"/>
    <xf numFmtId="179" fontId="22" fillId="0" borderId="0"/>
    <xf numFmtId="0" fontId="23" fillId="0" borderId="0"/>
    <xf numFmtId="0" fontId="23" fillId="0" borderId="0"/>
    <xf numFmtId="179" fontId="22" fillId="0" borderId="0"/>
    <xf numFmtId="179" fontId="14" fillId="0" borderId="0"/>
    <xf numFmtId="179" fontId="14" fillId="0" borderId="0"/>
    <xf numFmtId="179" fontId="22" fillId="0" borderId="0"/>
    <xf numFmtId="179" fontId="22" fillId="0" borderId="0"/>
    <xf numFmtId="179" fontId="22" fillId="0" borderId="0"/>
    <xf numFmtId="179" fontId="14" fillId="0" borderId="0"/>
    <xf numFmtId="0" fontId="22" fillId="0" borderId="0"/>
    <xf numFmtId="179" fontId="14" fillId="0" borderId="0"/>
    <xf numFmtId="179" fontId="14" fillId="0" borderId="0"/>
    <xf numFmtId="179" fontId="22" fillId="0" borderId="0"/>
    <xf numFmtId="0" fontId="14" fillId="0" borderId="0"/>
    <xf numFmtId="179" fontId="24" fillId="0" borderId="0"/>
    <xf numFmtId="179" fontId="2" fillId="0" borderId="0" applyNumberFormat="0" applyFill="0" applyBorder="0" applyAlignment="0" applyProtection="0"/>
    <xf numFmtId="179" fontId="14" fillId="0" borderId="0"/>
    <xf numFmtId="0" fontId="14" fillId="0" borderId="0"/>
    <xf numFmtId="179" fontId="14" fillId="0" borderId="0"/>
    <xf numFmtId="179" fontId="22" fillId="0" borderId="0"/>
    <xf numFmtId="179" fontId="22" fillId="0" borderId="0"/>
    <xf numFmtId="179" fontId="22" fillId="0" borderId="0"/>
    <xf numFmtId="179" fontId="25" fillId="0" borderId="0"/>
    <xf numFmtId="179" fontId="14" fillId="0" borderId="0"/>
    <xf numFmtId="179" fontId="22" fillId="0" borderId="0"/>
    <xf numFmtId="0" fontId="14" fillId="0" borderId="0"/>
    <xf numFmtId="0" fontId="14" fillId="0" borderId="0"/>
    <xf numFmtId="0" fontId="14" fillId="0" borderId="0"/>
    <xf numFmtId="0" fontId="23" fillId="0" borderId="0"/>
    <xf numFmtId="0" fontId="14" fillId="0" borderId="0"/>
    <xf numFmtId="179" fontId="14" fillId="0" borderId="0"/>
    <xf numFmtId="179" fontId="22" fillId="0" borderId="0"/>
    <xf numFmtId="0" fontId="26" fillId="0" borderId="0"/>
    <xf numFmtId="0" fontId="14" fillId="0" borderId="0"/>
    <xf numFmtId="0" fontId="14" fillId="0" borderId="0"/>
    <xf numFmtId="0" fontId="27" fillId="0" borderId="0"/>
    <xf numFmtId="179" fontId="14" fillId="0" borderId="0"/>
    <xf numFmtId="179" fontId="14" fillId="0" borderId="0"/>
    <xf numFmtId="179" fontId="14" fillId="0" borderId="0"/>
    <xf numFmtId="179" fontId="14" fillId="0" borderId="0"/>
    <xf numFmtId="179" fontId="14" fillId="0" borderId="0"/>
    <xf numFmtId="179" fontId="14" fillId="0" borderId="0"/>
    <xf numFmtId="179" fontId="14" fillId="0" borderId="0"/>
    <xf numFmtId="179" fontId="14" fillId="0" borderId="0"/>
    <xf numFmtId="179" fontId="14" fillId="0" borderId="0"/>
    <xf numFmtId="0" fontId="14" fillId="0" borderId="0"/>
    <xf numFmtId="0" fontId="14" fillId="0" borderId="0"/>
    <xf numFmtId="179" fontId="14" fillId="0" borderId="0"/>
    <xf numFmtId="0" fontId="27"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9" fontId="14" fillId="0" borderId="0"/>
    <xf numFmtId="0" fontId="14" fillId="0" borderId="0"/>
    <xf numFmtId="0" fontId="14" fillId="0" borderId="0"/>
    <xf numFmtId="179" fontId="14" fillId="0" borderId="0"/>
    <xf numFmtId="0" fontId="14" fillId="0" borderId="0"/>
    <xf numFmtId="0" fontId="14" fillId="0" borderId="0"/>
    <xf numFmtId="0" fontId="14" fillId="0" borderId="0"/>
    <xf numFmtId="0" fontId="14" fillId="0" borderId="0"/>
    <xf numFmtId="0" fontId="14" fillId="0" borderId="0"/>
    <xf numFmtId="179" fontId="22" fillId="0" borderId="0"/>
    <xf numFmtId="0" fontId="2" fillId="0" borderId="0"/>
    <xf numFmtId="0" fontId="2" fillId="0" borderId="0"/>
    <xf numFmtId="0" fontId="2" fillId="0" borderId="0"/>
    <xf numFmtId="0" fontId="23" fillId="0" borderId="0"/>
    <xf numFmtId="0" fontId="23" fillId="0" borderId="0"/>
    <xf numFmtId="179" fontId="2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9" fontId="22" fillId="0" borderId="0"/>
    <xf numFmtId="0" fontId="14" fillId="0" borderId="0"/>
    <xf numFmtId="0" fontId="23" fillId="0" borderId="0"/>
    <xf numFmtId="179" fontId="14" fillId="0" borderId="0"/>
    <xf numFmtId="0" fontId="23" fillId="0" borderId="0"/>
    <xf numFmtId="0" fontId="14" fillId="0" borderId="0"/>
    <xf numFmtId="0" fontId="14" fillId="0" borderId="0"/>
    <xf numFmtId="0" fontId="14" fillId="0" borderId="0"/>
    <xf numFmtId="179" fontId="14" fillId="0" borderId="0"/>
    <xf numFmtId="179" fontId="14" fillId="0" borderId="0"/>
    <xf numFmtId="179" fontId="22" fillId="0" borderId="0"/>
    <xf numFmtId="43" fontId="2" fillId="0" borderId="0" applyFont="0" applyFill="0" applyBorder="0" applyAlignment="0" applyProtection="0"/>
    <xf numFmtId="0" fontId="14" fillId="0" borderId="0"/>
    <xf numFmtId="179" fontId="14" fillId="0" borderId="0"/>
    <xf numFmtId="179" fontId="22" fillId="0" borderId="0"/>
    <xf numFmtId="179" fontId="22" fillId="0" borderId="0"/>
    <xf numFmtId="179" fontId="22" fillId="0" borderId="0"/>
    <xf numFmtId="0" fontId="14" fillId="0" borderId="0"/>
    <xf numFmtId="0" fontId="22" fillId="0" borderId="0"/>
    <xf numFmtId="0" fontId="22" fillId="0" borderId="0"/>
    <xf numFmtId="179" fontId="14" fillId="0" borderId="0"/>
    <xf numFmtId="179" fontId="22" fillId="0" borderId="0"/>
    <xf numFmtId="179" fontId="22" fillId="0" borderId="0"/>
    <xf numFmtId="0" fontId="23" fillId="0" borderId="0"/>
    <xf numFmtId="179" fontId="22" fillId="0" borderId="0"/>
    <xf numFmtId="0" fontId="14" fillId="0" borderId="0"/>
    <xf numFmtId="0" fontId="2" fillId="0" borderId="0"/>
    <xf numFmtId="0" fontId="2" fillId="0" borderId="0"/>
    <xf numFmtId="180" fontId="29" fillId="0" borderId="0" applyFont="0" applyBorder="0" applyAlignment="0">
      <alignment horizontal="left" vertical="center"/>
    </xf>
    <xf numFmtId="179" fontId="12" fillId="9" borderId="0" applyNumberFormat="0" applyBorder="0" applyAlignment="0" applyProtection="0"/>
    <xf numFmtId="179" fontId="12" fillId="9" borderId="0" applyNumberFormat="0" applyBorder="0" applyAlignment="0" applyProtection="0"/>
    <xf numFmtId="179" fontId="12" fillId="10" borderId="0" applyNumberFormat="0" applyBorder="0" applyAlignment="0" applyProtection="0"/>
    <xf numFmtId="179" fontId="12" fillId="10" borderId="0" applyNumberFormat="0" applyBorder="0" applyAlignment="0" applyProtection="0"/>
    <xf numFmtId="179" fontId="12" fillId="11" borderId="0" applyNumberFormat="0" applyBorder="0" applyAlignment="0" applyProtection="0"/>
    <xf numFmtId="179" fontId="12" fillId="11" borderId="0" applyNumberFormat="0" applyBorder="0" applyAlignment="0" applyProtection="0"/>
    <xf numFmtId="179" fontId="12" fillId="12" borderId="0" applyNumberFormat="0" applyBorder="0" applyAlignment="0" applyProtection="0"/>
    <xf numFmtId="179" fontId="12" fillId="12" borderId="0" applyNumberFormat="0" applyBorder="0" applyAlignment="0" applyProtection="0"/>
    <xf numFmtId="179" fontId="12" fillId="13" borderId="0" applyNumberFormat="0" applyBorder="0" applyAlignment="0" applyProtection="0"/>
    <xf numFmtId="179" fontId="12" fillId="13" borderId="0" applyNumberFormat="0" applyBorder="0" applyAlignment="0" applyProtection="0"/>
    <xf numFmtId="179" fontId="12" fillId="14" borderId="0" applyNumberFormat="0" applyBorder="0" applyAlignment="0" applyProtection="0"/>
    <xf numFmtId="179" fontId="12" fillId="14" borderId="0" applyNumberFormat="0" applyBorder="0" applyAlignment="0" applyProtection="0"/>
    <xf numFmtId="179" fontId="12" fillId="15" borderId="0" applyNumberFormat="0" applyBorder="0" applyAlignment="0" applyProtection="0"/>
    <xf numFmtId="179" fontId="12" fillId="15" borderId="0" applyNumberFormat="0" applyBorder="0" applyAlignment="0" applyProtection="0"/>
    <xf numFmtId="179" fontId="12" fillId="16" borderId="0" applyNumberFormat="0" applyBorder="0" applyAlignment="0" applyProtection="0"/>
    <xf numFmtId="179" fontId="12" fillId="16" borderId="0" applyNumberFormat="0" applyBorder="0" applyAlignment="0" applyProtection="0"/>
    <xf numFmtId="179" fontId="12" fillId="17" borderId="0" applyNumberFormat="0" applyBorder="0" applyAlignment="0" applyProtection="0"/>
    <xf numFmtId="179" fontId="12" fillId="17" borderId="0" applyNumberFormat="0" applyBorder="0" applyAlignment="0" applyProtection="0"/>
    <xf numFmtId="179" fontId="12" fillId="12" borderId="0" applyNumberFormat="0" applyBorder="0" applyAlignment="0" applyProtection="0"/>
    <xf numFmtId="179" fontId="12" fillId="12" borderId="0" applyNumberFormat="0" applyBorder="0" applyAlignment="0" applyProtection="0"/>
    <xf numFmtId="179" fontId="12" fillId="15" borderId="0" applyNumberFormat="0" applyBorder="0" applyAlignment="0" applyProtection="0"/>
    <xf numFmtId="179" fontId="12" fillId="15" borderId="0" applyNumberFormat="0" applyBorder="0" applyAlignment="0" applyProtection="0"/>
    <xf numFmtId="179" fontId="12" fillId="18" borderId="0" applyNumberFormat="0" applyBorder="0" applyAlignment="0" applyProtection="0"/>
    <xf numFmtId="179" fontId="12" fillId="18" borderId="0" applyNumberFormat="0" applyBorder="0" applyAlignment="0" applyProtection="0"/>
    <xf numFmtId="179" fontId="30" fillId="19" borderId="0" applyNumberFormat="0" applyBorder="0" applyAlignment="0" applyProtection="0"/>
    <xf numFmtId="179" fontId="30" fillId="19" borderId="0" applyNumberFormat="0" applyBorder="0" applyAlignment="0" applyProtection="0"/>
    <xf numFmtId="179" fontId="30" fillId="16" borderId="0" applyNumberFormat="0" applyBorder="0" applyAlignment="0" applyProtection="0"/>
    <xf numFmtId="179" fontId="30" fillId="16" borderId="0" applyNumberFormat="0" applyBorder="0" applyAlignment="0" applyProtection="0"/>
    <xf numFmtId="179" fontId="30" fillId="17" borderId="0" applyNumberFormat="0" applyBorder="0" applyAlignment="0" applyProtection="0"/>
    <xf numFmtId="179" fontId="30" fillId="17" borderId="0" applyNumberFormat="0" applyBorder="0" applyAlignment="0" applyProtection="0"/>
    <xf numFmtId="179" fontId="30" fillId="20" borderId="0" applyNumberFormat="0" applyBorder="0" applyAlignment="0" applyProtection="0"/>
    <xf numFmtId="179" fontId="30" fillId="20" borderId="0" applyNumberFormat="0" applyBorder="0" applyAlignment="0" applyProtection="0"/>
    <xf numFmtId="179" fontId="30" fillId="21" borderId="0" applyNumberFormat="0" applyBorder="0" applyAlignment="0" applyProtection="0"/>
    <xf numFmtId="179" fontId="30" fillId="21" borderId="0" applyNumberFormat="0" applyBorder="0" applyAlignment="0" applyProtection="0"/>
    <xf numFmtId="179" fontId="30" fillId="22" borderId="0" applyNumberFormat="0" applyBorder="0" applyAlignment="0" applyProtection="0"/>
    <xf numFmtId="179" fontId="30" fillId="22" borderId="0" applyNumberFormat="0" applyBorder="0" applyAlignment="0" applyProtection="0"/>
    <xf numFmtId="9" fontId="31" fillId="0" borderId="0"/>
    <xf numFmtId="181" fontId="32" fillId="0" borderId="0">
      <alignment horizontal="right" vertical="center"/>
      <protection locked="0"/>
    </xf>
    <xf numFmtId="182" fontId="32" fillId="0" borderId="0">
      <alignment horizontal="right" vertical="center"/>
      <protection locked="0"/>
    </xf>
    <xf numFmtId="181" fontId="32" fillId="0" borderId="0">
      <alignment horizontal="right" vertical="center"/>
      <protection locked="0"/>
    </xf>
    <xf numFmtId="179" fontId="30" fillId="23" borderId="0" applyNumberFormat="0" applyBorder="0" applyAlignment="0" applyProtection="0"/>
    <xf numFmtId="179" fontId="30" fillId="23" borderId="0" applyNumberFormat="0" applyBorder="0" applyAlignment="0" applyProtection="0"/>
    <xf numFmtId="179" fontId="30" fillId="24" borderId="0" applyNumberFormat="0" applyBorder="0" applyAlignment="0" applyProtection="0"/>
    <xf numFmtId="179" fontId="30" fillId="24" borderId="0" applyNumberFormat="0" applyBorder="0" applyAlignment="0" applyProtection="0"/>
    <xf numFmtId="179" fontId="30" fillId="25" borderId="0" applyNumberFormat="0" applyBorder="0" applyAlignment="0" applyProtection="0"/>
    <xf numFmtId="179" fontId="30" fillId="25" borderId="0" applyNumberFormat="0" applyBorder="0" applyAlignment="0" applyProtection="0"/>
    <xf numFmtId="179" fontId="30" fillId="20" borderId="0" applyNumberFormat="0" applyBorder="0" applyAlignment="0" applyProtection="0"/>
    <xf numFmtId="179" fontId="30" fillId="20" borderId="0" applyNumberFormat="0" applyBorder="0" applyAlignment="0" applyProtection="0"/>
    <xf numFmtId="179" fontId="30" fillId="21" borderId="0" applyNumberFormat="0" applyBorder="0" applyAlignment="0" applyProtection="0"/>
    <xf numFmtId="179" fontId="30" fillId="21" borderId="0" applyNumberFormat="0" applyBorder="0" applyAlignment="0" applyProtection="0"/>
    <xf numFmtId="179" fontId="30" fillId="26" borderId="0" applyNumberFormat="0" applyBorder="0" applyAlignment="0" applyProtection="0"/>
    <xf numFmtId="179" fontId="30" fillId="26" borderId="0" applyNumberFormat="0" applyBorder="0" applyAlignment="0" applyProtection="0"/>
    <xf numFmtId="0" fontId="27" fillId="0" borderId="0" applyNumberFormat="0" applyAlignment="0"/>
    <xf numFmtId="183" fontId="31" fillId="0" borderId="0" applyFont="0" applyFill="0" applyBorder="0" applyAlignment="0" applyProtection="0"/>
    <xf numFmtId="0" fontId="33" fillId="0" borderId="0" applyFont="0" applyFill="0" applyBorder="0" applyAlignment="0" applyProtection="0"/>
    <xf numFmtId="184" fontId="31" fillId="0" borderId="0" applyFont="0" applyFill="0" applyBorder="0" applyAlignment="0" applyProtection="0"/>
    <xf numFmtId="0" fontId="33" fillId="0" borderId="0" applyFont="0" applyFill="0" applyBorder="0" applyAlignment="0" applyProtection="0"/>
    <xf numFmtId="0" fontId="24" fillId="0" borderId="0"/>
    <xf numFmtId="0" fontId="24" fillId="0" borderId="0"/>
    <xf numFmtId="0" fontId="2" fillId="0" borderId="0" applyFill="0" applyBorder="0">
      <alignment vertical="center"/>
    </xf>
    <xf numFmtId="185" fontId="31" fillId="0" borderId="0" applyFont="0" applyFill="0" applyBorder="0" applyAlignment="0" applyProtection="0"/>
    <xf numFmtId="0" fontId="33" fillId="0" borderId="0" applyFont="0" applyFill="0" applyBorder="0" applyAlignment="0" applyProtection="0"/>
    <xf numFmtId="186" fontId="31" fillId="0" borderId="0" applyFont="0" applyFill="0" applyBorder="0" applyAlignment="0" applyProtection="0"/>
    <xf numFmtId="0" fontId="33" fillId="0" borderId="0" applyFont="0" applyFill="0" applyBorder="0" applyAlignment="0" applyProtection="0"/>
    <xf numFmtId="187" fontId="32" fillId="0" borderId="23">
      <protection locked="0"/>
    </xf>
    <xf numFmtId="179" fontId="34" fillId="10" borderId="0" applyNumberFormat="0" applyBorder="0" applyAlignment="0" applyProtection="0"/>
    <xf numFmtId="179" fontId="34" fillId="10" borderId="0" applyNumberFormat="0" applyBorder="0" applyAlignment="0" applyProtection="0"/>
    <xf numFmtId="3" fontId="35" fillId="0" borderId="0"/>
    <xf numFmtId="0" fontId="36" fillId="0" borderId="0" applyNumberFormat="0" applyFill="0" applyBorder="0" applyAlignment="0" applyProtection="0"/>
    <xf numFmtId="0" fontId="37" fillId="27" borderId="0" applyNumberFormat="0" applyFont="0" applyFill="0" applyAlignment="0">
      <alignment horizontal="center" vertical="center"/>
    </xf>
    <xf numFmtId="171" fontId="38" fillId="0" borderId="22" applyAlignment="0" applyProtection="0"/>
    <xf numFmtId="38" fontId="39" fillId="0" borderId="0" applyFill="0" applyBorder="0" applyAlignment="0" applyProtection="0"/>
    <xf numFmtId="0" fontId="33" fillId="0" borderId="0"/>
    <xf numFmtId="179" fontId="40" fillId="0" borderId="0"/>
    <xf numFmtId="0" fontId="33" fillId="0" borderId="0"/>
    <xf numFmtId="0" fontId="41" fillId="0" borderId="0"/>
    <xf numFmtId="188" fontId="18" fillId="0" borderId="0" applyFill="0" applyBorder="0" applyAlignment="0"/>
    <xf numFmtId="188" fontId="18"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42" fillId="0" borderId="0" applyFill="0" applyBorder="0" applyAlignment="0"/>
    <xf numFmtId="174" fontId="42"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0"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91" fontId="43"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42" fillId="0" borderId="0" applyFill="0" applyBorder="0" applyAlignment="0"/>
    <xf numFmtId="179" fontId="44" fillId="28" borderId="29" applyNumberFormat="0" applyAlignment="0" applyProtection="0"/>
    <xf numFmtId="179" fontId="44" fillId="28" borderId="29" applyNumberFormat="0" applyAlignment="0" applyProtection="0"/>
    <xf numFmtId="0" fontId="45" fillId="0" borderId="0"/>
    <xf numFmtId="0" fontId="46" fillId="0" borderId="0">
      <alignment vertical="center"/>
    </xf>
    <xf numFmtId="179" fontId="47" fillId="29" borderId="30" applyNumberFormat="0" applyAlignment="0" applyProtection="0"/>
    <xf numFmtId="179" fontId="47" fillId="29" borderId="30" applyNumberFormat="0" applyAlignment="0" applyProtection="0"/>
    <xf numFmtId="166" fontId="48" fillId="0" borderId="23">
      <alignment horizontal="center" vertical="top" wrapText="1"/>
    </xf>
    <xf numFmtId="179" fontId="48" fillId="0" borderId="23">
      <alignment horizontal="left" vertical="top" wrapText="1"/>
    </xf>
    <xf numFmtId="193" fontId="49" fillId="0" borderId="0"/>
    <xf numFmtId="193" fontId="49" fillId="0" borderId="0"/>
    <xf numFmtId="0" fontId="24" fillId="0" borderId="0"/>
    <xf numFmtId="0" fontId="24" fillId="0" borderId="0"/>
    <xf numFmtId="0" fontId="24" fillId="0" borderId="0"/>
    <xf numFmtId="0" fontId="24" fillId="0" borderId="0"/>
    <xf numFmtId="0" fontId="24" fillId="0" borderId="0"/>
    <xf numFmtId="0" fontId="24" fillId="0" borderId="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165" fontId="50" fillId="0" borderId="0" applyFont="0" applyFill="0" applyBorder="0" applyAlignment="0" applyProtection="0"/>
    <xf numFmtId="194" fontId="2" fillId="0" borderId="0" applyFont="0" applyFill="0" applyBorder="0" applyAlignment="0" applyProtection="0"/>
    <xf numFmtId="165" fontId="50" fillId="0" borderId="0" applyFont="0" applyFill="0" applyBorder="0" applyAlignment="0" applyProtection="0"/>
    <xf numFmtId="165" fontId="5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50" fillId="0" borderId="0" applyFont="0" applyFill="0" applyBorder="0" applyAlignment="0" applyProtection="0"/>
    <xf numFmtId="165" fontId="5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0" fontId="50" fillId="0" borderId="0" applyFont="0" applyFill="0" applyBorder="0" applyAlignment="0" applyProtection="0"/>
    <xf numFmtId="195" fontId="2" fillId="0" borderId="0" applyFont="0" applyFill="0" applyBorder="0" applyAlignment="0" applyProtection="0"/>
    <xf numFmtId="43" fontId="12"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43" fontId="12" fillId="0" borderId="0" applyFont="0" applyFill="0" applyBorder="0" applyAlignment="0" applyProtection="0"/>
    <xf numFmtId="196" fontId="5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43" fontId="1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2" fillId="0" borderId="0" applyFont="0" applyFill="0" applyBorder="0" applyAlignment="0" applyProtection="0"/>
    <xf numFmtId="0" fontId="50"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xf numFmtId="170" fontId="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alignment vertical="top" wrapText="1"/>
    </xf>
    <xf numFmtId="43" fontId="1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97" fontId="50" fillId="0" borderId="0" applyFont="0" applyFill="0" applyBorder="0" applyAlignment="0" applyProtection="0"/>
    <xf numFmtId="198" fontId="5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xf numFmtId="170" fontId="50" fillId="0" borderId="0" applyFont="0" applyFill="0" applyBorder="0" applyAlignment="0" applyProtection="0"/>
    <xf numFmtId="43" fontId="2" fillId="0" borderId="0" applyFont="0" applyFill="0" applyBorder="0" applyAlignment="0" applyProtection="0"/>
    <xf numFmtId="199" fontId="2" fillId="0" borderId="0"/>
    <xf numFmtId="199" fontId="2" fillId="0" borderId="0"/>
    <xf numFmtId="3" fontId="2" fillId="0" borderId="0" applyFont="0" applyFill="0" applyBorder="0" applyAlignment="0" applyProtection="0"/>
    <xf numFmtId="200" fontId="52" fillId="0" borderId="0">
      <protection locked="0"/>
    </xf>
    <xf numFmtId="200" fontId="52" fillId="0" borderId="0">
      <protection locked="0"/>
    </xf>
    <xf numFmtId="200" fontId="52" fillId="0" borderId="0">
      <protection locked="0"/>
    </xf>
    <xf numFmtId="200" fontId="52" fillId="0" borderId="0">
      <protection locked="0"/>
    </xf>
    <xf numFmtId="200" fontId="52" fillId="0" borderId="0">
      <protection locked="0"/>
    </xf>
    <xf numFmtId="200" fontId="52" fillId="0" borderId="0">
      <protection locked="0"/>
    </xf>
    <xf numFmtId="200" fontId="52" fillId="0" borderId="0">
      <protection locked="0"/>
    </xf>
    <xf numFmtId="200" fontId="52" fillId="0" borderId="0">
      <protection locked="0"/>
    </xf>
    <xf numFmtId="200" fontId="52" fillId="0" borderId="0">
      <protection locked="0"/>
    </xf>
    <xf numFmtId="0"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79" fontId="53" fillId="0" borderId="0" applyNumberFormat="0" applyAlignment="0">
      <alignment horizontal="left"/>
    </xf>
    <xf numFmtId="187" fontId="54" fillId="0" borderId="25" applyNumberFormat="0" applyBorder="0" applyAlignment="0" applyProtection="0">
      <protection locked="0"/>
    </xf>
    <xf numFmtId="201" fontId="55" fillId="30" borderId="0" applyFill="0">
      <alignment horizontal="left" vertical="top"/>
      <protection locked="0"/>
    </xf>
    <xf numFmtId="202" fontId="2" fillId="0" borderId="0">
      <alignment horizontal="center"/>
    </xf>
    <xf numFmtId="187" fontId="42" fillId="0" borderId="0" applyFont="0" applyFill="0" applyBorder="0" applyAlignment="0" applyProtection="0"/>
    <xf numFmtId="173" fontId="2" fillId="0" borderId="0" applyFont="0" applyFill="0" applyBorder="0" applyAlignment="0" applyProtection="0"/>
    <xf numFmtId="173" fontId="12" fillId="0" borderId="0" applyFont="0" applyFill="0" applyBorder="0" applyAlignment="0" applyProtection="0"/>
    <xf numFmtId="203" fontId="2" fillId="0" borderId="0" applyFont="0" applyFill="0" applyBorder="0" applyAlignment="0" applyProtection="0"/>
    <xf numFmtId="204" fontId="52" fillId="0" borderId="0">
      <protection locked="0"/>
    </xf>
    <xf numFmtId="204" fontId="52" fillId="0" borderId="0">
      <protection locked="0"/>
    </xf>
    <xf numFmtId="204" fontId="52" fillId="0" borderId="0">
      <protection locked="0"/>
    </xf>
    <xf numFmtId="204" fontId="52" fillId="0" borderId="0">
      <protection locked="0"/>
    </xf>
    <xf numFmtId="204" fontId="52" fillId="0" borderId="0">
      <protection locked="0"/>
    </xf>
    <xf numFmtId="204" fontId="52" fillId="0" borderId="0">
      <protection locked="0"/>
    </xf>
    <xf numFmtId="204" fontId="52" fillId="0" borderId="0">
      <protection locked="0"/>
    </xf>
    <xf numFmtId="204" fontId="52" fillId="0" borderId="0">
      <protection locked="0"/>
    </xf>
    <xf numFmtId="204" fontId="52" fillId="0" borderId="0">
      <protection locked="0"/>
    </xf>
    <xf numFmtId="205" fontId="2" fillId="0" borderId="0"/>
    <xf numFmtId="205" fontId="2" fillId="0" borderId="0"/>
    <xf numFmtId="0" fontId="56" fillId="0" borderId="0"/>
    <xf numFmtId="0" fontId="56" fillId="0" borderId="31"/>
    <xf numFmtId="206" fontId="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4" fontId="18" fillId="0" borderId="0" applyFill="0" applyBorder="0" applyAlignment="0"/>
    <xf numFmtId="179" fontId="57" fillId="0" borderId="0" applyProtection="0"/>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7" fontId="2" fillId="0" borderId="32">
      <alignment vertical="center"/>
    </xf>
    <xf numFmtId="208" fontId="58" fillId="0" borderId="0" applyFont="0" applyFill="0" applyBorder="0">
      <alignment horizontal="left" vertical="top" wrapText="1"/>
      <protection locked="0"/>
    </xf>
    <xf numFmtId="41" fontId="2" fillId="0" borderId="0" applyFont="0" applyFill="0" applyBorder="0" applyAlignment="0" applyProtection="0"/>
    <xf numFmtId="43" fontId="2" fillId="0" borderId="0" applyFont="0" applyFill="0" applyBorder="0" applyAlignment="0" applyProtection="0"/>
    <xf numFmtId="209" fontId="2" fillId="0" borderId="0"/>
    <xf numFmtId="209" fontId="2" fillId="0" borderId="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4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42" fillId="0" borderId="0" applyFill="0" applyBorder="0" applyAlignment="0"/>
    <xf numFmtId="0"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59" fillId="0" borderId="0" applyNumberFormat="0" applyAlignment="0">
      <alignment horizontal="left"/>
    </xf>
    <xf numFmtId="179" fontId="2" fillId="0" borderId="0" applyFont="0" applyFill="0" applyBorder="0" applyAlignment="0" applyProtection="0"/>
    <xf numFmtId="179" fontId="60" fillId="0" borderId="0" applyNumberFormat="0" applyFill="0" applyBorder="0" applyAlignment="0" applyProtection="0"/>
    <xf numFmtId="179" fontId="60" fillId="0" borderId="0" applyNumberFormat="0" applyFill="0" applyBorder="0" applyAlignment="0" applyProtection="0"/>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210" fontId="52" fillId="0" borderId="0">
      <protection locked="0"/>
    </xf>
    <xf numFmtId="179" fontId="61" fillId="0" borderId="0" applyNumberFormat="0" applyFill="0" applyBorder="0" applyAlignment="0" applyProtection="0">
      <alignment vertical="top"/>
      <protection locked="0"/>
    </xf>
    <xf numFmtId="211" fontId="58" fillId="0" borderId="0" applyFont="0">
      <alignment horizontal="left"/>
      <protection locked="0"/>
    </xf>
    <xf numFmtId="0" fontId="32" fillId="0" borderId="26" applyNumberFormat="0" applyFill="0" applyBorder="0" applyAlignment="0" applyProtection="0">
      <protection locked="0"/>
    </xf>
    <xf numFmtId="176" fontId="62" fillId="0" borderId="33">
      <alignment horizontal="right"/>
    </xf>
    <xf numFmtId="179" fontId="63" fillId="11" borderId="0" applyNumberFormat="0" applyBorder="0" applyAlignment="0" applyProtection="0"/>
    <xf numFmtId="179" fontId="63" fillId="11" borderId="0" applyNumberFormat="0" applyBorder="0" applyAlignment="0" applyProtection="0"/>
    <xf numFmtId="38" fontId="27" fillId="31" borderId="0" applyNumberFormat="0" applyBorder="0" applyAlignment="0" applyProtection="0"/>
    <xf numFmtId="201" fontId="64" fillId="0" borderId="0">
      <alignment horizontal="left"/>
    </xf>
    <xf numFmtId="0" fontId="65" fillId="0" borderId="34" applyNumberFormat="0" applyAlignment="0" applyProtection="0">
      <alignment horizontal="left" vertical="center"/>
    </xf>
    <xf numFmtId="0" fontId="65" fillId="0" borderId="21">
      <alignment horizontal="left" vertical="center"/>
    </xf>
    <xf numFmtId="2" fontId="66" fillId="0" borderId="0"/>
    <xf numFmtId="0"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52" fillId="0" borderId="0">
      <protection locked="0"/>
    </xf>
    <xf numFmtId="179" fontId="67" fillId="0" borderId="35" applyNumberFormat="0" applyFill="0" applyAlignment="0" applyProtection="0"/>
    <xf numFmtId="179" fontId="67" fillId="0" borderId="35" applyNumberFormat="0" applyFill="0" applyAlignment="0" applyProtection="0"/>
    <xf numFmtId="0"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8" fillId="0" borderId="0">
      <protection locked="0"/>
    </xf>
    <xf numFmtId="179" fontId="69" fillId="0" borderId="36" applyNumberFormat="0" applyFill="0" applyAlignment="0" applyProtection="0"/>
    <xf numFmtId="179" fontId="69" fillId="0" borderId="36" applyNumberFormat="0" applyFill="0" applyAlignment="0" applyProtection="0"/>
    <xf numFmtId="179" fontId="70" fillId="0" borderId="37" applyNumberFormat="0" applyFill="0" applyAlignment="0" applyProtection="0"/>
    <xf numFmtId="179" fontId="70" fillId="0" borderId="37" applyNumberFormat="0" applyFill="0" applyAlignment="0" applyProtection="0"/>
    <xf numFmtId="179" fontId="70" fillId="0" borderId="0" applyNumberFormat="0" applyFill="0" applyBorder="0" applyAlignment="0" applyProtection="0"/>
    <xf numFmtId="179" fontId="70" fillId="0" borderId="0" applyNumberFormat="0" applyFill="0" applyBorder="0" applyAlignment="0" applyProtection="0"/>
    <xf numFmtId="206" fontId="2" fillId="0" borderId="0">
      <protection locked="0"/>
    </xf>
    <xf numFmtId="212" fontId="68" fillId="0" borderId="0">
      <protection locked="0"/>
    </xf>
    <xf numFmtId="206" fontId="2" fillId="0" borderId="0">
      <protection locked="0"/>
    </xf>
    <xf numFmtId="206" fontId="2" fillId="0" borderId="0">
      <protection locked="0"/>
    </xf>
    <xf numFmtId="213" fontId="71" fillId="0" borderId="34">
      <alignment horizontal="left" vertical="center"/>
    </xf>
    <xf numFmtId="213" fontId="71" fillId="0" borderId="34">
      <alignment horizontal="center" vertical="center"/>
    </xf>
    <xf numFmtId="214" fontId="32" fillId="0" borderId="0" applyFont="0" applyFill="0" applyBorder="0" applyAlignment="0"/>
    <xf numFmtId="179" fontId="72" fillId="0" borderId="0" applyNumberFormat="0" applyFill="0" applyBorder="0" applyAlignment="0" applyProtection="0">
      <alignment vertical="top"/>
      <protection locked="0"/>
    </xf>
    <xf numFmtId="179" fontId="73" fillId="0" borderId="0" applyNumberFormat="0" applyFill="0" applyBorder="0" applyAlignment="0" applyProtection="0">
      <alignment vertical="top"/>
      <protection locked="0"/>
    </xf>
    <xf numFmtId="206" fontId="2" fillId="0" borderId="0" applyProtection="0">
      <alignment horizontal="center"/>
    </xf>
    <xf numFmtId="10" fontId="27" fillId="32" borderId="14" applyNumberFormat="0" applyBorder="0" applyAlignment="0" applyProtection="0"/>
    <xf numFmtId="179" fontId="74" fillId="14" borderId="29" applyNumberFormat="0" applyAlignment="0" applyProtection="0"/>
    <xf numFmtId="179" fontId="74" fillId="14" borderId="29" applyNumberFormat="0" applyAlignment="0" applyProtection="0"/>
    <xf numFmtId="2" fontId="37" fillId="0" borderId="0" applyNumberFormat="0" applyFont="0" applyAlignment="0">
      <alignment horizontal="center" vertical="center"/>
    </xf>
    <xf numFmtId="201" fontId="58" fillId="0" borderId="0" applyFont="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0" fontId="75" fillId="33" borderId="31"/>
    <xf numFmtId="40" fontId="27" fillId="0" borderId="0" applyFont="0">
      <protection locked="0"/>
    </xf>
    <xf numFmtId="0" fontId="76" fillId="0" borderId="0"/>
    <xf numFmtId="0" fontId="77" fillId="0" borderId="24"/>
    <xf numFmtId="179" fontId="72" fillId="0" borderId="0" applyNumberFormat="0" applyFill="0" applyBorder="0" applyAlignment="0" applyProtection="0">
      <alignment vertical="top"/>
      <protection locked="0"/>
    </xf>
    <xf numFmtId="179" fontId="78" fillId="0" borderId="0" applyNumberFormat="0" applyFill="0" applyBorder="0" applyAlignment="0" applyProtection="0">
      <alignment vertical="top"/>
      <protection locked="0"/>
    </xf>
    <xf numFmtId="179" fontId="79" fillId="0" borderId="0" applyNumberFormat="0" applyFill="0" applyBorder="0" applyAlignment="0" applyProtection="0">
      <alignment vertical="top"/>
      <protection locked="0"/>
    </xf>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4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42" fillId="0" borderId="0" applyFill="0" applyBorder="0" applyAlignment="0"/>
    <xf numFmtId="179" fontId="80" fillId="0" borderId="38" applyNumberFormat="0" applyFill="0" applyAlignment="0" applyProtection="0"/>
    <xf numFmtId="179" fontId="80" fillId="0" borderId="38" applyNumberFormat="0" applyFill="0" applyAlignment="0" applyProtection="0"/>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1" fontId="2" fillId="0" borderId="0" applyFont="0" applyFill="0">
      <alignment horizontal="left"/>
    </xf>
    <xf numFmtId="201" fontId="58" fillId="0" borderId="0" applyFont="0" applyFill="0" applyBorder="0">
      <alignment horizontal="left"/>
    </xf>
    <xf numFmtId="201" fontId="58" fillId="0" borderId="0" applyFont="0" applyFill="0" applyBorder="0">
      <alignment horizontal="left"/>
    </xf>
    <xf numFmtId="208" fontId="17" fillId="0" borderId="0">
      <alignment horizontal="left" vertical="top"/>
      <protection locked="0"/>
    </xf>
    <xf numFmtId="208" fontId="27" fillId="0" borderId="0" applyFont="0"/>
    <xf numFmtId="43" fontId="32" fillId="0" borderId="21" applyNumberFormat="0">
      <alignment horizontal="right" vertical="center"/>
    </xf>
    <xf numFmtId="41" fontId="19" fillId="0" borderId="0" applyFont="0" applyFill="0" applyBorder="0" applyAlignment="0" applyProtection="0"/>
    <xf numFmtId="215" fontId="2" fillId="0" borderId="0" applyFont="0" applyFill="0" applyBorder="0" applyAlignment="0" applyProtection="0"/>
    <xf numFmtId="186" fontId="2" fillId="0" borderId="0" applyFont="0" applyFill="0" applyBorder="0" applyAlignment="0" applyProtection="0"/>
    <xf numFmtId="216" fontId="2" fillId="0" borderId="0" applyFont="0" applyFill="0" applyBorder="0" applyAlignment="0" applyProtection="0"/>
    <xf numFmtId="201" fontId="58" fillId="0" borderId="0" applyFont="0" applyFill="0" applyBorder="0">
      <alignment horizontal="left"/>
    </xf>
    <xf numFmtId="0" fontId="81" fillId="0" borderId="27"/>
    <xf numFmtId="217" fontId="2" fillId="0" borderId="0" applyFont="0" applyFill="0" applyBorder="0" applyAlignment="0" applyProtection="0"/>
    <xf numFmtId="218" fontId="2" fillId="0" borderId="0" applyFont="0" applyFill="0" applyBorder="0" applyAlignment="0" applyProtection="0"/>
    <xf numFmtId="219" fontId="2" fillId="0" borderId="0" applyFont="0" applyFill="0" applyBorder="0" applyAlignment="0" applyProtection="0"/>
    <xf numFmtId="220" fontId="2" fillId="0" borderId="0" applyFont="0" applyFill="0" applyBorder="0" applyAlignment="0" applyProtection="0"/>
    <xf numFmtId="201" fontId="58" fillId="0" borderId="0" applyFont="0">
      <alignment horizontal="left"/>
    </xf>
    <xf numFmtId="179" fontId="82" fillId="34" borderId="0" applyNumberFormat="0" applyBorder="0" applyAlignment="0" applyProtection="0"/>
    <xf numFmtId="179" fontId="82" fillId="34" borderId="0" applyNumberFormat="0" applyBorder="0" applyAlignment="0" applyProtection="0"/>
    <xf numFmtId="0" fontId="83" fillId="0" borderId="0">
      <alignment horizontal="justify" vertical="top" wrapText="1"/>
    </xf>
    <xf numFmtId="37" fontId="84" fillId="0" borderId="0"/>
    <xf numFmtId="179" fontId="43" fillId="0" borderId="0"/>
    <xf numFmtId="0" fontId="43" fillId="0" borderId="0"/>
    <xf numFmtId="221" fontId="85" fillId="0" borderId="0"/>
    <xf numFmtId="0" fontId="24" fillId="0" borderId="0"/>
    <xf numFmtId="179" fontId="86" fillId="0" borderId="0"/>
    <xf numFmtId="0" fontId="2" fillId="0" borderId="0"/>
    <xf numFmtId="187" fontId="2" fillId="0" borderId="0"/>
    <xf numFmtId="179" fontId="2" fillId="0" borderId="0"/>
    <xf numFmtId="0" fontId="2" fillId="0" borderId="0"/>
    <xf numFmtId="179" fontId="2" fillId="0" borderId="0"/>
    <xf numFmtId="0" fontId="2" fillId="0" borderId="0"/>
    <xf numFmtId="0" fontId="2"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16" fillId="0" borderId="0"/>
    <xf numFmtId="179" fontId="1" fillId="0" borderId="0"/>
    <xf numFmtId="179" fontId="1" fillId="0" borderId="0"/>
    <xf numFmtId="179" fontId="1"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1" fillId="0" borderId="0"/>
    <xf numFmtId="0" fontId="12" fillId="0" borderId="0"/>
    <xf numFmtId="0" fontId="2" fillId="0" borderId="0"/>
    <xf numFmtId="170" fontId="2" fillId="0" borderId="0"/>
    <xf numFmtId="0" fontId="13" fillId="0" borderId="0"/>
    <xf numFmtId="179" fontId="19" fillId="0" borderId="0"/>
    <xf numFmtId="179" fontId="2" fillId="0" borderId="0"/>
    <xf numFmtId="179" fontId="2" fillId="0" borderId="0"/>
    <xf numFmtId="179" fontId="2" fillId="0" borderId="0"/>
    <xf numFmtId="179" fontId="2" fillId="0" borderId="0"/>
    <xf numFmtId="179" fontId="2" fillId="0" borderId="0"/>
    <xf numFmtId="0" fontId="1" fillId="0" borderId="0"/>
    <xf numFmtId="0" fontId="23" fillId="0" borderId="0"/>
    <xf numFmtId="179" fontId="2" fillId="0" borderId="0"/>
    <xf numFmtId="198" fontId="2" fillId="0" borderId="0"/>
    <xf numFmtId="0" fontId="1" fillId="0" borderId="0"/>
    <xf numFmtId="179" fontId="32" fillId="0" borderId="0"/>
    <xf numFmtId="0" fontId="1" fillId="0" borderId="0"/>
    <xf numFmtId="179" fontId="2"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2" fillId="0" borderId="0"/>
    <xf numFmtId="179" fontId="1" fillId="0" borderId="0"/>
    <xf numFmtId="179" fontId="1" fillId="0" borderId="0"/>
    <xf numFmtId="179" fontId="1" fillId="0" borderId="0"/>
    <xf numFmtId="179" fontId="1" fillId="0" borderId="0"/>
    <xf numFmtId="0" fontId="13" fillId="0" borderId="0"/>
    <xf numFmtId="0" fontId="13" fillId="0" borderId="0"/>
    <xf numFmtId="0" fontId="2" fillId="0" borderId="0"/>
    <xf numFmtId="0" fontId="1" fillId="0" borderId="0"/>
    <xf numFmtId="179" fontId="2" fillId="0" borderId="0"/>
    <xf numFmtId="0" fontId="2" fillId="0" borderId="0"/>
    <xf numFmtId="0" fontId="2" fillId="0" borderId="0"/>
    <xf numFmtId="179" fontId="1" fillId="0" borderId="0"/>
    <xf numFmtId="179" fontId="1" fillId="0" borderId="0"/>
    <xf numFmtId="179" fontId="1" fillId="0" borderId="0"/>
    <xf numFmtId="0" fontId="2" fillId="0" borderId="0"/>
    <xf numFmtId="0" fontId="12" fillId="0" borderId="0"/>
    <xf numFmtId="179" fontId="13"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13" fillId="0" borderId="0"/>
    <xf numFmtId="0" fontId="1" fillId="0" borderId="0"/>
    <xf numFmtId="0" fontId="2" fillId="0" borderId="0"/>
    <xf numFmtId="0" fontId="2" fillId="0" borderId="0"/>
    <xf numFmtId="179" fontId="2" fillId="0" borderId="0"/>
    <xf numFmtId="179" fontId="2" fillId="0" borderId="0"/>
    <xf numFmtId="179" fontId="32" fillId="0" borderId="0"/>
    <xf numFmtId="0" fontId="2" fillId="0" borderId="0"/>
    <xf numFmtId="179" fontId="1" fillId="0" borderId="0"/>
    <xf numFmtId="179" fontId="1" fillId="0" borderId="0"/>
    <xf numFmtId="179" fontId="1" fillId="0" borderId="0"/>
    <xf numFmtId="179" fontId="1" fillId="0" borderId="0"/>
    <xf numFmtId="179" fontId="2" fillId="0" borderId="0"/>
    <xf numFmtId="179"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9" fillId="0" borderId="0"/>
    <xf numFmtId="179" fontId="2" fillId="0" borderId="0"/>
    <xf numFmtId="179" fontId="2" fillId="0" borderId="0"/>
    <xf numFmtId="179" fontId="1" fillId="0" borderId="0"/>
    <xf numFmtId="179" fontId="1" fillId="0" borderId="0"/>
    <xf numFmtId="179" fontId="1" fillId="0" borderId="0"/>
    <xf numFmtId="179" fontId="1" fillId="0" borderId="0"/>
    <xf numFmtId="179" fontId="1" fillId="0" borderId="0"/>
    <xf numFmtId="179" fontId="2" fillId="35" borderId="39" applyNumberFormat="0" applyFont="0" applyAlignment="0" applyProtection="0"/>
    <xf numFmtId="179" fontId="2" fillId="35" borderId="39" applyNumberFormat="0" applyFont="0" applyAlignment="0" applyProtection="0"/>
    <xf numFmtId="211" fontId="27" fillId="0" borderId="0" applyFont="0">
      <protection locked="0"/>
    </xf>
    <xf numFmtId="0" fontId="15" fillId="0" borderId="5">
      <alignment horizontal="center"/>
    </xf>
    <xf numFmtId="179" fontId="87" fillId="28" borderId="40" applyNumberFormat="0" applyAlignment="0" applyProtection="0"/>
    <xf numFmtId="179" fontId="87" fillId="28" borderId="40" applyNumberFormat="0" applyAlignment="0" applyProtection="0"/>
    <xf numFmtId="179" fontId="88" fillId="27" borderId="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191" fontId="43"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alignment vertical="top" wrapText="1"/>
    </xf>
    <xf numFmtId="9" fontId="2" fillId="0" borderId="0" applyFont="0" applyFill="0" applyBorder="0" applyAlignment="0" applyProtection="0"/>
    <xf numFmtId="9" fontId="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alignment vertical="top" wrapText="1"/>
    </xf>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2" fontId="32" fillId="0" borderId="0">
      <alignment horizontal="left" vertical="center"/>
    </xf>
    <xf numFmtId="179" fontId="89" fillId="0" borderId="0" applyFo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4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42" fillId="0" borderId="0" applyFill="0" applyBorder="0" applyAlignment="0"/>
    <xf numFmtId="43" fontId="32" fillId="0" borderId="0">
      <alignment horizontal="right" vertical="center"/>
      <protection locked="0"/>
    </xf>
    <xf numFmtId="41" fontId="32" fillId="0" borderId="0">
      <alignment horizontal="right" vertical="center"/>
      <protection locked="0"/>
    </xf>
    <xf numFmtId="223" fontId="32" fillId="0" borderId="0">
      <alignment horizontal="center" vertical="center"/>
      <protection locked="0"/>
    </xf>
    <xf numFmtId="43" fontId="32" fillId="0" borderId="0">
      <alignment horizontal="right" vertical="center"/>
      <protection locked="0"/>
    </xf>
    <xf numFmtId="0" fontId="39" fillId="0" borderId="0" applyNumberFormat="0" applyFont="0" applyFill="0" applyBorder="0" applyAlignment="0" applyProtection="0">
      <alignment horizontal="left"/>
    </xf>
    <xf numFmtId="4" fontId="39" fillId="0" borderId="0" applyFont="0" applyFill="0" applyBorder="0" applyAlignment="0" applyProtection="0"/>
    <xf numFmtId="40" fontId="58" fillId="0" borderId="0" applyFont="0">
      <protection locked="0"/>
    </xf>
    <xf numFmtId="40" fontId="64" fillId="0" borderId="0" applyFont="0">
      <protection locked="0"/>
    </xf>
    <xf numFmtId="224" fontId="32" fillId="0" borderId="0">
      <alignment horizontal="center" vertical="center"/>
      <protection locked="0"/>
    </xf>
    <xf numFmtId="179" fontId="19" fillId="0" borderId="0"/>
    <xf numFmtId="3" fontId="90" fillId="0" borderId="0"/>
    <xf numFmtId="0" fontId="56" fillId="0" borderId="0"/>
    <xf numFmtId="225" fontId="91" fillId="0" borderId="0" applyNumberFormat="0" applyFill="0" applyBorder="0" applyAlignment="0" applyProtection="0">
      <alignment horizontal="left"/>
    </xf>
    <xf numFmtId="226" fontId="2" fillId="0" borderId="0" applyFont="0" applyFill="0" applyBorder="0" applyProtection="0"/>
    <xf numFmtId="0" fontId="57" fillId="0" borderId="0">
      <alignment horizontal="justify" vertical="top" wrapText="1"/>
    </xf>
    <xf numFmtId="208" fontId="92" fillId="0" borderId="0" applyFont="0">
      <alignment horizontal="left"/>
    </xf>
    <xf numFmtId="179" fontId="93" fillId="31" borderId="0" applyNumberFormat="0" applyFont="0" applyBorder="0" applyAlignment="0" applyProtection="0"/>
    <xf numFmtId="179" fontId="94" fillId="0" borderId="0" applyNumberFormat="0" applyFill="0" applyBorder="0" applyAlignment="0" applyProtection="0">
      <alignment vertical="top"/>
      <protection locked="0"/>
    </xf>
    <xf numFmtId="0" fontId="39" fillId="0" borderId="0"/>
    <xf numFmtId="0" fontId="95" fillId="0" borderId="0"/>
    <xf numFmtId="0" fontId="14" fillId="0" borderId="0"/>
    <xf numFmtId="208" fontId="23" fillId="0" borderId="0">
      <alignment horizontal="right" vertical="top"/>
      <protection locked="0"/>
    </xf>
    <xf numFmtId="0" fontId="81" fillId="0" borderId="0"/>
    <xf numFmtId="0" fontId="96" fillId="0" borderId="0" applyNumberFormat="0" applyProtection="0">
      <alignment wrapText="1"/>
      <protection locked="0"/>
    </xf>
    <xf numFmtId="40" fontId="97" fillId="0" borderId="0" applyBorder="0">
      <alignment horizontal="right"/>
    </xf>
    <xf numFmtId="208" fontId="58" fillId="0" borderId="0" applyFont="0">
      <protection locked="0"/>
    </xf>
    <xf numFmtId="208" fontId="58" fillId="0" borderId="0" applyFill="0" applyProtection="0">
      <protection locked="0"/>
    </xf>
    <xf numFmtId="201" fontId="23" fillId="36" borderId="0" applyNumberFormat="0" applyAlignment="0">
      <alignment horizontal="left" vertical="top"/>
    </xf>
    <xf numFmtId="40" fontId="98" fillId="0" borderId="23" applyFont="0" applyFill="0" applyBorder="0" applyAlignment="0" applyProtection="0">
      <alignment vertical="top" wrapText="1"/>
      <protection locked="0"/>
    </xf>
    <xf numFmtId="179" fontId="99" fillId="0" borderId="23" applyNumberFormat="0" applyFill="0" applyBorder="0" applyAlignment="0" applyProtection="0">
      <alignment vertical="top" wrapText="1"/>
    </xf>
    <xf numFmtId="179" fontId="98" fillId="0" borderId="0" applyNumberFormat="0" applyFill="0" applyBorder="0" applyAlignment="0">
      <protection locked="0"/>
    </xf>
    <xf numFmtId="0" fontId="56" fillId="0" borderId="31"/>
    <xf numFmtId="49" fontId="100" fillId="0" borderId="23">
      <alignment horizontal="justify" vertical="justify" wrapText="1"/>
    </xf>
    <xf numFmtId="49" fontId="18"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40" fontId="101" fillId="0" borderId="0"/>
    <xf numFmtId="0" fontId="102" fillId="37" borderId="0"/>
    <xf numFmtId="179" fontId="103" fillId="0" borderId="0" applyNumberFormat="0" applyFill="0" applyBorder="0" applyAlignment="0" applyProtection="0"/>
    <xf numFmtId="179" fontId="103" fillId="0" borderId="0" applyNumberFormat="0" applyFill="0" applyBorder="0" applyAlignment="0" applyProtection="0"/>
    <xf numFmtId="201" fontId="104" fillId="0" borderId="28" applyNumberFormat="0" applyFill="0" applyProtection="0">
      <alignment horizontal="center"/>
    </xf>
    <xf numFmtId="2" fontId="105" fillId="0" borderId="0">
      <alignment horizontal="centerContinuous" vertical="center"/>
    </xf>
    <xf numFmtId="2" fontId="106" fillId="0" borderId="0">
      <alignment horizontal="centerContinuous" vertical="center"/>
    </xf>
    <xf numFmtId="2" fontId="107" fillId="0" borderId="34">
      <alignment horizontal="centerContinuous" vertical="center"/>
    </xf>
    <xf numFmtId="37" fontId="108" fillId="38" borderId="41" applyNumberFormat="0" applyFont="0" applyFill="0" applyAlignment="0" applyProtection="0">
      <protection locked="0"/>
    </xf>
    <xf numFmtId="0"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52" fillId="0" borderId="42">
      <protection locked="0"/>
    </xf>
    <xf numFmtId="179" fontId="109" fillId="0" borderId="43" applyNumberFormat="0" applyFill="0" applyAlignment="0" applyProtection="0"/>
    <xf numFmtId="179" fontId="109" fillId="0" borderId="43" applyNumberFormat="0" applyFill="0" applyAlignment="0" applyProtection="0"/>
    <xf numFmtId="208" fontId="64" fillId="0" borderId="0"/>
    <xf numFmtId="43" fontId="32" fillId="0" borderId="32" applyNumberFormat="0">
      <alignment horizontal="right" vertical="center"/>
    </xf>
    <xf numFmtId="0" fontId="75" fillId="0" borderId="44"/>
    <xf numFmtId="0" fontId="75" fillId="0" borderId="31"/>
    <xf numFmtId="168" fontId="2" fillId="0" borderId="0" applyFont="0" applyFill="0" applyBorder="0" applyAlignment="0" applyProtection="0"/>
    <xf numFmtId="170" fontId="2" fillId="0" borderId="0" applyFont="0" applyFill="0" applyBorder="0" applyAlignment="0" applyProtection="0"/>
    <xf numFmtId="229" fontId="58" fillId="0" borderId="0" applyFill="0">
      <alignment horizontal="center"/>
    </xf>
    <xf numFmtId="208" fontId="58" fillId="0" borderId="0" applyFont="0">
      <alignment horizontal="center"/>
      <protection locked="0"/>
    </xf>
    <xf numFmtId="179" fontId="93" fillId="0" borderId="0" applyNumberFormat="0" applyFont="0" applyBorder="0" applyAlignment="0" applyProtection="0"/>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14">
      <alignment horizontal="center" vertical="center"/>
    </xf>
    <xf numFmtId="221" fontId="17" fillId="0" borderId="14">
      <alignment horizontal="center" vertical="center"/>
    </xf>
    <xf numFmtId="221" fontId="17" fillId="0" borderId="31">
      <alignment horizontal="center" vertical="center"/>
    </xf>
    <xf numFmtId="221" fontId="17" fillId="0" borderId="31">
      <alignment horizontal="center" vertical="center"/>
    </xf>
    <xf numFmtId="221" fontId="17" fillId="0" borderId="31">
      <alignment horizontal="center" vertical="center"/>
    </xf>
    <xf numFmtId="221" fontId="17" fillId="0" borderId="14">
      <alignment horizontal="center" vertical="center"/>
    </xf>
    <xf numFmtId="221" fontId="17" fillId="0" borderId="31">
      <alignment horizontal="center" vertical="center"/>
    </xf>
    <xf numFmtId="167" fontId="2" fillId="0" borderId="0" applyFont="0" applyFill="0" applyBorder="0" applyAlignment="0" applyProtection="0"/>
    <xf numFmtId="169" fontId="2" fillId="0" borderId="0" applyFont="0" applyFill="0" applyBorder="0" applyAlignment="0" applyProtection="0"/>
    <xf numFmtId="230" fontId="2" fillId="0" borderId="0" applyFont="0" applyFill="0" applyBorder="0" applyAlignment="0" applyProtection="0"/>
    <xf numFmtId="231" fontId="2" fillId="0" borderId="0" applyFont="0" applyFill="0" applyBorder="0" applyAlignment="0" applyProtection="0"/>
    <xf numFmtId="179" fontId="110" fillId="0" borderId="0" applyNumberFormat="0" applyFill="0" applyBorder="0" applyAlignment="0" applyProtection="0"/>
    <xf numFmtId="179" fontId="110" fillId="0" borderId="0" applyNumberFormat="0" applyFill="0" applyBorder="0" applyAlignment="0" applyProtection="0"/>
    <xf numFmtId="232" fontId="2" fillId="0" borderId="0">
      <alignment horizontal="right" vertical="center"/>
      <protection locked="0"/>
    </xf>
    <xf numFmtId="179" fontId="111" fillId="0" borderId="0" applyNumberFormat="0" applyFill="0" applyBorder="0" applyAlignment="0" applyProtection="0">
      <alignment vertical="top"/>
      <protection locked="0"/>
    </xf>
    <xf numFmtId="40" fontId="112" fillId="0" borderId="0" applyFont="0" applyFill="0" applyBorder="0" applyAlignment="0" applyProtection="0"/>
    <xf numFmtId="38" fontId="112" fillId="0" borderId="0" applyFont="0" applyFill="0" applyBorder="0" applyAlignment="0" applyProtection="0"/>
    <xf numFmtId="0" fontId="112" fillId="0" borderId="0" applyFont="0" applyFill="0" applyBorder="0" applyAlignment="0" applyProtection="0"/>
    <xf numFmtId="0" fontId="112" fillId="0" borderId="0" applyFont="0" applyFill="0" applyBorder="0" applyAlignment="0" applyProtection="0"/>
    <xf numFmtId="9" fontId="113" fillId="0" borderId="0" applyFont="0" applyFill="0" applyBorder="0" applyAlignment="0" applyProtection="0"/>
    <xf numFmtId="0" fontId="114" fillId="0" borderId="0"/>
    <xf numFmtId="41" fontId="115" fillId="0" borderId="0" applyFont="0" applyFill="0" applyBorder="0" applyAlignment="0" applyProtection="0"/>
    <xf numFmtId="43" fontId="115" fillId="0" borderId="0" applyFont="0" applyFill="0" applyBorder="0" applyAlignment="0" applyProtection="0"/>
    <xf numFmtId="233" fontId="115" fillId="0" borderId="0" applyFont="0" applyFill="0" applyBorder="0" applyAlignment="0" applyProtection="0"/>
    <xf numFmtId="234" fontId="115" fillId="0" borderId="0" applyFont="0" applyFill="0" applyBorder="0" applyAlignment="0" applyProtection="0"/>
    <xf numFmtId="0" fontId="116" fillId="0" borderId="0"/>
    <xf numFmtId="179" fontId="19" fillId="0" borderId="0"/>
    <xf numFmtId="40" fontId="117" fillId="0" borderId="0" applyFont="0" applyFill="0" applyBorder="0" applyAlignment="0" applyProtection="0"/>
    <xf numFmtId="41" fontId="2" fillId="0" borderId="0" applyFont="0" applyFill="0" applyBorder="0" applyAlignment="0" applyProtection="0"/>
    <xf numFmtId="0" fontId="118" fillId="0" borderId="0"/>
    <xf numFmtId="179" fontId="119" fillId="0" borderId="0" applyNumberFormat="0" applyFill="0" applyBorder="0" applyAlignment="0" applyProtection="0">
      <alignment vertical="top"/>
      <protection locked="0"/>
    </xf>
    <xf numFmtId="178" fontId="2" fillId="0" borderId="0" applyFont="0" applyFill="0" applyBorder="0" applyAlignment="0" applyProtection="0"/>
    <xf numFmtId="176" fontId="2" fillId="0" borderId="0" applyFont="0" applyFill="0" applyBorder="0" applyAlignment="0" applyProtection="0"/>
    <xf numFmtId="165" fontId="50" fillId="0" borderId="0" applyFont="0" applyFill="0" applyBorder="0" applyAlignment="0" applyProtection="0"/>
    <xf numFmtId="43" fontId="2" fillId="0" borderId="0" applyFont="0" applyFill="0" applyBorder="0" applyAlignment="0" applyProtection="0"/>
    <xf numFmtId="174" fontId="1" fillId="0" borderId="0" applyFont="0" applyFill="0" applyBorder="0" applyAlignment="0" applyProtection="0"/>
    <xf numFmtId="0" fontId="2" fillId="0" borderId="0"/>
    <xf numFmtId="0" fontId="120" fillId="0" borderId="0"/>
    <xf numFmtId="43" fontId="120" fillId="0" borderId="0" applyFont="0" applyFill="0" applyBorder="0" applyAlignment="0" applyProtection="0"/>
    <xf numFmtId="0" fontId="12" fillId="0" borderId="0"/>
    <xf numFmtId="0" fontId="2" fillId="0" borderId="0"/>
    <xf numFmtId="173" fontId="2" fillId="0" borderId="0"/>
    <xf numFmtId="173" fontId="2" fillId="0" borderId="0"/>
    <xf numFmtId="0" fontId="2" fillId="0" borderId="0"/>
    <xf numFmtId="0" fontId="2" fillId="0" borderId="0"/>
    <xf numFmtId="0" fontId="2" fillId="0" borderId="0"/>
    <xf numFmtId="235" fontId="2" fillId="0" borderId="0"/>
    <xf numFmtId="188" fontId="2" fillId="0" borderId="0"/>
    <xf numFmtId="179" fontId="1" fillId="0" borderId="0"/>
    <xf numFmtId="0" fontId="12" fillId="0" borderId="0"/>
    <xf numFmtId="175" fontId="2" fillId="0" borderId="0" applyFont="0" applyFill="0" applyBorder="0" applyAlignment="0" applyProtection="0"/>
    <xf numFmtId="165" fontId="1" fillId="0" borderId="0" applyFont="0" applyFill="0" applyBorder="0" applyAlignment="0" applyProtection="0"/>
    <xf numFmtId="0" fontId="2" fillId="0" borderId="0"/>
    <xf numFmtId="175" fontId="2" fillId="0" borderId="0" applyFont="0" applyFill="0" applyBorder="0" applyAlignment="0" applyProtection="0"/>
    <xf numFmtId="0" fontId="18" fillId="0" borderId="0">
      <alignment vertical="top"/>
    </xf>
    <xf numFmtId="0" fontId="2" fillId="0" borderId="0"/>
    <xf numFmtId="43"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121" fillId="0" borderId="0"/>
    <xf numFmtId="0" fontId="121" fillId="0" borderId="0"/>
    <xf numFmtId="0" fontId="2" fillId="0" borderId="0"/>
    <xf numFmtId="0" fontId="2"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122" fillId="0" borderId="0"/>
    <xf numFmtId="43" fontId="1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47" fillId="0" borderId="0"/>
    <xf numFmtId="240" fontId="1" fillId="0" borderId="0" applyFont="0" applyFill="0" applyBorder="0" applyAlignment="0" applyProtection="0"/>
    <xf numFmtId="240" fontId="2" fillId="0" borderId="0" applyFont="0" applyFill="0" applyBorder="0" applyAlignment="0" applyProtection="0"/>
    <xf numFmtId="0" fontId="1" fillId="0" borderId="0"/>
    <xf numFmtId="0" fontId="148" fillId="0" borderId="0"/>
    <xf numFmtId="9" fontId="1" fillId="0" borderId="0" applyFont="0" applyFill="0" applyBorder="0" applyAlignment="0" applyProtection="0"/>
  </cellStyleXfs>
  <cellXfs count="903">
    <xf numFmtId="0" fontId="0" fillId="0" borderId="0" xfId="0"/>
    <xf numFmtId="0" fontId="3" fillId="0" borderId="0" xfId="0" applyFont="1"/>
    <xf numFmtId="1" fontId="4" fillId="0" borderId="1" xfId="1" applyNumberFormat="1" applyFont="1" applyFill="1" applyBorder="1"/>
    <xf numFmtId="0" fontId="4" fillId="0" borderId="2" xfId="0" applyFont="1" applyBorder="1"/>
    <xf numFmtId="43" fontId="4" fillId="0" borderId="2" xfId="4" applyFont="1" applyBorder="1"/>
    <xf numFmtId="43" fontId="4" fillId="0" borderId="3" xfId="4" applyFont="1" applyBorder="1"/>
    <xf numFmtId="1" fontId="4" fillId="0" borderId="4" xfId="1" applyNumberFormat="1" applyFont="1" applyFill="1" applyBorder="1"/>
    <xf numFmtId="1" fontId="4" fillId="0" borderId="5" xfId="1" applyNumberFormat="1" applyFont="1" applyFill="1" applyBorder="1" applyAlignment="1">
      <alignment vertical="top" wrapText="1"/>
    </xf>
    <xf numFmtId="0" fontId="4" fillId="0" borderId="5" xfId="0" applyFont="1" applyBorder="1"/>
    <xf numFmtId="43" fontId="4" fillId="0" borderId="5" xfId="4" applyFont="1" applyBorder="1"/>
    <xf numFmtId="43" fontId="4" fillId="0" borderId="6" xfId="4" applyFont="1" applyBorder="1"/>
    <xf numFmtId="43" fontId="4" fillId="0" borderId="4" xfId="1" applyFont="1" applyBorder="1"/>
    <xf numFmtId="43" fontId="4" fillId="0" borderId="5" xfId="1" applyFont="1" applyBorder="1"/>
    <xf numFmtId="43" fontId="4" fillId="0" borderId="6" xfId="1" applyFont="1" applyBorder="1"/>
    <xf numFmtId="43" fontId="4" fillId="4" borderId="4" xfId="1" applyFont="1" applyFill="1" applyBorder="1"/>
    <xf numFmtId="43" fontId="4" fillId="4" borderId="5" xfId="1" applyFont="1" applyFill="1" applyBorder="1"/>
    <xf numFmtId="43" fontId="4" fillId="4" borderId="6" xfId="1" applyFont="1" applyFill="1" applyBorder="1"/>
    <xf numFmtId="43" fontId="4" fillId="0" borderId="7" xfId="1" applyFont="1" applyBorder="1"/>
    <xf numFmtId="43" fontId="4" fillId="0" borderId="8" xfId="1" applyFont="1" applyBorder="1"/>
    <xf numFmtId="43" fontId="4" fillId="0" borderId="9" xfId="1" applyFont="1" applyBorder="1"/>
    <xf numFmtId="43" fontId="4" fillId="4" borderId="4" xfId="4" applyFont="1" applyFill="1" applyBorder="1" applyAlignment="1">
      <alignment horizontal="center" vertical="center"/>
    </xf>
    <xf numFmtId="43" fontId="4" fillId="4" borderId="5" xfId="4" applyFont="1" applyFill="1" applyBorder="1" applyAlignment="1">
      <alignment horizontal="center" vertical="center"/>
    </xf>
    <xf numFmtId="43" fontId="4" fillId="4" borderId="5" xfId="4" applyFont="1" applyFill="1" applyBorder="1" applyAlignment="1">
      <alignment horizontal="center" vertical="center" wrapText="1"/>
    </xf>
    <xf numFmtId="43" fontId="4" fillId="4" borderId="6" xfId="4" applyFont="1" applyFill="1" applyBorder="1" applyAlignment="1">
      <alignment horizontal="center" vertical="center"/>
    </xf>
    <xf numFmtId="164" fontId="3" fillId="0" borderId="0" xfId="0" applyNumberFormat="1" applyFont="1"/>
    <xf numFmtId="164" fontId="3" fillId="0" borderId="0" xfId="1" applyNumberFormat="1" applyFont="1" applyFill="1"/>
    <xf numFmtId="43" fontId="3" fillId="0" borderId="0" xfId="1" applyFont="1" applyFill="1"/>
    <xf numFmtId="43" fontId="4" fillId="0" borderId="4" xfId="1" applyFont="1" applyFill="1" applyBorder="1" applyAlignment="1">
      <alignment horizontal="center" vertical="center"/>
    </xf>
    <xf numFmtId="43" fontId="4" fillId="0" borderId="0" xfId="1" applyFont="1" applyFill="1" applyAlignment="1">
      <alignment horizontal="center" vertical="center"/>
    </xf>
    <xf numFmtId="164" fontId="4" fillId="0" borderId="0" xfId="1" applyNumberFormat="1" applyFont="1" applyFill="1" applyAlignment="1">
      <alignment horizontal="center" vertical="center"/>
    </xf>
    <xf numFmtId="43" fontId="3" fillId="0" borderId="6" xfId="1" applyFont="1" applyFill="1" applyBorder="1" applyAlignment="1">
      <alignment horizontal="center" vertical="center"/>
    </xf>
    <xf numFmtId="43" fontId="3" fillId="0" borderId="0" xfId="1" applyFont="1" applyFill="1" applyAlignment="1">
      <alignment horizontal="center" vertical="center"/>
    </xf>
    <xf numFmtId="164" fontId="3" fillId="0" borderId="0" xfId="1" applyNumberFormat="1" applyFont="1" applyFill="1" applyAlignment="1">
      <alignment horizontal="center" vertical="center"/>
    </xf>
    <xf numFmtId="0" fontId="4" fillId="0" borderId="5" xfId="1" applyNumberFormat="1" applyFont="1" applyFill="1" applyBorder="1" applyAlignment="1">
      <alignment horizontal="left" vertical="center" wrapText="1"/>
    </xf>
    <xf numFmtId="43" fontId="3" fillId="0" borderId="5" xfId="1" applyFont="1" applyFill="1" applyBorder="1" applyAlignment="1">
      <alignment horizontal="left" vertical="center"/>
    </xf>
    <xf numFmtId="43" fontId="3" fillId="0" borderId="5" xfId="1" applyFont="1" applyFill="1" applyBorder="1" applyAlignment="1">
      <alignment vertical="center"/>
    </xf>
    <xf numFmtId="43" fontId="3" fillId="0" borderId="4" xfId="1" applyFont="1" applyFill="1" applyBorder="1"/>
    <xf numFmtId="43" fontId="3" fillId="0" borderId="5" xfId="1" applyFont="1" applyFill="1" applyBorder="1"/>
    <xf numFmtId="43" fontId="3" fillId="0" borderId="6" xfId="1" applyFont="1" applyFill="1" applyBorder="1"/>
    <xf numFmtId="164" fontId="3" fillId="0" borderId="5" xfId="1" applyNumberFormat="1" applyFont="1" applyFill="1" applyBorder="1" applyAlignment="1">
      <alignment horizontal="center" vertical="center"/>
    </xf>
    <xf numFmtId="43" fontId="4" fillId="0" borderId="5" xfId="1" applyFont="1" applyFill="1" applyBorder="1" applyAlignment="1">
      <alignment horizontal="left" vertical="center" wrapText="1"/>
    </xf>
    <xf numFmtId="43" fontId="4" fillId="5" borderId="4" xfId="1" applyFont="1" applyFill="1" applyBorder="1" applyAlignment="1">
      <alignment horizontal="center" vertical="center"/>
    </xf>
    <xf numFmtId="43" fontId="4" fillId="5" borderId="5" xfId="1" applyFont="1" applyFill="1" applyBorder="1" applyAlignment="1">
      <alignment horizontal="center" vertical="center"/>
    </xf>
    <xf numFmtId="43" fontId="4" fillId="5" borderId="6" xfId="1" applyFont="1" applyFill="1" applyBorder="1" applyAlignment="1">
      <alignment horizontal="center" vertical="center"/>
    </xf>
    <xf numFmtId="43" fontId="9" fillId="0" borderId="0" xfId="1" applyFont="1"/>
    <xf numFmtId="43" fontId="9" fillId="0" borderId="4" xfId="1" applyFont="1" applyBorder="1"/>
    <xf numFmtId="43" fontId="9" fillId="0" borderId="5" xfId="1" applyFont="1" applyBorder="1"/>
    <xf numFmtId="43" fontId="3" fillId="0" borderId="0" xfId="1" applyFont="1"/>
    <xf numFmtId="43" fontId="3" fillId="0" borderId="0" xfId="1" applyFont="1" applyAlignment="1">
      <alignment vertical="center"/>
    </xf>
    <xf numFmtId="43" fontId="9" fillId="0" borderId="5" xfId="1" applyFont="1" applyFill="1" applyBorder="1" applyAlignment="1">
      <alignment vertical="center"/>
    </xf>
    <xf numFmtId="43" fontId="3" fillId="0" borderId="0" xfId="1" applyFont="1" applyFill="1" applyAlignment="1">
      <alignment vertical="center"/>
    </xf>
    <xf numFmtId="43" fontId="3" fillId="0" borderId="0" xfId="1" applyFont="1" applyFill="1" applyAlignment="1">
      <alignment horizontal="left" vertical="center"/>
    </xf>
    <xf numFmtId="43" fontId="4" fillId="0" borderId="5" xfId="1" applyFont="1" applyFill="1" applyBorder="1" applyAlignment="1">
      <alignment horizontal="center" vertical="center"/>
    </xf>
    <xf numFmtId="43" fontId="4" fillId="0" borderId="6" xfId="1" applyFont="1" applyFill="1" applyBorder="1" applyAlignment="1">
      <alignment horizontal="center" vertical="center"/>
    </xf>
    <xf numFmtId="43" fontId="123" fillId="0" borderId="0" xfId="1" applyFont="1" applyFill="1"/>
    <xf numFmtId="164" fontId="123" fillId="0" borderId="0" xfId="1" applyNumberFormat="1" applyFont="1" applyFill="1"/>
    <xf numFmtId="14" fontId="3" fillId="0" borderId="0" xfId="1" applyNumberFormat="1" applyFont="1" applyAlignment="1">
      <alignment vertical="center"/>
    </xf>
    <xf numFmtId="43" fontId="3" fillId="0" borderId="11" xfId="1" applyFont="1" applyBorder="1"/>
    <xf numFmtId="0" fontId="3" fillId="0" borderId="5" xfId="0" applyFont="1" applyBorder="1"/>
    <xf numFmtId="0" fontId="3" fillId="0" borderId="2" xfId="0" applyFont="1" applyBorder="1"/>
    <xf numFmtId="0" fontId="3" fillId="0" borderId="3" xfId="0" applyFont="1" applyBorder="1"/>
    <xf numFmtId="0" fontId="3" fillId="0" borderId="6" xfId="0" applyFont="1" applyBorder="1"/>
    <xf numFmtId="0" fontId="3" fillId="0" borderId="4" xfId="0" applyFont="1" applyBorder="1"/>
    <xf numFmtId="0" fontId="3" fillId="0" borderId="7" xfId="0" applyFont="1" applyBorder="1"/>
    <xf numFmtId="0" fontId="3" fillId="0" borderId="8" xfId="0" applyFont="1" applyBorder="1"/>
    <xf numFmtId="0" fontId="3" fillId="0" borderId="9" xfId="0" applyFont="1" applyBorder="1"/>
    <xf numFmtId="43" fontId="4" fillId="0" borderId="1" xfId="0" applyNumberFormat="1" applyFont="1" applyBorder="1"/>
    <xf numFmtId="43" fontId="8" fillId="8" borderId="4" xfId="1" applyFont="1" applyFill="1" applyBorder="1" applyAlignment="1">
      <alignment horizontal="center" vertical="center"/>
    </xf>
    <xf numFmtId="236" fontId="8" fillId="8" borderId="5" xfId="1" applyNumberFormat="1" applyFont="1" applyFill="1" applyBorder="1" applyAlignment="1">
      <alignment horizontal="center" vertical="center" wrapText="1"/>
    </xf>
    <xf numFmtId="43" fontId="8" fillId="8" borderId="5" xfId="1" applyFont="1" applyFill="1" applyBorder="1" applyAlignment="1">
      <alignment horizontal="center" vertical="center"/>
    </xf>
    <xf numFmtId="0" fontId="125" fillId="0" borderId="55" xfId="0" applyFont="1" applyBorder="1" applyAlignment="1">
      <alignment horizontal="center" vertical="center"/>
    </xf>
    <xf numFmtId="0" fontId="125" fillId="0" borderId="56" xfId="0" applyFont="1" applyBorder="1" applyAlignment="1">
      <alignment horizontal="center" vertical="center"/>
    </xf>
    <xf numFmtId="0" fontId="125" fillId="0" borderId="56" xfId="0" applyFont="1" applyBorder="1" applyAlignment="1">
      <alignment horizontal="left" vertical="center" wrapText="1"/>
    </xf>
    <xf numFmtId="0" fontId="125" fillId="0" borderId="57" xfId="0" applyFont="1" applyBorder="1" applyAlignment="1">
      <alignment horizontal="center" vertical="center"/>
    </xf>
    <xf numFmtId="0" fontId="0" fillId="0" borderId="58" xfId="0" applyBorder="1"/>
    <xf numFmtId="0" fontId="0" fillId="0" borderId="59" xfId="0" applyBorder="1"/>
    <xf numFmtId="0" fontId="0" fillId="0" borderId="59" xfId="0" applyBorder="1" applyAlignment="1">
      <alignment wrapText="1"/>
    </xf>
    <xf numFmtId="0" fontId="0" fillId="0" borderId="60" xfId="0" applyBorder="1"/>
    <xf numFmtId="0" fontId="0" fillId="0" borderId="15" xfId="0" applyBorder="1" applyAlignment="1">
      <alignment vertical="center"/>
    </xf>
    <xf numFmtId="0" fontId="0" fillId="0" borderId="14" xfId="0" applyBorder="1" applyAlignment="1">
      <alignment horizontal="center" vertical="center"/>
    </xf>
    <xf numFmtId="43" fontId="0" fillId="0" borderId="14" xfId="1" applyFont="1" applyBorder="1" applyAlignment="1">
      <alignment vertical="center"/>
    </xf>
    <xf numFmtId="43" fontId="0" fillId="0" borderId="14" xfId="1" applyFont="1" applyBorder="1" applyAlignment="1">
      <alignment vertical="center" wrapText="1"/>
    </xf>
    <xf numFmtId="0" fontId="0" fillId="0" borderId="0" xfId="0" applyAlignment="1">
      <alignment vertical="center"/>
    </xf>
    <xf numFmtId="0" fontId="0" fillId="0" borderId="14" xfId="0" applyBorder="1"/>
    <xf numFmtId="43" fontId="0" fillId="0" borderId="14" xfId="1" applyFont="1" applyBorder="1"/>
    <xf numFmtId="43" fontId="0" fillId="0" borderId="14" xfId="1" applyFont="1" applyBorder="1" applyAlignment="1">
      <alignment wrapText="1"/>
    </xf>
    <xf numFmtId="0" fontId="0" fillId="0" borderId="50" xfId="0" applyBorder="1"/>
    <xf numFmtId="0" fontId="0" fillId="0" borderId="45" xfId="0" applyBorder="1"/>
    <xf numFmtId="0" fontId="0" fillId="0" borderId="45" xfId="0" applyBorder="1" applyAlignment="1">
      <alignment wrapText="1"/>
    </xf>
    <xf numFmtId="0" fontId="0" fillId="0" borderId="51" xfId="0" applyBorder="1"/>
    <xf numFmtId="0" fontId="125" fillId="7" borderId="55" xfId="0" applyFont="1" applyFill="1" applyBorder="1"/>
    <xf numFmtId="0" fontId="125" fillId="7" borderId="56" xfId="0" applyFont="1" applyFill="1" applyBorder="1"/>
    <xf numFmtId="43" fontId="125" fillId="7" borderId="56" xfId="0" applyNumberFormat="1" applyFont="1" applyFill="1" applyBorder="1" applyAlignment="1">
      <alignment wrapText="1"/>
    </xf>
    <xf numFmtId="0" fontId="125" fillId="7" borderId="57" xfId="0" applyFont="1" applyFill="1" applyBorder="1"/>
    <xf numFmtId="0" fontId="0" fillId="0" borderId="62" xfId="0" applyBorder="1"/>
    <xf numFmtId="0" fontId="0" fillId="0" borderId="63" xfId="0" applyBorder="1"/>
    <xf numFmtId="0" fontId="0" fillId="0" borderId="63" xfId="0" applyBorder="1" applyAlignment="1">
      <alignment wrapText="1"/>
    </xf>
    <xf numFmtId="0" fontId="0" fillId="0" borderId="64" xfId="0" applyBorder="1"/>
    <xf numFmtId="0" fontId="0" fillId="0" borderId="0" xfId="0" applyAlignment="1">
      <alignment wrapText="1"/>
    </xf>
    <xf numFmtId="43" fontId="126" fillId="0" borderId="4" xfId="1" applyFont="1" applyFill="1" applyBorder="1" applyAlignment="1">
      <alignment horizontal="center" vertical="center"/>
    </xf>
    <xf numFmtId="43" fontId="126" fillId="0" borderId="5" xfId="1" applyFont="1" applyFill="1" applyBorder="1" applyAlignment="1">
      <alignment vertical="center"/>
    </xf>
    <xf numFmtId="43" fontId="126" fillId="0" borderId="6" xfId="1" applyFont="1" applyFill="1" applyBorder="1" applyAlignment="1">
      <alignment horizontal="center" vertical="center"/>
    </xf>
    <xf numFmtId="43" fontId="4" fillId="5" borderId="7" xfId="1" applyFont="1" applyFill="1" applyBorder="1" applyAlignment="1">
      <alignment horizontal="center" vertical="center"/>
    </xf>
    <xf numFmtId="43" fontId="4" fillId="5" borderId="8" xfId="1" applyFont="1" applyFill="1" applyBorder="1" applyAlignment="1">
      <alignment horizontal="center" vertical="center"/>
    </xf>
    <xf numFmtId="43" fontId="4" fillId="5" borderId="9" xfId="1" applyFont="1" applyFill="1" applyBorder="1" applyAlignment="1">
      <alignment horizontal="center" vertical="center"/>
    </xf>
    <xf numFmtId="164" fontId="126" fillId="0" borderId="5" xfId="1" applyNumberFormat="1" applyFont="1" applyFill="1" applyBorder="1" applyAlignment="1">
      <alignment horizontal="center" vertical="center"/>
    </xf>
    <xf numFmtId="43" fontId="4" fillId="5" borderId="5" xfId="1" applyFont="1" applyFill="1" applyBorder="1" applyAlignment="1">
      <alignment horizontal="left" vertical="center"/>
    </xf>
    <xf numFmtId="0" fontId="3" fillId="0" borderId="25" xfId="0" applyFont="1" applyBorder="1"/>
    <xf numFmtId="0" fontId="3" fillId="0" borderId="26" xfId="0" applyFont="1" applyBorder="1"/>
    <xf numFmtId="0" fontId="127" fillId="0" borderId="0" xfId="0" applyFont="1"/>
    <xf numFmtId="0" fontId="123" fillId="0" borderId="0" xfId="0" applyFont="1"/>
    <xf numFmtId="170" fontId="6" fillId="0" borderId="4" xfId="361" applyFont="1" applyFill="1" applyBorder="1" applyAlignment="1">
      <alignment horizontal="center" vertical="center" wrapText="1"/>
    </xf>
    <xf numFmtId="170" fontId="6" fillId="0" borderId="5" xfId="361" applyFont="1" applyFill="1" applyBorder="1" applyAlignment="1">
      <alignment horizontal="center" vertical="center" wrapText="1"/>
    </xf>
    <xf numFmtId="0" fontId="6" fillId="0" borderId="5" xfId="361" applyNumberFormat="1" applyFont="1" applyFill="1" applyBorder="1" applyAlignment="1">
      <alignment horizontal="center" vertical="center" wrapText="1"/>
    </xf>
    <xf numFmtId="236" fontId="6" fillId="0" borderId="5" xfId="4" applyNumberFormat="1" applyFont="1" applyFill="1" applyBorder="1" applyAlignment="1">
      <alignment horizontal="center" vertical="center" wrapText="1"/>
    </xf>
    <xf numFmtId="43" fontId="6" fillId="0" borderId="5" xfId="4" applyFont="1" applyFill="1" applyBorder="1" applyAlignment="1">
      <alignment horizontal="center" vertical="center" wrapText="1"/>
    </xf>
    <xf numFmtId="170" fontId="6" fillId="0" borderId="6" xfId="361" applyFont="1" applyFill="1" applyBorder="1" applyAlignment="1">
      <alignment horizontal="center" vertical="center" wrapText="1"/>
    </xf>
    <xf numFmtId="0" fontId="123" fillId="0" borderId="4" xfId="0" applyFont="1" applyBorder="1"/>
    <xf numFmtId="0" fontId="123" fillId="0" borderId="5" xfId="0" applyFont="1" applyBorder="1"/>
    <xf numFmtId="0" fontId="123" fillId="0" borderId="13" xfId="0" applyFont="1" applyBorder="1"/>
    <xf numFmtId="1" fontId="6" fillId="42" borderId="0" xfId="1291" applyNumberFormat="1" applyFont="1" applyFill="1" applyBorder="1" applyAlignment="1">
      <alignment horizontal="center" vertical="center" wrapText="1"/>
    </xf>
    <xf numFmtId="0" fontId="123" fillId="0" borderId="65" xfId="0" applyFont="1" applyBorder="1"/>
    <xf numFmtId="0" fontId="123" fillId="0" borderId="5" xfId="0" applyFont="1" applyBorder="1" applyAlignment="1">
      <alignment vertical="center"/>
    </xf>
    <xf numFmtId="0" fontId="123" fillId="0" borderId="6" xfId="0" applyFont="1" applyBorder="1"/>
    <xf numFmtId="43" fontId="123" fillId="0" borderId="4" xfId="4" applyFont="1" applyFill="1" applyBorder="1" applyAlignment="1">
      <alignment horizontal="right" vertical="center"/>
    </xf>
    <xf numFmtId="43" fontId="123" fillId="0" borderId="5" xfId="4" applyFont="1" applyFill="1" applyBorder="1" applyAlignment="1">
      <alignment horizontal="right"/>
    </xf>
    <xf numFmtId="0" fontId="123" fillId="0" borderId="13" xfId="0" applyFont="1" applyBorder="1" applyAlignment="1">
      <alignment horizontal="left" vertical="center"/>
    </xf>
    <xf numFmtId="43" fontId="123" fillId="0" borderId="65" xfId="4" applyFont="1" applyFill="1" applyBorder="1"/>
    <xf numFmtId="43" fontId="123" fillId="0" borderId="5" xfId="4" applyFont="1" applyFill="1" applyBorder="1"/>
    <xf numFmtId="43" fontId="123" fillId="0" borderId="5" xfId="4" applyFont="1" applyFill="1" applyBorder="1" applyAlignment="1">
      <alignment vertical="center"/>
    </xf>
    <xf numFmtId="43" fontId="123" fillId="0" borderId="6" xfId="4" applyFont="1" applyFill="1" applyBorder="1"/>
    <xf numFmtId="43" fontId="123" fillId="0" borderId="0" xfId="4" applyFont="1"/>
    <xf numFmtId="43" fontId="123" fillId="0" borderId="0" xfId="0" applyNumberFormat="1" applyFont="1"/>
    <xf numFmtId="2" fontId="123" fillId="0" borderId="0" xfId="0" applyNumberFormat="1" applyFont="1"/>
    <xf numFmtId="0" fontId="123" fillId="0" borderId="5" xfId="4" applyNumberFormat="1" applyFont="1" applyFill="1" applyBorder="1"/>
    <xf numFmtId="43" fontId="124" fillId="2" borderId="4" xfId="4" applyFont="1" applyFill="1" applyBorder="1"/>
    <xf numFmtId="43" fontId="124" fillId="2" borderId="5" xfId="4" applyFont="1" applyFill="1" applyBorder="1"/>
    <xf numFmtId="0" fontId="124" fillId="2" borderId="5" xfId="0" applyFont="1" applyFill="1" applyBorder="1"/>
    <xf numFmtId="0" fontId="124" fillId="2" borderId="18" xfId="0" applyFont="1" applyFill="1" applyBorder="1"/>
    <xf numFmtId="236" fontId="124" fillId="2" borderId="5" xfId="4" applyNumberFormat="1" applyFont="1" applyFill="1" applyBorder="1"/>
    <xf numFmtId="0" fontId="124" fillId="2" borderId="6" xfId="0" applyFont="1" applyFill="1" applyBorder="1"/>
    <xf numFmtId="170" fontId="7" fillId="0" borderId="4" xfId="361" applyFont="1" applyFill="1" applyBorder="1" applyAlignment="1">
      <alignment horizontal="center" vertical="center" wrapText="1"/>
    </xf>
    <xf numFmtId="170" fontId="7" fillId="0" borderId="5" xfId="361" applyFont="1" applyFill="1" applyBorder="1" applyAlignment="1">
      <alignment horizontal="center" vertical="center" wrapText="1"/>
    </xf>
    <xf numFmtId="0" fontId="124" fillId="0" borderId="5" xfId="361" applyNumberFormat="1" applyFont="1" applyFill="1" applyBorder="1" applyAlignment="1">
      <alignment vertical="center" wrapText="1"/>
    </xf>
    <xf numFmtId="236" fontId="124" fillId="0" borderId="5" xfId="4" applyNumberFormat="1" applyFont="1" applyFill="1" applyBorder="1" applyAlignment="1">
      <alignment vertical="center" wrapText="1"/>
    </xf>
    <xf numFmtId="43" fontId="124" fillId="0" borderId="5" xfId="4" applyFont="1" applyFill="1" applyBorder="1" applyAlignment="1">
      <alignment vertical="center" wrapText="1"/>
    </xf>
    <xf numFmtId="43" fontId="6" fillId="0" borderId="5" xfId="4" applyFont="1" applyFill="1" applyBorder="1" applyAlignment="1">
      <alignment horizontal="center" vertical="center"/>
    </xf>
    <xf numFmtId="164" fontId="6" fillId="0" borderId="5" xfId="361" applyNumberFormat="1" applyFont="1" applyFill="1" applyBorder="1" applyAlignment="1">
      <alignment horizontal="center" vertical="center"/>
    </xf>
    <xf numFmtId="170" fontId="7" fillId="0" borderId="6" xfId="361" applyFont="1" applyFill="1" applyBorder="1" applyAlignment="1">
      <alignment horizontal="center" vertical="center" wrapText="1"/>
    </xf>
    <xf numFmtId="170" fontId="7" fillId="0" borderId="4" xfId="361" applyFont="1" applyFill="1" applyBorder="1" applyAlignment="1">
      <alignment horizontal="center" vertical="center"/>
    </xf>
    <xf numFmtId="170" fontId="7" fillId="0" borderId="5" xfId="361" applyFont="1" applyFill="1" applyBorder="1" applyAlignment="1">
      <alignment horizontal="center" vertical="center"/>
    </xf>
    <xf numFmtId="0" fontId="6" fillId="0" borderId="5" xfId="361" applyNumberFormat="1" applyFont="1" applyFill="1" applyBorder="1" applyAlignment="1">
      <alignment vertical="center" wrapText="1"/>
    </xf>
    <xf numFmtId="236" fontId="6" fillId="0" borderId="5" xfId="4" applyNumberFormat="1" applyFont="1" applyFill="1" applyBorder="1" applyAlignment="1">
      <alignment vertical="center" wrapText="1"/>
    </xf>
    <xf numFmtId="43" fontId="6" fillId="0" borderId="5" xfId="4" applyFont="1" applyFill="1" applyBorder="1" applyAlignment="1">
      <alignment vertical="center" wrapText="1"/>
    </xf>
    <xf numFmtId="170" fontId="6" fillId="0" borderId="5" xfId="361" applyFont="1" applyFill="1" applyBorder="1" applyAlignment="1">
      <alignment horizontal="center" vertical="center"/>
    </xf>
    <xf numFmtId="170" fontId="6" fillId="0" borderId="6" xfId="361" applyFont="1" applyFill="1" applyBorder="1" applyAlignment="1">
      <alignment vertical="center"/>
    </xf>
    <xf numFmtId="170" fontId="7" fillId="0" borderId="7" xfId="361" applyFont="1" applyFill="1" applyBorder="1" applyAlignment="1">
      <alignment horizontal="center" vertical="center"/>
    </xf>
    <xf numFmtId="170" fontId="7" fillId="0" borderId="8" xfId="361" applyFont="1" applyFill="1" applyBorder="1" applyAlignment="1">
      <alignment horizontal="center" vertical="center"/>
    </xf>
    <xf numFmtId="0" fontId="6" fillId="0" borderId="8" xfId="361" applyNumberFormat="1" applyFont="1" applyFill="1" applyBorder="1" applyAlignment="1">
      <alignment vertical="center" wrapText="1"/>
    </xf>
    <xf numFmtId="236" fontId="6" fillId="0" borderId="8" xfId="4" applyNumberFormat="1" applyFont="1" applyFill="1" applyBorder="1" applyAlignment="1">
      <alignment vertical="center" wrapText="1"/>
    </xf>
    <xf numFmtId="43" fontId="6" fillId="0" borderId="8" xfId="4" applyFont="1" applyFill="1" applyBorder="1" applyAlignment="1">
      <alignment vertical="center" wrapText="1"/>
    </xf>
    <xf numFmtId="170" fontId="6" fillId="0" borderId="9" xfId="361" applyFont="1" applyFill="1" applyBorder="1" applyAlignment="1">
      <alignment vertical="center"/>
    </xf>
    <xf numFmtId="0" fontId="123" fillId="0" borderId="0" xfId="0" applyFont="1" applyAlignment="1">
      <alignment vertical="center"/>
    </xf>
    <xf numFmtId="0" fontId="3" fillId="0" borderId="5" xfId="0" applyFont="1" applyBorder="1" applyAlignment="1">
      <alignment vertical="center"/>
    </xf>
    <xf numFmtId="0" fontId="3" fillId="0" borderId="5" xfId="0" applyFont="1" applyBorder="1" applyAlignment="1">
      <alignment wrapText="1"/>
    </xf>
    <xf numFmtId="43" fontId="126" fillId="0" borderId="5" xfId="1" applyFont="1" applyBorder="1"/>
    <xf numFmtId="43" fontId="126" fillId="0" borderId="4" xfId="1" applyFont="1" applyBorder="1"/>
    <xf numFmtId="43" fontId="126" fillId="0" borderId="6" xfId="1" applyFont="1" applyBorder="1"/>
    <xf numFmtId="0" fontId="3" fillId="0" borderId="67" xfId="0" applyFont="1" applyBorder="1"/>
    <xf numFmtId="0" fontId="3" fillId="0" borderId="27" xfId="0" applyFont="1" applyBorder="1"/>
    <xf numFmtId="0" fontId="3" fillId="0" borderId="68" xfId="0" applyFont="1" applyBorder="1"/>
    <xf numFmtId="43" fontId="9" fillId="0" borderId="5" xfId="1" applyFont="1" applyBorder="1" applyAlignment="1">
      <alignment vertical="center"/>
    </xf>
    <xf numFmtId="14" fontId="9" fillId="0" borderId="5" xfId="1" applyNumberFormat="1" applyFont="1" applyBorder="1" applyAlignment="1">
      <alignment vertical="center"/>
    </xf>
    <xf numFmtId="43" fontId="9" fillId="0" borderId="5" xfId="1" applyFont="1" applyFill="1" applyBorder="1"/>
    <xf numFmtId="43" fontId="9" fillId="0" borderId="5" xfId="1" applyFont="1" applyFill="1" applyBorder="1" applyAlignment="1">
      <alignment horizontal="left" vertical="center"/>
    </xf>
    <xf numFmtId="43" fontId="9" fillId="8" borderId="5" xfId="1" applyFont="1" applyFill="1" applyBorder="1" applyAlignment="1">
      <alignment horizontal="center" vertical="center" wrapText="1"/>
    </xf>
    <xf numFmtId="14" fontId="9" fillId="8" borderId="5" xfId="1" applyNumberFormat="1" applyFont="1" applyFill="1" applyBorder="1" applyAlignment="1">
      <alignment vertical="center"/>
    </xf>
    <xf numFmtId="43" fontId="9" fillId="8" borderId="5" xfId="1" applyFont="1" applyFill="1" applyBorder="1" applyAlignment="1">
      <alignment vertical="center"/>
    </xf>
    <xf numFmtId="14" fontId="3" fillId="0" borderId="5" xfId="1" applyNumberFormat="1" applyFont="1" applyFill="1" applyBorder="1" applyAlignment="1">
      <alignment vertical="center"/>
    </xf>
    <xf numFmtId="43" fontId="8" fillId="0" borderId="5" xfId="1" applyFont="1" applyFill="1" applyBorder="1"/>
    <xf numFmtId="43" fontId="3" fillId="0" borderId="5" xfId="1" quotePrefix="1" applyFont="1" applyFill="1" applyBorder="1" applyAlignment="1">
      <alignment horizontal="center" vertical="center"/>
    </xf>
    <xf numFmtId="43" fontId="3" fillId="0" borderId="5" xfId="1" quotePrefix="1" applyFont="1" applyFill="1" applyBorder="1" applyAlignment="1">
      <alignment horizontal="left" vertical="center"/>
    </xf>
    <xf numFmtId="14" fontId="3" fillId="0" borderId="5" xfId="1" applyNumberFormat="1" applyFont="1" applyFill="1" applyBorder="1" applyAlignment="1">
      <alignment horizontal="center" vertical="center"/>
    </xf>
    <xf numFmtId="43" fontId="4" fillId="2" borderId="5" xfId="1" applyFont="1" applyFill="1" applyBorder="1"/>
    <xf numFmtId="43" fontId="4" fillId="0" borderId="5" xfId="1" applyFont="1" applyFill="1" applyBorder="1"/>
    <xf numFmtId="14" fontId="3" fillId="0" borderId="5" xfId="1" quotePrefix="1" applyNumberFormat="1" applyFont="1" applyFill="1" applyBorder="1" applyAlignment="1">
      <alignment horizontal="center" vertical="center"/>
    </xf>
    <xf numFmtId="43" fontId="3" fillId="0" borderId="5" xfId="1" quotePrefix="1" applyFont="1" applyFill="1" applyBorder="1" applyAlignment="1">
      <alignment horizontal="center"/>
    </xf>
    <xf numFmtId="14" fontId="3" fillId="0" borderId="5" xfId="1" applyNumberFormat="1" applyFont="1" applyFill="1" applyBorder="1"/>
    <xf numFmtId="43" fontId="3" fillId="0" borderId="5" xfId="1" applyFont="1" applyFill="1" applyBorder="1" applyAlignment="1">
      <alignment wrapText="1"/>
    </xf>
    <xf numFmtId="43" fontId="4" fillId="0" borderId="5" xfId="1" applyFont="1" applyFill="1" applyBorder="1" applyAlignment="1">
      <alignment vertical="center"/>
    </xf>
    <xf numFmtId="43" fontId="4" fillId="0" borderId="5" xfId="1" applyFont="1" applyFill="1" applyBorder="1" applyAlignment="1">
      <alignment wrapText="1"/>
    </xf>
    <xf numFmtId="43" fontId="3" fillId="0" borderId="5" xfId="1" quotePrefix="1" applyFont="1" applyBorder="1" applyAlignment="1">
      <alignment horizontal="center" vertical="center"/>
    </xf>
    <xf numFmtId="14" fontId="3" fillId="0" borderId="5" xfId="1" applyNumberFormat="1" applyFont="1" applyBorder="1" applyAlignment="1">
      <alignment horizontal="center" vertical="center"/>
    </xf>
    <xf numFmtId="43" fontId="3" fillId="0" borderId="5" xfId="1" applyFont="1" applyBorder="1" applyAlignment="1">
      <alignment wrapText="1"/>
    </xf>
    <xf numFmtId="43" fontId="3" fillId="0" borderId="5" xfId="1" applyFont="1" applyBorder="1" applyAlignment="1">
      <alignment vertical="center"/>
    </xf>
    <xf numFmtId="43" fontId="9" fillId="0" borderId="6" xfId="1" applyFont="1" applyFill="1" applyBorder="1"/>
    <xf numFmtId="43" fontId="9" fillId="8" borderId="4" xfId="1" applyFont="1" applyFill="1" applyBorder="1" applyAlignment="1">
      <alignment horizontal="center" vertical="center"/>
    </xf>
    <xf numFmtId="43" fontId="3" fillId="0" borderId="4" xfId="1" applyFont="1" applyFill="1" applyBorder="1" applyAlignment="1">
      <alignment horizontal="center" vertical="center"/>
    </xf>
    <xf numFmtId="43" fontId="3" fillId="0" borderId="4" xfId="1" applyFont="1" applyFill="1" applyBorder="1" applyAlignment="1">
      <alignment vertical="center"/>
    </xf>
    <xf numFmtId="43" fontId="3" fillId="0" borderId="4" xfId="1" applyFont="1" applyBorder="1" applyAlignment="1">
      <alignment vertical="center"/>
    </xf>
    <xf numFmtId="43" fontId="3" fillId="0" borderId="8" xfId="1" applyFont="1" applyFill="1" applyBorder="1" applyAlignment="1">
      <alignment horizontal="left" vertical="center"/>
    </xf>
    <xf numFmtId="164" fontId="123" fillId="0" borderId="5" xfId="4" applyNumberFormat="1" applyFont="1" applyFill="1" applyBorder="1"/>
    <xf numFmtId="164" fontId="6" fillId="0" borderId="5" xfId="4" applyNumberFormat="1" applyFont="1" applyFill="1" applyBorder="1" applyAlignment="1">
      <alignment horizontal="center" vertical="center"/>
    </xf>
    <xf numFmtId="0" fontId="128" fillId="0" borderId="69" xfId="0" applyFont="1" applyBorder="1"/>
    <xf numFmtId="0" fontId="129" fillId="0" borderId="22" xfId="0" applyFont="1" applyBorder="1"/>
    <xf numFmtId="0" fontId="130" fillId="0" borderId="22" xfId="0" applyFont="1" applyBorder="1" applyAlignment="1">
      <alignment horizontal="left"/>
    </xf>
    <xf numFmtId="0" fontId="130" fillId="0" borderId="22" xfId="0" applyFont="1" applyBorder="1" applyAlignment="1">
      <alignment horizontal="right"/>
    </xf>
    <xf numFmtId="0" fontId="130" fillId="0" borderId="70" xfId="0" applyFont="1" applyBorder="1" applyAlignment="1">
      <alignment horizontal="left"/>
    </xf>
    <xf numFmtId="0" fontId="131" fillId="0" borderId="0" xfId="0" applyFont="1"/>
    <xf numFmtId="0" fontId="128" fillId="0" borderId="23" xfId="0" applyFont="1" applyBorder="1"/>
    <xf numFmtId="0" fontId="129" fillId="0" borderId="0" xfId="0" applyFont="1"/>
    <xf numFmtId="0" fontId="129" fillId="0" borderId="24" xfId="0" applyFont="1" applyBorder="1"/>
    <xf numFmtId="0" fontId="129" fillId="0" borderId="0" xfId="0" applyFont="1" applyAlignment="1">
      <alignment horizontal="left"/>
    </xf>
    <xf numFmtId="0" fontId="128" fillId="0" borderId="23" xfId="0" applyFont="1" applyBorder="1" applyAlignment="1">
      <alignment wrapText="1"/>
    </xf>
    <xf numFmtId="0" fontId="131" fillId="0" borderId="23" xfId="0" applyFont="1" applyBorder="1" applyAlignment="1">
      <alignment vertical="center"/>
    </xf>
    <xf numFmtId="0" fontId="131" fillId="0" borderId="0" xfId="0" applyFont="1" applyAlignment="1">
      <alignment vertical="center"/>
    </xf>
    <xf numFmtId="0" fontId="131" fillId="0" borderId="0" xfId="0" applyFont="1" applyAlignment="1">
      <alignment horizontal="center" vertical="center"/>
    </xf>
    <xf numFmtId="0" fontId="131" fillId="0" borderId="0" xfId="0" applyFont="1" applyAlignment="1">
      <alignment horizontal="center"/>
    </xf>
    <xf numFmtId="0" fontId="131" fillId="0" borderId="24" xfId="0" applyFont="1" applyBorder="1"/>
    <xf numFmtId="0" fontId="128" fillId="0" borderId="14" xfId="0" applyFont="1" applyBorder="1" applyAlignment="1">
      <alignment horizontal="center" vertical="center" wrapText="1"/>
    </xf>
    <xf numFmtId="0" fontId="128" fillId="0" borderId="14" xfId="0" applyFont="1" applyBorder="1" applyAlignment="1">
      <alignment horizontal="center" vertical="center"/>
    </xf>
    <xf numFmtId="0" fontId="131" fillId="0" borderId="73" xfId="0" applyFont="1" applyBorder="1" applyAlignment="1">
      <alignment horizontal="center"/>
    </xf>
    <xf numFmtId="0" fontId="131" fillId="0" borderId="18" xfId="0" applyFont="1" applyBorder="1"/>
    <xf numFmtId="0" fontId="131" fillId="0" borderId="18" xfId="0" applyFont="1" applyBorder="1" applyAlignment="1">
      <alignment horizontal="center" vertical="center"/>
    </xf>
    <xf numFmtId="0" fontId="131" fillId="0" borderId="18" xfId="0" applyFont="1" applyBorder="1" applyAlignment="1">
      <alignment horizontal="center"/>
    </xf>
    <xf numFmtId="0" fontId="131" fillId="0" borderId="74" xfId="0" applyFont="1" applyBorder="1"/>
    <xf numFmtId="0" fontId="128" fillId="0" borderId="75" xfId="0" applyFont="1" applyBorder="1" applyAlignment="1">
      <alignment horizontal="center" vertical="center"/>
    </xf>
    <xf numFmtId="0" fontId="128" fillId="0" borderId="5" xfId="0" applyFont="1" applyBorder="1" applyAlignment="1">
      <alignment vertical="center"/>
    </xf>
    <xf numFmtId="0" fontId="131" fillId="0" borderId="5" xfId="0" applyFont="1" applyBorder="1" applyAlignment="1">
      <alignment horizontal="center" vertical="center"/>
    </xf>
    <xf numFmtId="0" fontId="131" fillId="0" borderId="76" xfId="0" applyFont="1" applyBorder="1" applyAlignment="1">
      <alignment vertical="center"/>
    </xf>
    <xf numFmtId="0" fontId="131" fillId="0" borderId="75" xfId="0" applyFont="1" applyBorder="1" applyAlignment="1">
      <alignment horizontal="center" vertical="center"/>
    </xf>
    <xf numFmtId="0" fontId="131" fillId="0" borderId="5" xfId="0" applyFont="1" applyBorder="1" applyAlignment="1">
      <alignment vertical="center"/>
    </xf>
    <xf numFmtId="14" fontId="131" fillId="0" borderId="5" xfId="0" applyNumberFormat="1" applyFont="1" applyBorder="1" applyAlignment="1">
      <alignment horizontal="center" vertical="center"/>
    </xf>
    <xf numFmtId="0" fontId="131" fillId="0" borderId="76" xfId="0" applyFont="1" applyBorder="1" applyAlignment="1">
      <alignment vertical="center" wrapText="1"/>
    </xf>
    <xf numFmtId="0" fontId="131" fillId="0" borderId="5" xfId="0" applyFont="1" applyBorder="1" applyAlignment="1">
      <alignment vertical="center" wrapText="1"/>
    </xf>
    <xf numFmtId="14" fontId="131" fillId="0" borderId="5" xfId="0" applyNumberFormat="1" applyFont="1" applyBorder="1" applyAlignment="1">
      <alignment horizontal="center" vertical="center" wrapText="1"/>
    </xf>
    <xf numFmtId="0" fontId="131" fillId="0" borderId="77" xfId="0" applyFont="1" applyBorder="1" applyAlignment="1">
      <alignment horizontal="center" vertical="center"/>
    </xf>
    <xf numFmtId="0" fontId="131" fillId="0" borderId="78" xfId="0" applyFont="1" applyBorder="1" applyAlignment="1">
      <alignment vertical="center"/>
    </xf>
    <xf numFmtId="14" fontId="131" fillId="0" borderId="78" xfId="0" applyNumberFormat="1" applyFont="1" applyBorder="1" applyAlignment="1">
      <alignment horizontal="center" vertical="center"/>
    </xf>
    <xf numFmtId="0" fontId="131" fillId="0" borderId="78" xfId="0" applyFont="1" applyBorder="1" applyAlignment="1">
      <alignment horizontal="center" vertical="center"/>
    </xf>
    <xf numFmtId="0" fontId="131" fillId="0" borderId="79" xfId="0" applyFont="1" applyBorder="1" applyAlignment="1">
      <alignment vertical="center"/>
    </xf>
    <xf numFmtId="0" fontId="131" fillId="0" borderId="23" xfId="0" applyFont="1" applyBorder="1" applyAlignment="1">
      <alignment horizontal="center" vertical="center"/>
    </xf>
    <xf numFmtId="14" fontId="131" fillId="0" borderId="0" xfId="0" applyNumberFormat="1" applyFont="1" applyAlignment="1">
      <alignment horizontal="center" vertical="center"/>
    </xf>
    <xf numFmtId="0" fontId="131" fillId="0" borderId="24" xfId="0" applyFont="1" applyBorder="1" applyAlignment="1">
      <alignment vertical="center"/>
    </xf>
    <xf numFmtId="0" fontId="128" fillId="0" borderId="0" xfId="0" applyFont="1"/>
    <xf numFmtId="0" fontId="128" fillId="0" borderId="24" xfId="0" applyFont="1" applyBorder="1"/>
    <xf numFmtId="0" fontId="128" fillId="0" borderId="80" xfId="0" applyFont="1" applyBorder="1"/>
    <xf numFmtId="0" fontId="128" fillId="0" borderId="81" xfId="0" applyFont="1" applyBorder="1"/>
    <xf numFmtId="0" fontId="131" fillId="0" borderId="81" xfId="0" applyFont="1" applyBorder="1" applyAlignment="1">
      <alignment horizontal="center" vertical="center"/>
    </xf>
    <xf numFmtId="0" fontId="131" fillId="0" borderId="81" xfId="0" applyFont="1" applyBorder="1" applyAlignment="1">
      <alignment horizontal="center"/>
    </xf>
    <xf numFmtId="0" fontId="131" fillId="0" borderId="82" xfId="0" applyFont="1" applyBorder="1"/>
    <xf numFmtId="0" fontId="129" fillId="0" borderId="0" xfId="906" applyFont="1"/>
    <xf numFmtId="4" fontId="129" fillId="0" borderId="0" xfId="906" applyNumberFormat="1" applyFont="1"/>
    <xf numFmtId="0" fontId="132" fillId="0" borderId="0" xfId="1279" applyFont="1" applyAlignment="1">
      <alignment vertical="top"/>
    </xf>
    <xf numFmtId="0" fontId="133" fillId="0" borderId="0" xfId="1279" applyFont="1" applyAlignment="1">
      <alignment horizontal="left" vertical="center"/>
    </xf>
    <xf numFmtId="0" fontId="1" fillId="0" borderId="0" xfId="1278"/>
    <xf numFmtId="0" fontId="135" fillId="0" borderId="86" xfId="1278" applyFont="1" applyBorder="1" applyAlignment="1">
      <alignment horizontal="center"/>
    </xf>
    <xf numFmtId="0" fontId="135" fillId="0" borderId="22" xfId="1278" applyFont="1" applyBorder="1" applyAlignment="1">
      <alignment horizontal="center"/>
    </xf>
    <xf numFmtId="0" fontId="135" fillId="0" borderId="22" xfId="1278" applyFont="1" applyBorder="1" applyAlignment="1">
      <alignment horizontal="left"/>
    </xf>
    <xf numFmtId="0" fontId="135" fillId="0" borderId="87" xfId="1278" applyFont="1" applyBorder="1" applyAlignment="1">
      <alignment horizontal="center"/>
    </xf>
    <xf numFmtId="0" fontId="137" fillId="0" borderId="25" xfId="1278" applyFont="1" applyBorder="1" applyAlignment="1">
      <alignment horizontal="center" vertical="top"/>
    </xf>
    <xf numFmtId="0" fontId="138" fillId="0" borderId="0" xfId="1278" applyFont="1" applyAlignment="1">
      <alignment horizontal="center"/>
    </xf>
    <xf numFmtId="0" fontId="138" fillId="0" borderId="26" xfId="1278" applyFont="1" applyBorder="1" applyAlignment="1">
      <alignment horizontal="center"/>
    </xf>
    <xf numFmtId="0" fontId="139" fillId="0" borderId="14" xfId="1279" applyFont="1" applyBorder="1"/>
    <xf numFmtId="0" fontId="139" fillId="0" borderId="15" xfId="1279" applyFont="1" applyBorder="1" applyAlignment="1">
      <alignment horizontal="left"/>
    </xf>
    <xf numFmtId="0" fontId="139" fillId="0" borderId="14" xfId="1279" applyFont="1" applyBorder="1" applyAlignment="1">
      <alignment horizontal="left"/>
    </xf>
    <xf numFmtId="0" fontId="0" fillId="0" borderId="0" xfId="1278" applyFont="1"/>
    <xf numFmtId="0" fontId="139" fillId="45" borderId="15" xfId="1279" applyFont="1" applyFill="1" applyBorder="1" applyAlignment="1">
      <alignment horizontal="center" vertical="top"/>
    </xf>
    <xf numFmtId="0" fontId="139" fillId="45" borderId="14" xfId="1279" applyFont="1" applyFill="1" applyBorder="1" applyAlignment="1">
      <alignment horizontal="center" vertical="top"/>
    </xf>
    <xf numFmtId="0" fontId="139" fillId="45" borderId="14" xfId="1279" applyFont="1" applyFill="1" applyBorder="1" applyAlignment="1">
      <alignment horizontal="center" vertical="top" wrapText="1"/>
    </xf>
    <xf numFmtId="0" fontId="139" fillId="45" borderId="92" xfId="1279" applyFont="1" applyFill="1" applyBorder="1" applyAlignment="1">
      <alignment horizontal="center" vertical="top"/>
    </xf>
    <xf numFmtId="0" fontId="139" fillId="0" borderId="15" xfId="1279" applyFont="1" applyBorder="1" applyAlignment="1">
      <alignment horizontal="center" vertical="top"/>
    </xf>
    <xf numFmtId="0" fontId="140" fillId="0" borderId="14" xfId="1279" applyFont="1" applyBorder="1" applyAlignment="1">
      <alignment horizontal="left" vertical="top"/>
    </xf>
    <xf numFmtId="0" fontId="141" fillId="0" borderId="14" xfId="1279" applyFont="1" applyBorder="1" applyAlignment="1">
      <alignment horizontal="center" vertical="top" wrapText="1"/>
    </xf>
    <xf numFmtId="0" fontId="139" fillId="0" borderId="92" xfId="1279" applyFont="1" applyBorder="1" applyAlignment="1">
      <alignment horizontal="center" vertical="top"/>
    </xf>
    <xf numFmtId="0" fontId="142" fillId="0" borderId="15" xfId="1279" applyFont="1" applyBorder="1" applyAlignment="1">
      <alignment horizontal="center" vertical="top"/>
    </xf>
    <xf numFmtId="0" fontId="142" fillId="0" borderId="14" xfId="1279" applyFont="1" applyBorder="1" applyAlignment="1">
      <alignment vertical="top"/>
    </xf>
    <xf numFmtId="0" fontId="143" fillId="0" borderId="14" xfId="1279" applyFont="1" applyBorder="1" applyAlignment="1">
      <alignment horizontal="center" vertical="top" wrapText="1"/>
    </xf>
    <xf numFmtId="0" fontId="139" fillId="45" borderId="14" xfId="1279" applyFont="1" applyFill="1" applyBorder="1" applyAlignment="1">
      <alignment horizontal="left" vertical="top"/>
    </xf>
    <xf numFmtId="0" fontId="139" fillId="0" borderId="14" xfId="1279" applyFont="1" applyBorder="1" applyAlignment="1">
      <alignment horizontal="center" vertical="top" wrapText="1"/>
    </xf>
    <xf numFmtId="0" fontId="144" fillId="0" borderId="92" xfId="1279" applyFont="1" applyBorder="1" applyAlignment="1">
      <alignment horizontal="center" vertical="top" wrapText="1"/>
    </xf>
    <xf numFmtId="0" fontId="142" fillId="0" borderId="14" xfId="1279" applyFont="1" applyBorder="1" applyAlignment="1">
      <alignment vertical="top" wrapText="1"/>
    </xf>
    <xf numFmtId="0" fontId="145" fillId="0" borderId="14" xfId="1279" applyFont="1" applyBorder="1" applyAlignment="1">
      <alignment horizontal="center" vertical="top" wrapText="1"/>
    </xf>
    <xf numFmtId="0" fontId="142" fillId="0" borderId="14" xfId="1279" applyFont="1" applyBorder="1" applyAlignment="1">
      <alignment horizontal="left" vertical="top"/>
    </xf>
    <xf numFmtId="0" fontId="139" fillId="0" borderId="14" xfId="1279" applyFont="1" applyBorder="1" applyAlignment="1">
      <alignment horizontal="left" vertical="top"/>
    </xf>
    <xf numFmtId="0" fontId="142" fillId="0" borderId="14" xfId="1278" applyFont="1" applyBorder="1" applyAlignment="1">
      <alignment vertical="top" wrapText="1"/>
    </xf>
    <xf numFmtId="0" fontId="146" fillId="0" borderId="14" xfId="1278" applyFont="1" applyBorder="1" applyAlignment="1">
      <alignment vertical="top" wrapText="1"/>
    </xf>
    <xf numFmtId="0" fontId="139" fillId="0" borderId="14" xfId="1279" applyFont="1" applyBorder="1" applyAlignment="1">
      <alignment horizontal="center" vertical="center" wrapText="1"/>
    </xf>
    <xf numFmtId="0" fontId="142" fillId="0" borderId="14" xfId="1279" applyFont="1" applyBorder="1"/>
    <xf numFmtId="0" fontId="142" fillId="0" borderId="15" xfId="1279" applyFont="1" applyBorder="1" applyAlignment="1">
      <alignment horizontal="center" vertical="center"/>
    </xf>
    <xf numFmtId="0" fontId="142" fillId="0" borderId="14" xfId="1279" applyFont="1" applyBorder="1" applyAlignment="1">
      <alignment horizontal="center" vertical="center"/>
    </xf>
    <xf numFmtId="0" fontId="139" fillId="0" borderId="14" xfId="1279" applyFont="1" applyBorder="1" applyAlignment="1">
      <alignment vertical="top" wrapText="1"/>
    </xf>
    <xf numFmtId="0" fontId="142" fillId="0" borderId="92" xfId="1279" applyFont="1" applyBorder="1"/>
    <xf numFmtId="0" fontId="139" fillId="0" borderId="15" xfId="1279" applyFont="1" applyBorder="1" applyAlignment="1">
      <alignment horizontal="center" vertical="center"/>
    </xf>
    <xf numFmtId="0" fontId="138" fillId="44" borderId="93" xfId="1281" applyFont="1" applyFill="1" applyBorder="1" applyAlignment="1">
      <alignment horizontal="center" vertical="top"/>
    </xf>
    <xf numFmtId="0" fontId="138" fillId="44" borderId="59" xfId="1281" applyFont="1" applyFill="1" applyBorder="1" applyAlignment="1">
      <alignment horizontal="center" vertical="center"/>
    </xf>
    <xf numFmtId="0" fontId="138" fillId="44" borderId="60" xfId="1281" applyFont="1" applyFill="1" applyBorder="1" applyAlignment="1">
      <alignment horizontal="center" vertical="center"/>
    </xf>
    <xf numFmtId="0" fontId="138" fillId="44" borderId="94" xfId="1281" applyFont="1" applyFill="1" applyBorder="1" applyAlignment="1">
      <alignment vertical="top"/>
    </xf>
    <xf numFmtId="0" fontId="142" fillId="0" borderId="14" xfId="1281" applyFont="1" applyBorder="1"/>
    <xf numFmtId="0" fontId="142" fillId="0" borderId="14" xfId="1281" applyFont="1" applyBorder="1" applyAlignment="1">
      <alignment horizontal="center"/>
    </xf>
    <xf numFmtId="0" fontId="142" fillId="0" borderId="92" xfId="1281" applyFont="1" applyBorder="1" applyAlignment="1">
      <alignment horizontal="center"/>
    </xf>
    <xf numFmtId="0" fontId="142" fillId="0" borderId="25" xfId="1279" applyFont="1" applyBorder="1" applyAlignment="1">
      <alignment vertical="top"/>
    </xf>
    <xf numFmtId="0" fontId="139" fillId="0" borderId="0" xfId="1279" applyFont="1"/>
    <xf numFmtId="0" fontId="142" fillId="0" borderId="0" xfId="1279" applyFont="1"/>
    <xf numFmtId="0" fontId="142" fillId="0" borderId="26" xfId="1279" applyFont="1" applyBorder="1"/>
    <xf numFmtId="0" fontId="142" fillId="0" borderId="67" xfId="1279" applyFont="1" applyBorder="1" applyAlignment="1">
      <alignment vertical="top"/>
    </xf>
    <xf numFmtId="0" fontId="142" fillId="0" borderId="27" xfId="1279" applyFont="1" applyBorder="1"/>
    <xf numFmtId="0" fontId="142" fillId="0" borderId="68" xfId="1279" applyFont="1" applyBorder="1"/>
    <xf numFmtId="1" fontId="3" fillId="0" borderId="4" xfId="0" applyNumberFormat="1" applyFont="1" applyBorder="1" applyAlignment="1">
      <alignment vertical="center"/>
    </xf>
    <xf numFmtId="43" fontId="3" fillId="0" borderId="4" xfId="0" applyNumberFormat="1" applyFont="1" applyBorder="1" applyAlignment="1">
      <alignment vertical="center"/>
    </xf>
    <xf numFmtId="43" fontId="126" fillId="0" borderId="5" xfId="1" applyFont="1" applyFill="1" applyBorder="1"/>
    <xf numFmtId="43" fontId="126" fillId="0" borderId="6" xfId="1" applyFont="1" applyFill="1" applyBorder="1"/>
    <xf numFmtId="43" fontId="3" fillId="0" borderId="27" xfId="1" applyFont="1" applyBorder="1"/>
    <xf numFmtId="0" fontId="123" fillId="0" borderId="0" xfId="4" applyNumberFormat="1" applyFont="1"/>
    <xf numFmtId="43" fontId="127" fillId="0" borderId="4" xfId="4" applyFont="1" applyFill="1" applyBorder="1" applyAlignment="1">
      <alignment horizontal="right" vertical="center"/>
    </xf>
    <xf numFmtId="43" fontId="127" fillId="0" borderId="5" xfId="4" applyFont="1" applyFill="1" applyBorder="1" applyAlignment="1">
      <alignment horizontal="right"/>
    </xf>
    <xf numFmtId="0" fontId="127" fillId="0" borderId="13" xfId="0" applyFont="1" applyBorder="1" applyAlignment="1">
      <alignment horizontal="left" vertical="center"/>
    </xf>
    <xf numFmtId="43" fontId="127" fillId="0" borderId="65" xfId="4" applyFont="1" applyFill="1" applyBorder="1"/>
    <xf numFmtId="43" fontId="127" fillId="0" borderId="5" xfId="4" applyFont="1" applyFill="1" applyBorder="1"/>
    <xf numFmtId="43" fontId="127" fillId="0" borderId="5" xfId="4" applyFont="1" applyFill="1" applyBorder="1" applyAlignment="1">
      <alignment vertical="center"/>
    </xf>
    <xf numFmtId="43" fontId="127" fillId="0" borderId="6" xfId="4" applyFont="1" applyFill="1" applyBorder="1"/>
    <xf numFmtId="43" fontId="4" fillId="0" borderId="4" xfId="4" applyFont="1" applyFill="1" applyBorder="1" applyAlignment="1">
      <alignment horizontal="center" vertical="center"/>
    </xf>
    <xf numFmtId="43" fontId="4" fillId="0" borderId="5" xfId="4" applyFont="1" applyFill="1" applyBorder="1" applyAlignment="1">
      <alignment horizontal="center" vertical="center"/>
    </xf>
    <xf numFmtId="43" fontId="4" fillId="0" borderId="5" xfId="4" applyFont="1" applyFill="1" applyBorder="1" applyAlignment="1">
      <alignment horizontal="center" vertical="center" wrapText="1"/>
    </xf>
    <xf numFmtId="43" fontId="4" fillId="0" borderId="6" xfId="4" applyFont="1" applyFill="1" applyBorder="1" applyAlignment="1">
      <alignment horizontal="center" vertical="center"/>
    </xf>
    <xf numFmtId="43" fontId="123" fillId="0" borderId="0" xfId="1" applyFont="1"/>
    <xf numFmtId="43" fontId="6" fillId="0" borderId="1" xfId="1" applyFont="1" applyBorder="1" applyAlignment="1">
      <alignment horizontal="left" vertical="center"/>
    </xf>
    <xf numFmtId="43" fontId="6" fillId="3" borderId="2" xfId="1" applyFont="1" applyFill="1" applyBorder="1" applyAlignment="1">
      <alignment vertical="center"/>
    </xf>
    <xf numFmtId="43" fontId="6" fillId="3" borderId="3" xfId="1" applyFont="1" applyFill="1" applyBorder="1" applyAlignment="1">
      <alignment vertical="center"/>
    </xf>
    <xf numFmtId="43" fontId="123" fillId="3" borderId="0" xfId="1" applyFont="1" applyFill="1"/>
    <xf numFmtId="43" fontId="6" fillId="3" borderId="5" xfId="1" applyFont="1" applyFill="1" applyBorder="1" applyAlignment="1">
      <alignment vertical="center"/>
    </xf>
    <xf numFmtId="43" fontId="6" fillId="3" borderId="6" xfId="1" applyFont="1" applyFill="1" applyBorder="1" applyAlignment="1">
      <alignment vertical="center"/>
    </xf>
    <xf numFmtId="43" fontId="6" fillId="0" borderId="4" xfId="1" applyFont="1" applyBorder="1" applyAlignment="1">
      <alignment horizontal="left" vertical="center"/>
    </xf>
    <xf numFmtId="43" fontId="6" fillId="6" borderId="4" xfId="1" applyFont="1" applyFill="1" applyBorder="1" applyAlignment="1">
      <alignment horizontal="center" vertical="center" wrapText="1"/>
    </xf>
    <xf numFmtId="43" fontId="6" fillId="6" borderId="5" xfId="1" applyFont="1" applyFill="1" applyBorder="1" applyAlignment="1">
      <alignment horizontal="center" vertical="center"/>
    </xf>
    <xf numFmtId="43" fontId="6" fillId="6" borderId="5" xfId="1" applyFont="1" applyFill="1" applyBorder="1" applyAlignment="1">
      <alignment horizontal="center" vertical="center" wrapText="1"/>
    </xf>
    <xf numFmtId="43" fontId="6" fillId="6" borderId="6" xfId="1" applyFont="1" applyFill="1" applyBorder="1" applyAlignment="1">
      <alignment horizontal="center" vertical="center" wrapText="1"/>
    </xf>
    <xf numFmtId="43" fontId="6" fillId="0" borderId="4" xfId="1" applyFont="1" applyFill="1" applyBorder="1" applyAlignment="1">
      <alignment horizontal="center" vertical="center" wrapText="1"/>
    </xf>
    <xf numFmtId="43" fontId="6" fillId="0" borderId="5" xfId="1" applyFont="1" applyFill="1" applyBorder="1" applyAlignment="1">
      <alignment horizontal="left" vertical="center"/>
    </xf>
    <xf numFmtId="43" fontId="6" fillId="0" borderId="5" xfId="1" applyFont="1" applyFill="1" applyBorder="1" applyAlignment="1">
      <alignment horizontal="center" vertical="center"/>
    </xf>
    <xf numFmtId="43" fontId="6" fillId="0" borderId="5" xfId="1" applyFont="1" applyFill="1" applyBorder="1" applyAlignment="1">
      <alignment horizontal="center" vertical="center" wrapText="1"/>
    </xf>
    <xf numFmtId="43" fontId="6" fillId="0" borderId="6" xfId="1" applyFont="1" applyFill="1" applyBorder="1" applyAlignment="1">
      <alignment horizontal="center" vertical="center" wrapText="1"/>
    </xf>
    <xf numFmtId="43" fontId="7" fillId="3" borderId="4" xfId="1" applyFont="1" applyFill="1" applyBorder="1" applyAlignment="1">
      <alignment horizontal="right" vertical="center"/>
    </xf>
    <xf numFmtId="43" fontId="7" fillId="3" borderId="5" xfId="1" applyFont="1" applyFill="1" applyBorder="1" applyAlignment="1">
      <alignment horizontal="left" vertical="center" wrapText="1"/>
    </xf>
    <xf numFmtId="43" fontId="7" fillId="3" borderId="5" xfId="1" applyFont="1" applyFill="1" applyBorder="1" applyAlignment="1">
      <alignment horizontal="center" vertical="center"/>
    </xf>
    <xf numFmtId="43" fontId="7" fillId="3" borderId="5" xfId="1" applyFont="1" applyFill="1" applyBorder="1" applyAlignment="1">
      <alignment horizontal="center" vertical="center" wrapText="1"/>
    </xf>
    <xf numFmtId="43" fontId="7" fillId="3" borderId="5" xfId="1" applyFont="1" applyFill="1" applyBorder="1" applyAlignment="1">
      <alignment vertical="center"/>
    </xf>
    <xf numFmtId="43" fontId="7" fillId="3" borderId="5" xfId="1" applyFont="1" applyFill="1" applyBorder="1" applyAlignment="1">
      <alignment vertical="center" wrapText="1"/>
    </xf>
    <xf numFmtId="43" fontId="7" fillId="3" borderId="6" xfId="1" applyFont="1" applyFill="1" applyBorder="1" applyAlignment="1">
      <alignment vertical="center" wrapText="1"/>
    </xf>
    <xf numFmtId="43" fontId="6" fillId="3" borderId="4" xfId="1" applyFont="1" applyFill="1" applyBorder="1" applyAlignment="1">
      <alignment horizontal="right" vertical="center"/>
    </xf>
    <xf numFmtId="43" fontId="6" fillId="3" borderId="5" xfId="1" applyFont="1" applyFill="1" applyBorder="1" applyAlignment="1">
      <alignment horizontal="left" vertical="center" wrapText="1"/>
    </xf>
    <xf numFmtId="43" fontId="7" fillId="3" borderId="10" xfId="1" applyFont="1" applyFill="1" applyBorder="1" applyAlignment="1">
      <alignment horizontal="right" vertical="center"/>
    </xf>
    <xf numFmtId="43" fontId="7" fillId="3" borderId="11" xfId="1" applyFont="1" applyFill="1" applyBorder="1" applyAlignment="1">
      <alignment horizontal="left" vertical="center" wrapText="1"/>
    </xf>
    <xf numFmtId="43" fontId="7" fillId="3" borderId="11" xfId="1" applyFont="1" applyFill="1" applyBorder="1" applyAlignment="1">
      <alignment horizontal="center" vertical="center" wrapText="1"/>
    </xf>
    <xf numFmtId="43" fontId="7" fillId="3" borderId="11" xfId="1" applyFont="1" applyFill="1" applyBorder="1" applyAlignment="1">
      <alignment vertical="center"/>
    </xf>
    <xf numFmtId="43" fontId="7" fillId="3" borderId="11" xfId="1" applyFont="1" applyFill="1" applyBorder="1" applyAlignment="1">
      <alignment vertical="center" wrapText="1"/>
    </xf>
    <xf numFmtId="43" fontId="7" fillId="3" borderId="11" xfId="1" applyFont="1" applyFill="1" applyBorder="1" applyAlignment="1">
      <alignment horizontal="center" vertical="center"/>
    </xf>
    <xf numFmtId="43" fontId="6" fillId="3" borderId="10" xfId="1" applyFont="1" applyFill="1" applyBorder="1" applyAlignment="1">
      <alignment horizontal="right" vertical="center"/>
    </xf>
    <xf numFmtId="43" fontId="6" fillId="3" borderId="11" xfId="1" applyFont="1" applyFill="1" applyBorder="1" applyAlignment="1">
      <alignment horizontal="left" vertical="center" wrapText="1"/>
    </xf>
    <xf numFmtId="164" fontId="7" fillId="3" borderId="11" xfId="1" applyNumberFormat="1" applyFont="1" applyFill="1" applyBorder="1" applyAlignment="1">
      <alignment vertical="center"/>
    </xf>
    <xf numFmtId="43" fontId="7" fillId="3" borderId="7" xfId="1" applyFont="1" applyFill="1" applyBorder="1" applyAlignment="1">
      <alignment horizontal="center" vertical="top"/>
    </xf>
    <xf numFmtId="43" fontId="7" fillId="3" borderId="8" xfId="1" applyFont="1" applyFill="1" applyBorder="1" applyAlignment="1">
      <alignment horizontal="center" vertical="center" wrapText="1"/>
    </xf>
    <xf numFmtId="43" fontId="7" fillId="3" borderId="8" xfId="1" applyFont="1" applyFill="1" applyBorder="1" applyAlignment="1">
      <alignment horizontal="center" vertical="center"/>
    </xf>
    <xf numFmtId="43" fontId="7" fillId="3" borderId="8" xfId="1" applyFont="1" applyFill="1" applyBorder="1" applyAlignment="1">
      <alignment horizontal="center"/>
    </xf>
    <xf numFmtId="43" fontId="7" fillId="3" borderId="8" xfId="1" applyFont="1" applyFill="1" applyBorder="1"/>
    <xf numFmtId="43" fontId="7" fillId="3" borderId="9" xfId="1" applyFont="1" applyFill="1" applyBorder="1" applyAlignment="1"/>
    <xf numFmtId="43" fontId="123" fillId="0" borderId="0" xfId="1" applyFont="1" applyAlignment="1">
      <alignment horizontal="center"/>
    </xf>
    <xf numFmtId="43" fontId="4" fillId="2" borderId="5" xfId="1" applyFont="1" applyFill="1" applyBorder="1" applyAlignment="1">
      <alignment vertical="center"/>
    </xf>
    <xf numFmtId="0" fontId="0" fillId="0" borderId="15" xfId="0" applyBorder="1" applyAlignment="1">
      <alignment horizontal="center"/>
    </xf>
    <xf numFmtId="0" fontId="0" fillId="0" borderId="14" xfId="0" applyBorder="1" applyAlignment="1">
      <alignment horizontal="center"/>
    </xf>
    <xf numFmtId="43" fontId="4" fillId="0" borderId="4" xfId="0" applyNumberFormat="1" applyFont="1" applyBorder="1"/>
    <xf numFmtId="1" fontId="3" fillId="0" borderId="4" xfId="0" applyNumberFormat="1" applyFont="1" applyBorder="1" applyAlignment="1">
      <alignment horizontal="right" vertical="center" wrapText="1"/>
    </xf>
    <xf numFmtId="1" fontId="3" fillId="0" borderId="4" xfId="0" applyNumberFormat="1" applyFont="1" applyBorder="1" applyAlignment="1">
      <alignment horizontal="center" vertical="center"/>
    </xf>
    <xf numFmtId="43" fontId="7" fillId="0" borderId="11" xfId="1" applyFont="1" applyFill="1" applyBorder="1" applyAlignment="1">
      <alignment horizontal="center" vertical="center" wrapText="1"/>
    </xf>
    <xf numFmtId="43" fontId="7" fillId="0" borderId="11" xfId="1" applyFont="1" applyFill="1" applyBorder="1" applyAlignment="1">
      <alignment vertical="center"/>
    </xf>
    <xf numFmtId="43" fontId="7" fillId="0" borderId="11" xfId="1" applyFont="1" applyFill="1" applyBorder="1" applyAlignment="1">
      <alignment vertical="center" wrapText="1"/>
    </xf>
    <xf numFmtId="43" fontId="7" fillId="0" borderId="5" xfId="1" applyFont="1" applyFill="1" applyBorder="1" applyAlignment="1">
      <alignment vertical="center" wrapText="1"/>
    </xf>
    <xf numFmtId="237" fontId="6" fillId="0" borderId="5" xfId="4" applyNumberFormat="1" applyFont="1" applyFill="1" applyBorder="1" applyAlignment="1">
      <alignment horizontal="center" vertical="center" wrapText="1"/>
    </xf>
    <xf numFmtId="0" fontId="0" fillId="0" borderId="51" xfId="0" applyBorder="1" applyAlignment="1">
      <alignment horizontal="left" wrapText="1"/>
    </xf>
    <xf numFmtId="43" fontId="7" fillId="0" borderId="5" xfId="1" applyFont="1" applyFill="1" applyBorder="1" applyAlignment="1">
      <alignment vertical="center"/>
    </xf>
    <xf numFmtId="0" fontId="0" fillId="0" borderId="45" xfId="0" applyBorder="1" applyAlignment="1">
      <alignment horizontal="center" vertical="center"/>
    </xf>
    <xf numFmtId="43" fontId="0" fillId="0" borderId="45" xfId="1" applyFont="1" applyBorder="1" applyAlignment="1">
      <alignment vertical="center"/>
    </xf>
    <xf numFmtId="0" fontId="125" fillId="0" borderId="56" xfId="0" applyFont="1" applyBorder="1" applyAlignment="1">
      <alignment horizontal="center" vertical="center" wrapText="1"/>
    </xf>
    <xf numFmtId="0" fontId="0" fillId="0" borderId="15" xfId="0" applyBorder="1" applyAlignment="1">
      <alignment horizontal="center" vertical="center"/>
    </xf>
    <xf numFmtId="0" fontId="159" fillId="5" borderId="14" xfId="0" applyFont="1" applyFill="1" applyBorder="1" applyAlignment="1">
      <alignment horizontal="center"/>
    </xf>
    <xf numFmtId="0" fontId="0" fillId="48" borderId="14" xfId="0" applyFill="1" applyBorder="1" applyAlignment="1">
      <alignment horizontal="center"/>
    </xf>
    <xf numFmtId="0" fontId="0" fillId="3" borderId="14" xfId="0" applyFill="1" applyBorder="1" applyAlignment="1">
      <alignment horizontal="center"/>
    </xf>
    <xf numFmtId="0" fontId="0" fillId="0" borderId="99" xfId="0" applyBorder="1" applyAlignment="1">
      <alignment horizontal="center"/>
    </xf>
    <xf numFmtId="0" fontId="0" fillId="0" borderId="50" xfId="0" applyBorder="1" applyAlignment="1">
      <alignment horizontal="center" vertical="center"/>
    </xf>
    <xf numFmtId="0" fontId="0" fillId="0" borderId="51" xfId="0" applyBorder="1" applyAlignment="1">
      <alignment horizontal="left" vertical="center" wrapText="1"/>
    </xf>
    <xf numFmtId="9" fontId="0" fillId="0" borderId="14" xfId="1297" applyFont="1" applyBorder="1" applyAlignment="1">
      <alignment horizontal="center" vertical="center"/>
    </xf>
    <xf numFmtId="43" fontId="0" fillId="0" borderId="61" xfId="0" applyNumberFormat="1" applyBorder="1" applyAlignment="1">
      <alignment horizontal="left" wrapText="1"/>
    </xf>
    <xf numFmtId="43" fontId="126" fillId="0" borderId="5" xfId="1" applyFont="1" applyFill="1" applyBorder="1" applyAlignment="1">
      <alignment horizontal="center" vertical="center"/>
    </xf>
    <xf numFmtId="43" fontId="161" fillId="0" borderId="0" xfId="1" applyFont="1" applyFill="1" applyAlignment="1">
      <alignment horizontal="center" vertical="center"/>
    </xf>
    <xf numFmtId="43" fontId="161" fillId="0" borderId="4" xfId="1" applyFont="1" applyFill="1" applyBorder="1" applyAlignment="1">
      <alignment horizontal="center" vertical="center"/>
    </xf>
    <xf numFmtId="43" fontId="161" fillId="0" borderId="5" xfId="1" applyFont="1" applyFill="1" applyBorder="1" applyAlignment="1">
      <alignment vertical="center"/>
    </xf>
    <xf numFmtId="164" fontId="161" fillId="0" borderId="5" xfId="1" applyNumberFormat="1" applyFont="1" applyFill="1" applyBorder="1" applyAlignment="1">
      <alignment horizontal="center" vertical="center"/>
    </xf>
    <xf numFmtId="43" fontId="161" fillId="0" borderId="6" xfId="1" applyFont="1" applyFill="1" applyBorder="1" applyAlignment="1">
      <alignment horizontal="center" vertical="center"/>
    </xf>
    <xf numFmtId="164" fontId="161" fillId="0" borderId="0" xfId="1" applyNumberFormat="1" applyFont="1" applyFill="1" applyAlignment="1">
      <alignment horizontal="center" vertical="center"/>
    </xf>
    <xf numFmtId="0" fontId="161" fillId="0" borderId="6" xfId="0" applyFont="1" applyBorder="1"/>
    <xf numFmtId="43" fontId="161" fillId="0" borderId="4" xfId="1" applyFont="1" applyFill="1" applyBorder="1" applyAlignment="1">
      <alignment horizontal="right" vertical="center"/>
    </xf>
    <xf numFmtId="43" fontId="161" fillId="0" borderId="5" xfId="1" applyFont="1" applyFill="1" applyBorder="1" applyAlignment="1">
      <alignment horizontal="left" vertical="center"/>
    </xf>
    <xf numFmtId="43" fontId="161" fillId="0" borderId="13" xfId="1" applyFont="1" applyFill="1" applyBorder="1" applyAlignment="1">
      <alignment vertical="center"/>
    </xf>
    <xf numFmtId="164" fontId="161" fillId="0" borderId="5" xfId="1" applyNumberFormat="1" applyFont="1" applyFill="1" applyBorder="1" applyAlignment="1">
      <alignment vertical="center"/>
    </xf>
    <xf numFmtId="43" fontId="161" fillId="0" borderId="6" xfId="1" applyFont="1" applyFill="1" applyBorder="1" applyAlignment="1">
      <alignment vertical="center"/>
    </xf>
    <xf numFmtId="43" fontId="161" fillId="0" borderId="0" xfId="1" applyFont="1" applyFill="1" applyBorder="1" applyAlignment="1">
      <alignment vertical="center"/>
    </xf>
    <xf numFmtId="43" fontId="161" fillId="0" borderId="10" xfId="1" applyFont="1" applyFill="1" applyBorder="1" applyAlignment="1">
      <alignment horizontal="center" vertical="center"/>
    </xf>
    <xf numFmtId="43" fontId="161" fillId="0" borderId="11" xfId="1" applyFont="1" applyFill="1" applyBorder="1" applyAlignment="1">
      <alignment vertical="center"/>
    </xf>
    <xf numFmtId="43" fontId="161" fillId="0" borderId="11" xfId="1" applyFont="1" applyFill="1" applyBorder="1" applyAlignment="1">
      <alignment horizontal="center" vertical="center"/>
    </xf>
    <xf numFmtId="43" fontId="161" fillId="0" borderId="12" xfId="1" applyFont="1" applyFill="1" applyBorder="1" applyAlignment="1">
      <alignment horizontal="center" vertical="center"/>
    </xf>
    <xf numFmtId="0" fontId="161" fillId="0" borderId="0" xfId="0" applyFont="1"/>
    <xf numFmtId="164" fontId="161" fillId="0" borderId="0" xfId="0" applyNumberFormat="1" applyFont="1"/>
    <xf numFmtId="164" fontId="161" fillId="0" borderId="0" xfId="1" applyNumberFormat="1" applyFont="1" applyFill="1"/>
    <xf numFmtId="0" fontId="161" fillId="0" borderId="4" xfId="0" applyFont="1" applyBorder="1" applyAlignment="1">
      <alignment horizontal="left" vertical="top" wrapText="1"/>
    </xf>
    <xf numFmtId="0" fontId="161" fillId="0" borderId="4" xfId="0" applyFont="1" applyBorder="1"/>
    <xf numFmtId="0" fontId="161" fillId="0" borderId="5" xfId="0" applyFont="1" applyBorder="1" applyAlignment="1">
      <alignment wrapText="1"/>
    </xf>
    <xf numFmtId="0" fontId="161" fillId="0" borderId="5" xfId="0" applyFont="1" applyBorder="1"/>
    <xf numFmtId="43" fontId="161" fillId="0" borderId="5" xfId="1" applyFont="1" applyFill="1" applyBorder="1"/>
    <xf numFmtId="43" fontId="161" fillId="0" borderId="4" xfId="1" applyFont="1" applyFill="1" applyBorder="1"/>
    <xf numFmtId="43" fontId="161" fillId="0" borderId="5" xfId="1" applyFont="1" applyFill="1" applyBorder="1" applyAlignment="1">
      <alignment wrapText="1"/>
    </xf>
    <xf numFmtId="43" fontId="161" fillId="0" borderId="6" xfId="1" applyFont="1" applyFill="1" applyBorder="1"/>
    <xf numFmtId="43" fontId="161" fillId="0" borderId="5" xfId="1" applyFont="1" applyFill="1" applyBorder="1" applyAlignment="1"/>
    <xf numFmtId="12" fontId="161" fillId="0" borderId="5" xfId="1" applyNumberFormat="1" applyFont="1" applyFill="1" applyBorder="1"/>
    <xf numFmtId="0" fontId="126" fillId="0" borderId="0" xfId="0" applyFont="1"/>
    <xf numFmtId="43" fontId="126" fillId="0" borderId="0" xfId="1" applyFont="1" applyFill="1" applyAlignment="1">
      <alignment horizontal="center" vertical="center"/>
    </xf>
    <xf numFmtId="12" fontId="4" fillId="0" borderId="0" xfId="1" applyNumberFormat="1" applyFont="1" applyFill="1" applyAlignment="1">
      <alignment horizontal="center" vertical="center"/>
    </xf>
    <xf numFmtId="43" fontId="161" fillId="0" borderId="5" xfId="1" applyFont="1" applyBorder="1"/>
    <xf numFmtId="12" fontId="161" fillId="0" borderId="5" xfId="1" applyNumberFormat="1" applyFont="1" applyBorder="1"/>
    <xf numFmtId="0" fontId="127" fillId="0" borderId="18" xfId="4" applyNumberFormat="1" applyFont="1" applyFill="1" applyBorder="1"/>
    <xf numFmtId="0" fontId="7" fillId="0" borderId="0" xfId="0" applyFont="1"/>
    <xf numFmtId="43" fontId="7" fillId="0" borderId="4" xfId="4" applyFont="1" applyFill="1" applyBorder="1" applyAlignment="1">
      <alignment horizontal="right" vertical="center"/>
    </xf>
    <xf numFmtId="43" fontId="7" fillId="0" borderId="5" xfId="4" applyFont="1" applyFill="1" applyBorder="1" applyAlignment="1">
      <alignment horizontal="right"/>
    </xf>
    <xf numFmtId="0" fontId="7" fillId="0" borderId="13" xfId="0" applyFont="1" applyBorder="1" applyAlignment="1">
      <alignment horizontal="left" vertical="center"/>
    </xf>
    <xf numFmtId="43" fontId="7" fillId="0" borderId="65" xfId="4" applyFont="1" applyFill="1" applyBorder="1"/>
    <xf numFmtId="43" fontId="7" fillId="0" borderId="5" xfId="4" applyFont="1" applyFill="1" applyBorder="1"/>
    <xf numFmtId="43" fontId="7" fillId="0" borderId="5" xfId="4" applyFont="1" applyFill="1" applyBorder="1" applyAlignment="1">
      <alignment vertical="center"/>
    </xf>
    <xf numFmtId="43" fontId="7" fillId="0" borderId="6" xfId="4" applyFont="1" applyFill="1" applyBorder="1"/>
    <xf numFmtId="43" fontId="7" fillId="0" borderId="0" xfId="4" applyFont="1"/>
    <xf numFmtId="43" fontId="7" fillId="0" borderId="0" xfId="0" applyNumberFormat="1" applyFont="1"/>
    <xf numFmtId="2" fontId="7" fillId="0" borderId="0" xfId="0" applyNumberFormat="1" applyFont="1"/>
    <xf numFmtId="164" fontId="7" fillId="0" borderId="5" xfId="4" applyNumberFormat="1" applyFont="1" applyFill="1" applyBorder="1"/>
    <xf numFmtId="0" fontId="7" fillId="0" borderId="5" xfId="4" applyNumberFormat="1" applyFont="1" applyFill="1" applyBorder="1"/>
    <xf numFmtId="13" fontId="7" fillId="0" borderId="0" xfId="4" applyNumberFormat="1" applyFont="1"/>
    <xf numFmtId="0" fontId="123" fillId="42" borderId="0" xfId="0" applyFont="1" applyFill="1" applyAlignment="1">
      <alignment horizontal="left" vertical="center"/>
    </xf>
    <xf numFmtId="43" fontId="123" fillId="42" borderId="0" xfId="0" quotePrefix="1" applyNumberFormat="1" applyFont="1" applyFill="1" applyAlignment="1">
      <alignment vertical="center"/>
    </xf>
    <xf numFmtId="0" fontId="123" fillId="42" borderId="0" xfId="0" applyFont="1" applyFill="1" applyAlignment="1">
      <alignment vertical="center"/>
    </xf>
    <xf numFmtId="2" fontId="123" fillId="42" borderId="0" xfId="0" applyNumberFormat="1" applyFont="1" applyFill="1" applyAlignment="1">
      <alignment vertical="center"/>
    </xf>
    <xf numFmtId="0" fontId="7" fillId="42" borderId="0" xfId="0" applyFont="1" applyFill="1" applyAlignment="1">
      <alignment horizontal="left" vertical="center"/>
    </xf>
    <xf numFmtId="43" fontId="7" fillId="42" borderId="0" xfId="0" quotePrefix="1" applyNumberFormat="1" applyFont="1" applyFill="1" applyAlignment="1">
      <alignment vertical="center"/>
    </xf>
    <xf numFmtId="0" fontId="7" fillId="42" borderId="0" xfId="0" applyFont="1" applyFill="1" applyAlignment="1">
      <alignment vertical="center"/>
    </xf>
    <xf numFmtId="2" fontId="7" fillId="42" borderId="0" xfId="0" applyNumberFormat="1" applyFont="1" applyFill="1" applyAlignment="1">
      <alignment vertical="center"/>
    </xf>
    <xf numFmtId="43" fontId="127" fillId="42" borderId="0" xfId="0" quotePrefix="1" applyNumberFormat="1" applyFont="1" applyFill="1" applyAlignment="1">
      <alignment vertical="center"/>
    </xf>
    <xf numFmtId="174" fontId="127" fillId="42" borderId="0" xfId="0" applyNumberFormat="1" applyFont="1" applyFill="1" applyAlignment="1">
      <alignment vertical="center"/>
    </xf>
    <xf numFmtId="43" fontId="161" fillId="0" borderId="4" xfId="1" applyFont="1" applyFill="1" applyBorder="1" applyAlignment="1">
      <alignment vertical="center"/>
    </xf>
    <xf numFmtId="43" fontId="161" fillId="0" borderId="65" xfId="1" applyFont="1" applyFill="1" applyBorder="1" applyAlignment="1">
      <alignment vertical="center"/>
    </xf>
    <xf numFmtId="43" fontId="3" fillId="0" borderId="5" xfId="1" applyFont="1" applyFill="1" applyBorder="1" applyAlignment="1">
      <alignment horizontal="center" vertical="center"/>
    </xf>
    <xf numFmtId="43" fontId="161" fillId="0" borderId="5" xfId="1" applyFont="1" applyFill="1" applyBorder="1" applyAlignment="1">
      <alignment horizontal="center" vertical="center"/>
    </xf>
    <xf numFmtId="43" fontId="161" fillId="0" borderId="5" xfId="1" applyFont="1" applyFill="1" applyBorder="1" applyAlignment="1">
      <alignment horizontal="center"/>
    </xf>
    <xf numFmtId="43" fontId="3" fillId="0" borderId="10" xfId="1" applyFont="1" applyFill="1" applyBorder="1" applyAlignment="1">
      <alignment vertical="center"/>
    </xf>
    <xf numFmtId="43" fontId="3" fillId="0" borderId="11" xfId="1" quotePrefix="1" applyFont="1" applyBorder="1" applyAlignment="1">
      <alignment horizontal="center" vertical="center"/>
    </xf>
    <xf numFmtId="14" fontId="3" fillId="0" borderId="11" xfId="1" applyNumberFormat="1" applyFont="1" applyBorder="1" applyAlignment="1">
      <alignment horizontal="center" vertical="center"/>
    </xf>
    <xf numFmtId="43" fontId="3" fillId="0" borderId="11" xfId="1" applyFont="1" applyBorder="1" applyAlignment="1">
      <alignment wrapText="1"/>
    </xf>
    <xf numFmtId="43" fontId="3" fillId="0" borderId="11" xfId="1" applyFont="1" applyFill="1" applyBorder="1" applyAlignment="1">
      <alignment vertical="center"/>
    </xf>
    <xf numFmtId="43" fontId="4" fillId="0" borderId="11" xfId="1" applyFont="1" applyFill="1" applyBorder="1" applyAlignment="1">
      <alignment vertical="center"/>
    </xf>
    <xf numFmtId="43" fontId="3" fillId="0" borderId="11" xfId="1" applyFont="1" applyFill="1" applyBorder="1" applyAlignment="1">
      <alignment horizontal="left" vertical="center"/>
    </xf>
    <xf numFmtId="43" fontId="3" fillId="0" borderId="12" xfId="1" applyFont="1" applyFill="1" applyBorder="1"/>
    <xf numFmtId="43" fontId="3" fillId="0" borderId="4" xfId="1" applyFont="1" applyFill="1" applyBorder="1" applyAlignment="1">
      <alignment horizontal="left" vertical="center"/>
    </xf>
    <xf numFmtId="0" fontId="125" fillId="0" borderId="0" xfId="0" applyFont="1"/>
    <xf numFmtId="43" fontId="9" fillId="0" borderId="5" xfId="1" applyFont="1" applyFill="1" applyBorder="1" applyAlignment="1">
      <alignment horizontal="center" vertical="center"/>
    </xf>
    <xf numFmtId="14" fontId="8" fillId="8" borderId="5" xfId="1" applyNumberFormat="1" applyFont="1" applyFill="1" applyBorder="1" applyAlignment="1">
      <alignment horizontal="center" vertical="center"/>
    </xf>
    <xf numFmtId="43" fontId="8" fillId="8" borderId="6" xfId="1" applyFont="1" applyFill="1" applyBorder="1" applyAlignment="1">
      <alignment horizontal="center" vertical="center"/>
    </xf>
    <xf numFmtId="43" fontId="3" fillId="0" borderId="0" xfId="1" applyFont="1" applyAlignment="1">
      <alignment horizontal="center" vertical="center"/>
    </xf>
    <xf numFmtId="236" fontId="3" fillId="0" borderId="0" xfId="1" applyNumberFormat="1" applyFont="1" applyAlignment="1">
      <alignment horizontal="center" vertical="center"/>
    </xf>
    <xf numFmtId="14" fontId="3" fillId="0" borderId="0" xfId="1" applyNumberFormat="1" applyFont="1" applyAlignment="1">
      <alignment horizontal="center" vertical="center"/>
    </xf>
    <xf numFmtId="43" fontId="9" fillId="0" borderId="4" xfId="1" applyFont="1" applyBorder="1" applyAlignment="1">
      <alignment horizontal="center" vertical="center"/>
    </xf>
    <xf numFmtId="236" fontId="9" fillId="0" borderId="5" xfId="1" applyNumberFormat="1" applyFont="1" applyBorder="1" applyAlignment="1">
      <alignment horizontal="center" vertical="center"/>
    </xf>
    <xf numFmtId="14" fontId="9" fillId="0" borderId="5" xfId="1" applyNumberFormat="1" applyFont="1" applyBorder="1" applyAlignment="1">
      <alignment horizontal="center" vertical="center"/>
    </xf>
    <xf numFmtId="43" fontId="9" fillId="0" borderId="5" xfId="1" applyFont="1" applyBorder="1" applyAlignment="1">
      <alignment horizontal="center" vertical="center"/>
    </xf>
    <xf numFmtId="43" fontId="9" fillId="0" borderId="6" xfId="1" applyFont="1" applyFill="1" applyBorder="1" applyAlignment="1">
      <alignment horizontal="center" vertical="center"/>
    </xf>
    <xf numFmtId="43" fontId="4" fillId="0" borderId="0" xfId="1" applyFont="1" applyAlignment="1">
      <alignment horizontal="center" vertical="center"/>
    </xf>
    <xf numFmtId="43" fontId="3" fillId="0" borderId="4" xfId="1" applyFont="1" applyBorder="1" applyAlignment="1">
      <alignment horizontal="center" vertical="center"/>
    </xf>
    <xf numFmtId="236" fontId="3" fillId="0" borderId="5" xfId="1" applyNumberFormat="1" applyFont="1" applyBorder="1" applyAlignment="1">
      <alignment horizontal="center" vertical="center"/>
    </xf>
    <xf numFmtId="43" fontId="3" fillId="0" borderId="5" xfId="1" applyFont="1" applyBorder="1" applyAlignment="1">
      <alignment horizontal="center" vertical="center"/>
    </xf>
    <xf numFmtId="43" fontId="3" fillId="0" borderId="6" xfId="1" applyFont="1" applyBorder="1" applyAlignment="1">
      <alignment horizontal="center" vertical="center"/>
    </xf>
    <xf numFmtId="43" fontId="3" fillId="0" borderId="19" xfId="1" applyFont="1" applyBorder="1" applyAlignment="1">
      <alignment horizontal="center" vertical="center"/>
    </xf>
    <xf numFmtId="43" fontId="3" fillId="0" borderId="52" xfId="1" applyFont="1" applyBorder="1" applyAlignment="1">
      <alignment horizontal="center" vertical="center"/>
    </xf>
    <xf numFmtId="43" fontId="3" fillId="0" borderId="48" xfId="1" applyFont="1" applyBorder="1" applyAlignment="1">
      <alignment horizontal="center" vertical="center"/>
    </xf>
    <xf numFmtId="43" fontId="3" fillId="0" borderId="49" xfId="1" applyFont="1" applyBorder="1" applyAlignment="1">
      <alignment horizontal="center" vertical="center"/>
    </xf>
    <xf numFmtId="14" fontId="3" fillId="7" borderId="5" xfId="1" applyNumberFormat="1" applyFont="1" applyFill="1" applyBorder="1" applyAlignment="1">
      <alignment horizontal="center" vertical="center"/>
    </xf>
    <xf numFmtId="43" fontId="3" fillId="0" borderId="13" xfId="1" applyFont="1" applyBorder="1" applyAlignment="1">
      <alignment horizontal="center" vertical="center"/>
    </xf>
    <xf numFmtId="43" fontId="3" fillId="0" borderId="1" xfId="1" applyFont="1" applyBorder="1" applyAlignment="1">
      <alignment horizontal="center" vertical="center"/>
    </xf>
    <xf numFmtId="43" fontId="3" fillId="0" borderId="3" xfId="1" applyFont="1" applyBorder="1" applyAlignment="1">
      <alignment horizontal="center" vertical="center"/>
    </xf>
    <xf numFmtId="43" fontId="3" fillId="0" borderId="7" xfId="1" applyFont="1" applyBorder="1" applyAlignment="1">
      <alignment horizontal="center" vertical="center"/>
    </xf>
    <xf numFmtId="236" fontId="3" fillId="0" borderId="8" xfId="1" applyNumberFormat="1" applyFont="1" applyBorder="1" applyAlignment="1">
      <alignment horizontal="center" vertical="center"/>
    </xf>
    <xf numFmtId="14" fontId="3" fillId="0" borderId="8" xfId="1" applyNumberFormat="1" applyFont="1" applyBorder="1" applyAlignment="1">
      <alignment horizontal="center" vertical="center"/>
    </xf>
    <xf numFmtId="43" fontId="3" fillId="0" borderId="46" xfId="1" applyFont="1" applyBorder="1" applyAlignment="1">
      <alignment horizontal="center" vertical="center"/>
    </xf>
    <xf numFmtId="43" fontId="4" fillId="39" borderId="7" xfId="1" applyFont="1" applyFill="1" applyBorder="1" applyAlignment="1">
      <alignment horizontal="center" vertical="center"/>
    </xf>
    <xf numFmtId="43" fontId="4" fillId="39" borderId="9" xfId="1" applyFont="1" applyFill="1" applyBorder="1" applyAlignment="1">
      <alignment horizontal="center" vertical="center"/>
    </xf>
    <xf numFmtId="43" fontId="3" fillId="0" borderId="20" xfId="1" applyFont="1" applyBorder="1" applyAlignment="1">
      <alignment horizontal="center" vertical="center"/>
    </xf>
    <xf numFmtId="236" fontId="3" fillId="0" borderId="2" xfId="1" applyNumberFormat="1" applyFont="1" applyBorder="1" applyAlignment="1">
      <alignment horizontal="center" vertical="center"/>
    </xf>
    <xf numFmtId="14" fontId="3" fillId="0" borderId="2" xfId="1" applyNumberFormat="1" applyFont="1" applyBorder="1" applyAlignment="1">
      <alignment horizontal="center" vertical="center"/>
    </xf>
    <xf numFmtId="43" fontId="3" fillId="0" borderId="2" xfId="1" applyFont="1" applyBorder="1" applyAlignment="1">
      <alignment horizontal="center" vertical="center"/>
    </xf>
    <xf numFmtId="43" fontId="3" fillId="0" borderId="11" xfId="1" applyFont="1" applyBorder="1" applyAlignment="1">
      <alignment horizontal="center" vertical="center"/>
    </xf>
    <xf numFmtId="43" fontId="4" fillId="0" borderId="1" xfId="1" applyFont="1" applyBorder="1" applyAlignment="1">
      <alignment horizontal="center" vertical="center"/>
    </xf>
    <xf numFmtId="43" fontId="4" fillId="0" borderId="3" xfId="1" applyFont="1" applyBorder="1" applyAlignment="1">
      <alignment horizontal="center" vertical="center"/>
    </xf>
    <xf numFmtId="236" fontId="3" fillId="0" borderId="5" xfId="1" quotePrefix="1" applyNumberFormat="1" applyFont="1" applyBorder="1" applyAlignment="1">
      <alignment horizontal="center" vertical="center"/>
    </xf>
    <xf numFmtId="43" fontId="3" fillId="0" borderId="8" xfId="1" applyFont="1" applyBorder="1" applyAlignment="1">
      <alignment horizontal="center" vertical="center"/>
    </xf>
    <xf numFmtId="43" fontId="4" fillId="0" borderId="47" xfId="1" applyFont="1" applyFill="1" applyBorder="1" applyAlignment="1">
      <alignment horizontal="center" vertical="center"/>
    </xf>
    <xf numFmtId="43" fontId="3" fillId="0" borderId="9" xfId="1" applyFont="1" applyBorder="1" applyAlignment="1">
      <alignment horizontal="center" vertical="center"/>
    </xf>
    <xf numFmtId="43" fontId="3" fillId="0" borderId="47" xfId="1" applyFont="1" applyBorder="1" applyAlignment="1">
      <alignment horizontal="center" vertical="center"/>
    </xf>
    <xf numFmtId="43" fontId="4" fillId="39" borderId="16" xfId="1" applyFont="1" applyFill="1" applyBorder="1" applyAlignment="1">
      <alignment horizontal="center" vertical="center"/>
    </xf>
    <xf numFmtId="43" fontId="4" fillId="39" borderId="17" xfId="1" applyFont="1" applyFill="1" applyBorder="1" applyAlignment="1">
      <alignment horizontal="center" vertical="center"/>
    </xf>
    <xf numFmtId="43" fontId="3" fillId="0" borderId="10" xfId="1" applyFont="1" applyFill="1" applyBorder="1" applyAlignment="1">
      <alignment horizontal="center" vertical="center"/>
    </xf>
    <xf numFmtId="236" fontId="3" fillId="0" borderId="11" xfId="1" applyNumberFormat="1" applyFont="1" applyBorder="1" applyAlignment="1">
      <alignment horizontal="center" vertical="center"/>
    </xf>
    <xf numFmtId="43" fontId="3" fillId="0" borderId="98" xfId="1" applyFont="1" applyBorder="1" applyAlignment="1">
      <alignment horizontal="center" vertical="center"/>
    </xf>
    <xf numFmtId="43" fontId="3" fillId="0" borderId="18" xfId="1" applyFont="1" applyBorder="1" applyAlignment="1">
      <alignment horizontal="center" vertical="center"/>
    </xf>
    <xf numFmtId="236" fontId="3" fillId="0" borderId="18" xfId="1" applyNumberFormat="1" applyFont="1" applyBorder="1" applyAlignment="1">
      <alignment horizontal="center" vertical="center"/>
    </xf>
    <xf numFmtId="14" fontId="3" fillId="0" borderId="18" xfId="1" applyNumberFormat="1" applyFont="1" applyBorder="1" applyAlignment="1">
      <alignment horizontal="center" vertical="center"/>
    </xf>
    <xf numFmtId="0" fontId="4" fillId="0" borderId="5" xfId="1" applyNumberFormat="1" applyFont="1" applyFill="1" applyBorder="1" applyAlignment="1">
      <alignment horizontal="center" vertical="center" wrapText="1"/>
    </xf>
    <xf numFmtId="43" fontId="8" fillId="40" borderId="4" xfId="1" applyFont="1" applyFill="1" applyBorder="1" applyAlignment="1">
      <alignment horizontal="center" vertical="center"/>
    </xf>
    <xf numFmtId="164" fontId="8" fillId="40" borderId="5" xfId="1" applyNumberFormat="1" applyFont="1" applyFill="1" applyBorder="1" applyAlignment="1">
      <alignment horizontal="center" vertical="center" wrapText="1"/>
    </xf>
    <xf numFmtId="43" fontId="8" fillId="40" borderId="6" xfId="1" applyFont="1" applyFill="1" applyBorder="1" applyAlignment="1">
      <alignment horizontal="center" vertical="center" wrapText="1"/>
    </xf>
    <xf numFmtId="0" fontId="3" fillId="0" borderId="0" xfId="0" applyFont="1" applyAlignment="1">
      <alignment horizontal="center" vertical="center"/>
    </xf>
    <xf numFmtId="0" fontId="4" fillId="0" borderId="2" xfId="0" applyFont="1" applyBorder="1" applyAlignment="1">
      <alignment horizontal="center" vertical="center"/>
    </xf>
    <xf numFmtId="43" fontId="4" fillId="0" borderId="2" xfId="4" applyFont="1" applyBorder="1" applyAlignment="1">
      <alignment horizontal="center" vertical="center"/>
    </xf>
    <xf numFmtId="43" fontId="4" fillId="0" borderId="3" xfId="4" applyFont="1" applyBorder="1" applyAlignment="1">
      <alignment horizontal="center" vertical="center"/>
    </xf>
    <xf numFmtId="0" fontId="4" fillId="0" borderId="5" xfId="0" applyFont="1" applyBorder="1" applyAlignment="1">
      <alignment horizontal="center" vertical="center"/>
    </xf>
    <xf numFmtId="43" fontId="4" fillId="0" borderId="5" xfId="4" applyFont="1" applyBorder="1" applyAlignment="1">
      <alignment horizontal="center" vertical="center"/>
    </xf>
    <xf numFmtId="43" fontId="4" fillId="0" borderId="6" xfId="4" applyFont="1" applyBorder="1" applyAlignment="1">
      <alignment horizontal="center" vertical="center"/>
    </xf>
    <xf numFmtId="43" fontId="4" fillId="0" borderId="4" xfId="1" applyFont="1" applyBorder="1" applyAlignment="1">
      <alignment horizontal="center" vertical="center"/>
    </xf>
    <xf numFmtId="43" fontId="4" fillId="0" borderId="5" xfId="1" applyFont="1" applyBorder="1" applyAlignment="1">
      <alignment horizontal="center" vertical="center"/>
    </xf>
    <xf numFmtId="43" fontId="4" fillId="0" borderId="6" xfId="1" applyFont="1" applyBorder="1" applyAlignment="1">
      <alignment horizontal="center" vertical="center"/>
    </xf>
    <xf numFmtId="43" fontId="4" fillId="4" borderId="4" xfId="1" applyFont="1" applyFill="1" applyBorder="1" applyAlignment="1">
      <alignment horizontal="center" vertical="center"/>
    </xf>
    <xf numFmtId="43" fontId="4" fillId="4" borderId="5" xfId="1" applyFont="1" applyFill="1" applyBorder="1" applyAlignment="1">
      <alignment horizontal="center" vertical="center"/>
    </xf>
    <xf numFmtId="43" fontId="4" fillId="4" borderId="6" xfId="1" applyFont="1" applyFill="1" applyBorder="1" applyAlignment="1">
      <alignment horizontal="center" vertical="center"/>
    </xf>
    <xf numFmtId="43" fontId="4" fillId="0" borderId="7" xfId="1" applyFont="1" applyBorder="1" applyAlignment="1">
      <alignment horizontal="center" vertical="center"/>
    </xf>
    <xf numFmtId="43" fontId="4" fillId="0" borderId="8" xfId="1" applyFont="1" applyBorder="1" applyAlignment="1">
      <alignment horizontal="center" vertical="center"/>
    </xf>
    <xf numFmtId="43" fontId="4" fillId="0" borderId="9" xfId="1" applyFont="1" applyBorder="1" applyAlignment="1">
      <alignment horizontal="center" vertical="center"/>
    </xf>
    <xf numFmtId="43" fontId="3" fillId="0" borderId="0" xfId="1" applyFont="1" applyFill="1" applyBorder="1" applyAlignment="1">
      <alignment vertical="center"/>
    </xf>
    <xf numFmtId="43" fontId="3" fillId="0" borderId="0" xfId="1" quotePrefix="1" applyFont="1" applyBorder="1" applyAlignment="1">
      <alignment horizontal="center" vertical="center"/>
    </xf>
    <xf numFmtId="14" fontId="3" fillId="0" borderId="0" xfId="1" applyNumberFormat="1" applyFont="1" applyBorder="1" applyAlignment="1">
      <alignment vertical="center"/>
    </xf>
    <xf numFmtId="43" fontId="3" fillId="0" borderId="0" xfId="1" applyFont="1" applyBorder="1" applyAlignment="1">
      <alignment wrapText="1"/>
    </xf>
    <xf numFmtId="43" fontId="3" fillId="0" borderId="0" xfId="1" applyFont="1" applyBorder="1"/>
    <xf numFmtId="43" fontId="4" fillId="2" borderId="0" xfId="1" applyFont="1" applyFill="1" applyBorder="1" applyAlignment="1">
      <alignment vertical="center"/>
    </xf>
    <xf numFmtId="43" fontId="3" fillId="0" borderId="0" xfId="1" applyFont="1" applyFill="1" applyBorder="1" applyAlignment="1">
      <alignment horizontal="left" vertical="center"/>
    </xf>
    <xf numFmtId="14" fontId="3" fillId="0" borderId="11" xfId="1" applyNumberFormat="1" applyFont="1" applyBorder="1" applyAlignment="1">
      <alignment vertical="center"/>
    </xf>
    <xf numFmtId="43" fontId="3" fillId="0" borderId="25" xfId="1" applyFont="1" applyFill="1" applyBorder="1" applyAlignment="1">
      <alignment vertical="center"/>
    </xf>
    <xf numFmtId="43" fontId="3" fillId="0" borderId="26" xfId="1" applyFont="1" applyFill="1" applyBorder="1"/>
    <xf numFmtId="43" fontId="3" fillId="0" borderId="67" xfId="1" applyFont="1" applyBorder="1"/>
    <xf numFmtId="43" fontId="3" fillId="0" borderId="27" xfId="1" applyFont="1" applyBorder="1" applyAlignment="1">
      <alignment vertical="center"/>
    </xf>
    <xf numFmtId="14" fontId="3" fillId="0" borderId="27" xfId="1" applyNumberFormat="1" applyFont="1" applyBorder="1" applyAlignment="1">
      <alignment vertical="center"/>
    </xf>
    <xf numFmtId="43" fontId="3" fillId="0" borderId="27" xfId="1" applyFont="1" applyFill="1" applyBorder="1" applyAlignment="1">
      <alignment vertical="center"/>
    </xf>
    <xf numFmtId="43" fontId="3" fillId="0" borderId="27" xfId="1" applyFont="1" applyFill="1" applyBorder="1"/>
    <xf numFmtId="43" fontId="3" fillId="0" borderId="27" xfId="1" applyFont="1" applyFill="1" applyBorder="1" applyAlignment="1">
      <alignment horizontal="left" vertical="center"/>
    </xf>
    <xf numFmtId="43" fontId="3" fillId="0" borderId="68" xfId="1" applyFont="1" applyFill="1" applyBorder="1"/>
    <xf numFmtId="164" fontId="4" fillId="0" borderId="27" xfId="1" applyNumberFormat="1" applyFont="1" applyFill="1" applyBorder="1" applyAlignment="1">
      <alignment horizontal="center" vertical="center"/>
    </xf>
    <xf numFmtId="164" fontId="4" fillId="2" borderId="27" xfId="1" applyNumberFormat="1" applyFont="1" applyFill="1" applyBorder="1" applyAlignment="1">
      <alignment horizontal="center" vertical="center"/>
    </xf>
    <xf numFmtId="164" fontId="3" fillId="0" borderId="0" xfId="1" applyNumberFormat="1" applyFont="1" applyAlignment="1">
      <alignment horizontal="center" vertical="center"/>
    </xf>
    <xf numFmtId="0" fontId="3" fillId="0" borderId="4" xfId="0" applyFont="1" applyBorder="1" applyAlignment="1">
      <alignment horizontal="center" vertical="center"/>
    </xf>
    <xf numFmtId="164" fontId="3" fillId="0" borderId="5" xfId="1" applyNumberFormat="1"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40" borderId="4" xfId="0" applyFont="1" applyFill="1" applyBorder="1" applyAlignment="1">
      <alignment horizontal="center" vertical="center"/>
    </xf>
    <xf numFmtId="164" fontId="4" fillId="40" borderId="5" xfId="1" applyNumberFormat="1" applyFont="1" applyFill="1" applyBorder="1" applyAlignment="1">
      <alignment horizontal="center" vertical="center"/>
    </xf>
    <xf numFmtId="237" fontId="3" fillId="40" borderId="6" xfId="0" applyNumberFormat="1" applyFont="1" applyFill="1" applyBorder="1" applyAlignment="1">
      <alignment horizontal="center" vertical="center"/>
    </xf>
    <xf numFmtId="0" fontId="4" fillId="40" borderId="7" xfId="0" applyFont="1" applyFill="1" applyBorder="1" applyAlignment="1">
      <alignment horizontal="center" vertical="center"/>
    </xf>
    <xf numFmtId="164" fontId="4" fillId="40" borderId="8" xfId="1" applyNumberFormat="1" applyFont="1" applyFill="1" applyBorder="1" applyAlignment="1">
      <alignment horizontal="center" vertical="center"/>
    </xf>
    <xf numFmtId="0" fontId="4" fillId="40" borderId="9" xfId="0" applyFont="1" applyFill="1" applyBorder="1" applyAlignment="1">
      <alignment horizontal="center" vertical="center"/>
    </xf>
    <xf numFmtId="43" fontId="3" fillId="0" borderId="0" xfId="0" applyNumberFormat="1" applyFont="1" applyAlignment="1">
      <alignment horizontal="center" vertical="center"/>
    </xf>
    <xf numFmtId="238" fontId="3" fillId="0" borderId="0" xfId="0" applyNumberFormat="1" applyFont="1" applyAlignment="1">
      <alignment horizontal="center" vertical="center"/>
    </xf>
    <xf numFmtId="237" fontId="3" fillId="0" borderId="0" xfId="0" applyNumberFormat="1" applyFont="1" applyAlignment="1">
      <alignment horizontal="center" vertical="center"/>
    </xf>
    <xf numFmtId="0" fontId="3" fillId="0" borderId="88" xfId="0" applyFont="1" applyBorder="1" applyAlignment="1">
      <alignment horizontal="center" vertical="center"/>
    </xf>
    <xf numFmtId="0" fontId="3" fillId="0" borderId="28" xfId="0" applyFont="1" applyBorder="1" applyAlignment="1">
      <alignment horizontal="center" vertical="center"/>
    </xf>
    <xf numFmtId="0" fontId="3" fillId="0" borderId="89"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164" fontId="3" fillId="0" borderId="0" xfId="1" applyNumberFormat="1" applyFont="1" applyBorder="1" applyAlignment="1">
      <alignment horizontal="center" vertical="center"/>
    </xf>
    <xf numFmtId="0" fontId="3" fillId="0" borderId="67" xfId="0" applyFont="1" applyBorder="1" applyAlignment="1">
      <alignment horizontal="center" vertical="center"/>
    </xf>
    <xf numFmtId="0" fontId="3" fillId="0" borderId="27" xfId="0" applyFont="1" applyBorder="1" applyAlignment="1">
      <alignment horizontal="center" vertical="center"/>
    </xf>
    <xf numFmtId="164" fontId="3" fillId="0" borderId="27" xfId="1" applyNumberFormat="1" applyFont="1" applyBorder="1" applyAlignment="1">
      <alignment horizontal="center" vertical="center"/>
    </xf>
    <xf numFmtId="0" fontId="3" fillId="0" borderId="68" xfId="0" applyFont="1" applyBorder="1" applyAlignment="1">
      <alignment horizontal="center" vertical="center"/>
    </xf>
    <xf numFmtId="164" fontId="4" fillId="0" borderId="5" xfId="1" applyNumberFormat="1" applyFont="1" applyBorder="1" applyAlignment="1">
      <alignment horizontal="center" vertical="center"/>
    </xf>
    <xf numFmtId="0" fontId="4" fillId="0" borderId="4" xfId="0" applyFont="1" applyBorder="1" applyAlignment="1">
      <alignment horizontal="center" vertical="center"/>
    </xf>
    <xf numFmtId="43" fontId="3" fillId="0" borderId="27" xfId="1" applyFont="1" applyBorder="1" applyAlignment="1">
      <alignment horizontal="center" vertical="center"/>
    </xf>
    <xf numFmtId="43" fontId="4" fillId="0" borderId="102" xfId="1" applyFont="1" applyBorder="1" applyAlignment="1">
      <alignment horizontal="center" vertical="center"/>
    </xf>
    <xf numFmtId="43" fontId="4" fillId="0" borderId="19" xfId="1" applyFont="1" applyBorder="1" applyAlignment="1">
      <alignment horizontal="center" vertical="center"/>
    </xf>
    <xf numFmtId="0" fontId="152" fillId="0" borderId="5" xfId="0" applyFont="1" applyBorder="1" applyAlignment="1">
      <alignment horizontal="left"/>
    </xf>
    <xf numFmtId="0" fontId="153" fillId="0" borderId="5" xfId="0" applyFont="1" applyBorder="1" applyAlignment="1">
      <alignment horizontal="left"/>
    </xf>
    <xf numFmtId="0" fontId="154" fillId="0" borderId="5" xfId="0" applyFont="1" applyBorder="1" applyAlignment="1">
      <alignment vertical="center"/>
    </xf>
    <xf numFmtId="0" fontId="155" fillId="0" borderId="5" xfId="0" applyFont="1" applyBorder="1" applyAlignment="1">
      <alignment horizontal="center" vertical="center"/>
    </xf>
    <xf numFmtId="0" fontId="154" fillId="0" borderId="5" xfId="0" applyFont="1" applyBorder="1" applyAlignment="1">
      <alignment horizontal="center" vertical="center"/>
    </xf>
    <xf numFmtId="0" fontId="154" fillId="0" borderId="5" xfId="0" applyFont="1" applyBorder="1" applyAlignment="1">
      <alignment horizontal="left"/>
    </xf>
    <xf numFmtId="0" fontId="151" fillId="0" borderId="5" xfId="0" applyFont="1" applyBorder="1" applyAlignment="1">
      <alignment horizontal="center" vertical="center"/>
    </xf>
    <xf numFmtId="0" fontId="150" fillId="46" borderId="5" xfId="0" applyFont="1" applyFill="1" applyBorder="1" applyAlignment="1">
      <alignment horizontal="center" vertical="center"/>
    </xf>
    <xf numFmtId="240" fontId="151" fillId="0" borderId="5" xfId="1293" applyFont="1" applyBorder="1" applyAlignment="1">
      <alignment horizontal="center" vertical="center"/>
    </xf>
    <xf numFmtId="0" fontId="150" fillId="47" borderId="5" xfId="0" applyFont="1" applyFill="1" applyBorder="1" applyAlignment="1">
      <alignment horizontal="center" vertical="center" wrapText="1"/>
    </xf>
    <xf numFmtId="0" fontId="149" fillId="47" borderId="5" xfId="0" applyFont="1" applyFill="1" applyBorder="1" applyAlignment="1">
      <alignment horizontal="center" vertical="center" wrapText="1"/>
    </xf>
    <xf numFmtId="0" fontId="157" fillId="47" borderId="5" xfId="0" applyFont="1" applyFill="1" applyBorder="1" applyAlignment="1">
      <alignment horizontal="center" vertical="center" wrapText="1"/>
    </xf>
    <xf numFmtId="0" fontId="157" fillId="47" borderId="5" xfId="0" applyFont="1" applyFill="1" applyBorder="1" applyAlignment="1">
      <alignment horizontal="center" vertical="center"/>
    </xf>
    <xf numFmtId="241" fontId="151" fillId="0" borderId="5" xfId="1293" applyNumberFormat="1" applyFont="1" applyBorder="1" applyAlignment="1">
      <alignment horizontal="center" vertical="center"/>
    </xf>
    <xf numFmtId="0" fontId="149" fillId="0" borderId="5" xfId="0" applyFont="1" applyBorder="1" applyAlignment="1">
      <alignment horizontal="center" vertical="center" wrapText="1"/>
    </xf>
    <xf numFmtId="0" fontId="157" fillId="0" borderId="5" xfId="0" applyFont="1" applyBorder="1" applyAlignment="1">
      <alignment horizontal="center" vertical="center" wrapText="1"/>
    </xf>
    <xf numFmtId="43" fontId="157" fillId="0" borderId="5" xfId="1" applyFont="1" applyBorder="1" applyAlignment="1">
      <alignment horizontal="center" vertical="center" wrapText="1"/>
    </xf>
    <xf numFmtId="242" fontId="157" fillId="0" borderId="5" xfId="1293" applyNumberFormat="1" applyFont="1" applyFill="1" applyBorder="1" applyAlignment="1">
      <alignment horizontal="center" vertical="center"/>
    </xf>
    <xf numFmtId="165" fontId="157" fillId="0" borderId="5" xfId="1293" applyNumberFormat="1" applyFont="1" applyFill="1" applyBorder="1" applyAlignment="1">
      <alignment horizontal="center" vertical="center"/>
    </xf>
    <xf numFmtId="43" fontId="151" fillId="0" borderId="5" xfId="0" applyNumberFormat="1" applyFont="1" applyBorder="1" applyAlignment="1">
      <alignment horizontal="center" vertical="center"/>
    </xf>
    <xf numFmtId="4" fontId="157" fillId="0" borderId="5" xfId="0" applyNumberFormat="1" applyFont="1" applyBorder="1" applyAlignment="1">
      <alignment horizontal="center" vertical="center" wrapText="1"/>
    </xf>
    <xf numFmtId="0" fontId="9" fillId="0" borderId="5" xfId="0" applyFont="1" applyBorder="1" applyAlignment="1">
      <alignment horizontal="center" vertical="center"/>
    </xf>
    <xf numFmtId="43" fontId="9" fillId="0" borderId="5" xfId="0" applyNumberFormat="1" applyFont="1" applyBorder="1" applyAlignment="1">
      <alignment horizontal="center" vertical="center"/>
    </xf>
    <xf numFmtId="0" fontId="151" fillId="0" borderId="65" xfId="0" applyFont="1" applyBorder="1" applyAlignment="1">
      <alignment horizontal="center" vertical="center"/>
    </xf>
    <xf numFmtId="43" fontId="151" fillId="0" borderId="65" xfId="0" applyNumberFormat="1" applyFont="1" applyBorder="1" applyAlignment="1">
      <alignment horizontal="center" vertical="center"/>
    </xf>
    <xf numFmtId="0" fontId="152" fillId="0" borderId="11" xfId="0" applyFont="1" applyBorder="1" applyAlignment="1">
      <alignment horizontal="left"/>
    </xf>
    <xf numFmtId="0" fontId="153" fillId="0" borderId="11" xfId="0" applyFont="1" applyBorder="1" applyAlignment="1">
      <alignment horizontal="left"/>
    </xf>
    <xf numFmtId="0" fontId="154" fillId="0" borderId="11" xfId="0" applyFont="1" applyBorder="1" applyAlignment="1">
      <alignment vertical="center"/>
    </xf>
    <xf numFmtId="0" fontId="151" fillId="0" borderId="18" xfId="0" applyFont="1" applyBorder="1" applyAlignment="1">
      <alignment horizontal="center" vertical="center"/>
    </xf>
    <xf numFmtId="43" fontId="151" fillId="0" borderId="18" xfId="0" applyNumberFormat="1" applyFont="1" applyBorder="1" applyAlignment="1">
      <alignment horizontal="center" vertical="center"/>
    </xf>
    <xf numFmtId="165" fontId="151" fillId="0" borderId="18" xfId="0" applyNumberFormat="1" applyFont="1" applyBorder="1" applyAlignment="1">
      <alignment horizontal="center" vertical="center"/>
    </xf>
    <xf numFmtId="0" fontId="150" fillId="46" borderId="6" xfId="0" applyFont="1" applyFill="1" applyBorder="1" applyAlignment="1">
      <alignment horizontal="center" vertical="center"/>
    </xf>
    <xf numFmtId="0" fontId="150" fillId="47" borderId="4" xfId="0" applyFont="1" applyFill="1" applyBorder="1" applyAlignment="1">
      <alignment horizontal="center" vertical="center" wrapText="1"/>
    </xf>
    <xf numFmtId="0" fontId="157" fillId="47" borderId="6" xfId="0" applyFont="1" applyFill="1" applyBorder="1" applyAlignment="1">
      <alignment horizontal="center" vertical="center"/>
    </xf>
    <xf numFmtId="1" fontId="157" fillId="0" borderId="4" xfId="0" applyNumberFormat="1" applyFont="1" applyBorder="1" applyAlignment="1">
      <alignment horizontal="center" vertical="center" wrapText="1"/>
    </xf>
    <xf numFmtId="1" fontId="157" fillId="0" borderId="6" xfId="0" applyNumberFormat="1" applyFont="1" applyBorder="1" applyAlignment="1">
      <alignment horizontal="center" vertical="center" wrapText="1"/>
    </xf>
    <xf numFmtId="0" fontId="157" fillId="47" borderId="6" xfId="0" applyFont="1" applyFill="1" applyBorder="1" applyAlignment="1">
      <alignment horizontal="center" vertical="center" wrapText="1"/>
    </xf>
    <xf numFmtId="0" fontId="150" fillId="6" borderId="7" xfId="0" applyFont="1" applyFill="1" applyBorder="1" applyAlignment="1">
      <alignment vertical="center"/>
    </xf>
    <xf numFmtId="0" fontId="150" fillId="6" borderId="8" xfId="0" applyFont="1" applyFill="1" applyBorder="1" applyAlignment="1">
      <alignment horizontal="center" vertical="center"/>
    </xf>
    <xf numFmtId="0" fontId="150" fillId="6" borderId="8" xfId="0" applyFont="1" applyFill="1" applyBorder="1" applyAlignment="1">
      <alignment vertical="center"/>
    </xf>
    <xf numFmtId="165" fontId="156" fillId="6" borderId="8" xfId="1293" applyNumberFormat="1" applyFont="1" applyFill="1" applyBorder="1" applyAlignment="1">
      <alignment horizontal="center" vertical="center"/>
    </xf>
    <xf numFmtId="165" fontId="156" fillId="6" borderId="9" xfId="1293" applyNumberFormat="1" applyFont="1" applyFill="1" applyBorder="1" applyAlignment="1">
      <alignment horizontal="center" vertical="center"/>
    </xf>
    <xf numFmtId="0" fontId="155" fillId="0" borderId="65" xfId="0" applyFont="1" applyBorder="1" applyAlignment="1">
      <alignment horizontal="center" vertical="center"/>
    </xf>
    <xf numFmtId="0" fontId="154" fillId="0" borderId="11" xfId="0" quotePrefix="1" applyFont="1" applyBorder="1" applyAlignment="1">
      <alignment horizontal="center" vertical="center"/>
    </xf>
    <xf numFmtId="0" fontId="154" fillId="0" borderId="11" xfId="0" applyFont="1" applyBorder="1" applyAlignment="1">
      <alignment horizontal="center" vertical="center"/>
    </xf>
    <xf numFmtId="0" fontId="152" fillId="0" borderId="1" xfId="0" applyFont="1" applyBorder="1" applyAlignment="1">
      <alignment horizontal="left"/>
    </xf>
    <xf numFmtId="0" fontId="153" fillId="0" borderId="2" xfId="0" applyFont="1" applyBorder="1" applyAlignment="1">
      <alignment horizontal="left"/>
    </xf>
    <xf numFmtId="0" fontId="154" fillId="0" borderId="2" xfId="0" quotePrefix="1" applyFont="1" applyBorder="1" applyAlignment="1">
      <alignment horizontal="center" vertical="center"/>
    </xf>
    <xf numFmtId="0" fontId="154" fillId="0" borderId="2" xfId="0" applyFont="1" applyBorder="1" applyAlignment="1">
      <alignment horizontal="center" vertical="center"/>
    </xf>
    <xf numFmtId="0" fontId="154" fillId="0" borderId="2" xfId="0" applyFont="1" applyBorder="1" applyAlignment="1">
      <alignment vertical="center"/>
    </xf>
    <xf numFmtId="0" fontId="154" fillId="0" borderId="3" xfId="0" applyFont="1" applyBorder="1" applyAlignment="1">
      <alignment vertical="center"/>
    </xf>
    <xf numFmtId="0" fontId="152" fillId="0" borderId="4" xfId="0" applyFont="1" applyBorder="1" applyAlignment="1">
      <alignment horizontal="left" wrapText="1"/>
    </xf>
    <xf numFmtId="0" fontId="154" fillId="0" borderId="6" xfId="0" applyFont="1" applyBorder="1" applyAlignment="1">
      <alignment vertical="center"/>
    </xf>
    <xf numFmtId="0" fontId="152" fillId="0" borderId="4" xfId="0" applyFont="1" applyBorder="1" applyAlignment="1">
      <alignment horizontal="left"/>
    </xf>
    <xf numFmtId="0" fontId="152" fillId="0" borderId="7" xfId="0" applyFont="1" applyBorder="1" applyAlignment="1">
      <alignment horizontal="left"/>
    </xf>
    <xf numFmtId="0" fontId="153" fillId="0" borderId="8" xfId="0" applyFont="1" applyBorder="1" applyAlignment="1">
      <alignment horizontal="left"/>
    </xf>
    <xf numFmtId="0" fontId="154" fillId="0" borderId="8" xfId="0" applyFont="1" applyBorder="1" applyAlignment="1">
      <alignment horizontal="left" vertical="center"/>
    </xf>
    <xf numFmtId="0" fontId="154" fillId="0" borderId="8" xfId="0" applyFont="1" applyBorder="1" applyAlignment="1">
      <alignment vertical="center"/>
    </xf>
    <xf numFmtId="0" fontId="154" fillId="0" borderId="9" xfId="0" applyFont="1" applyBorder="1" applyAlignment="1">
      <alignment vertical="center"/>
    </xf>
    <xf numFmtId="0" fontId="0" fillId="0" borderId="0" xfId="0" applyAlignment="1">
      <alignment horizontal="center"/>
    </xf>
    <xf numFmtId="43" fontId="123" fillId="0" borderId="0" xfId="1" applyFont="1" applyFill="1" applyBorder="1" applyAlignment="1">
      <alignment horizontal="center"/>
    </xf>
    <xf numFmtId="164" fontId="123" fillId="0" borderId="0" xfId="1" applyNumberFormat="1" applyFont="1" applyFill="1" applyBorder="1" applyAlignment="1">
      <alignment horizontal="center"/>
    </xf>
    <xf numFmtId="43" fontId="4" fillId="0" borderId="0" xfId="1" applyFont="1" applyFill="1" applyBorder="1" applyAlignment="1">
      <alignment horizontal="center" vertical="center"/>
    </xf>
    <xf numFmtId="164" fontId="4" fillId="0" borderId="0" xfId="1" applyNumberFormat="1" applyFont="1" applyFill="1" applyBorder="1" applyAlignment="1">
      <alignment horizontal="center" vertical="center"/>
    </xf>
    <xf numFmtId="43" fontId="3" fillId="0" borderId="0" xfId="1" applyFont="1" applyFill="1" applyBorder="1" applyAlignment="1">
      <alignment horizontal="center" vertical="center"/>
    </xf>
    <xf numFmtId="164" fontId="3" fillId="0" borderId="0" xfId="1" applyNumberFormat="1" applyFont="1" applyFill="1" applyBorder="1" applyAlignment="1">
      <alignment horizontal="center" vertical="center"/>
    </xf>
    <xf numFmtId="43" fontId="161" fillId="0" borderId="0" xfId="1" applyFont="1" applyFill="1" applyBorder="1" applyAlignment="1">
      <alignment horizontal="center" vertical="center"/>
    </xf>
    <xf numFmtId="164" fontId="161" fillId="0" borderId="0" xfId="1" applyNumberFormat="1" applyFont="1" applyFill="1" applyBorder="1" applyAlignment="1">
      <alignment horizontal="center" vertical="center"/>
    </xf>
    <xf numFmtId="43" fontId="126" fillId="0" borderId="0" xfId="1" applyFont="1" applyFill="1" applyBorder="1" applyAlignment="1">
      <alignment horizontal="center" vertical="center"/>
    </xf>
    <xf numFmtId="0" fontId="161" fillId="0" borderId="0" xfId="0" applyFont="1" applyAlignment="1">
      <alignment horizontal="center"/>
    </xf>
    <xf numFmtId="0" fontId="126" fillId="0" borderId="0" xfId="0" applyFont="1" applyAlignment="1">
      <alignment horizontal="center"/>
    </xf>
    <xf numFmtId="43" fontId="162" fillId="0" borderId="0" xfId="1" applyFont="1" applyBorder="1" applyAlignment="1">
      <alignment horizontal="center"/>
    </xf>
    <xf numFmtId="0" fontId="0" fillId="0" borderId="5" xfId="0" applyBorder="1" applyAlignment="1">
      <alignment horizontal="center"/>
    </xf>
    <xf numFmtId="0" fontId="4" fillId="0" borderId="5" xfId="0" applyFont="1" applyBorder="1" applyAlignment="1">
      <alignment horizontal="center" wrapText="1"/>
    </xf>
    <xf numFmtId="0" fontId="0" fillId="0" borderId="1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3" fillId="0" borderId="28" xfId="1" applyNumberFormat="1" applyFont="1" applyBorder="1" applyAlignment="1">
      <alignment horizontal="center" vertical="center"/>
    </xf>
    <xf numFmtId="240" fontId="156" fillId="6" borderId="8" xfId="1293" applyFont="1" applyFill="1" applyBorder="1" applyAlignment="1">
      <alignment horizontal="center" vertical="center"/>
    </xf>
    <xf numFmtId="43" fontId="157" fillId="0" borderId="5" xfId="1" applyFont="1" applyFill="1" applyBorder="1" applyAlignment="1">
      <alignment horizontal="center" vertical="center" wrapText="1"/>
    </xf>
    <xf numFmtId="43" fontId="5" fillId="0" borderId="5" xfId="1" applyFont="1" applyFill="1" applyBorder="1" applyAlignment="1">
      <alignment horizontal="left" vertical="center"/>
    </xf>
    <xf numFmtId="0" fontId="6" fillId="0" borderId="13" xfId="0" applyFont="1" applyBorder="1" applyAlignment="1">
      <alignment horizontal="left" vertical="center"/>
    </xf>
    <xf numFmtId="0" fontId="0" fillId="0" borderId="104" xfId="0" applyBorder="1"/>
    <xf numFmtId="0" fontId="0" fillId="0" borderId="99" xfId="0" applyBorder="1"/>
    <xf numFmtId="0" fontId="0" fillId="0" borderId="99" xfId="0" applyBorder="1" applyAlignment="1">
      <alignment wrapText="1"/>
    </xf>
    <xf numFmtId="0" fontId="0" fillId="0" borderId="61" xfId="0" applyBorder="1"/>
    <xf numFmtId="43" fontId="7" fillId="7" borderId="11" xfId="1" applyFont="1" applyFill="1" applyBorder="1" applyAlignment="1">
      <alignment horizontal="center" vertical="center" wrapText="1"/>
    </xf>
    <xf numFmtId="43" fontId="7" fillId="7" borderId="5" xfId="1" applyFont="1" applyFill="1" applyBorder="1" applyAlignment="1">
      <alignment horizontal="center" vertical="center" wrapText="1"/>
    </xf>
    <xf numFmtId="43" fontId="161" fillId="0" borderId="5" xfId="1" applyFont="1" applyFill="1" applyBorder="1" applyAlignment="1">
      <alignment horizontal="center" vertical="center"/>
    </xf>
    <xf numFmtId="43" fontId="126" fillId="0" borderId="5" xfId="1" applyFont="1" applyFill="1" applyBorder="1" applyAlignment="1">
      <alignment horizontal="center" vertical="center"/>
    </xf>
    <xf numFmtId="0" fontId="149" fillId="0" borderId="5" xfId="0" applyFont="1" applyBorder="1" applyAlignment="1">
      <alignment horizontal="justify" vertical="center"/>
    </xf>
    <xf numFmtId="43" fontId="161" fillId="0" borderId="5" xfId="1" applyFont="1" applyFill="1" applyBorder="1" applyAlignment="1">
      <alignment horizontal="center" vertical="center"/>
    </xf>
    <xf numFmtId="43" fontId="126" fillId="0" borderId="13" xfId="1" applyFont="1" applyFill="1" applyBorder="1" applyAlignment="1">
      <alignment horizontal="center" vertical="center"/>
    </xf>
    <xf numFmtId="43" fontId="126" fillId="0" borderId="65" xfId="1" applyFont="1" applyFill="1" applyBorder="1" applyAlignment="1">
      <alignment horizontal="center" vertical="center"/>
    </xf>
    <xf numFmtId="43" fontId="126" fillId="0" borderId="5" xfId="1" applyFont="1" applyFill="1" applyBorder="1" applyAlignment="1">
      <alignment horizontal="center" vertical="center"/>
    </xf>
    <xf numFmtId="43" fontId="126" fillId="0" borderId="5" xfId="1" applyFont="1" applyFill="1" applyBorder="1" applyAlignment="1">
      <alignment horizontal="center" vertical="center"/>
    </xf>
    <xf numFmtId="43" fontId="161" fillId="0" borderId="4" xfId="1" applyFont="1" applyBorder="1"/>
    <xf numFmtId="43" fontId="161" fillId="0" borderId="6" xfId="1" applyFont="1" applyBorder="1"/>
    <xf numFmtId="43" fontId="126" fillId="0" borderId="5" xfId="1" applyFont="1" applyFill="1" applyBorder="1" applyAlignment="1">
      <alignment horizontal="center" vertical="center"/>
    </xf>
    <xf numFmtId="164" fontId="126" fillId="0" borderId="0" xfId="1" applyNumberFormat="1" applyFont="1" applyFill="1" applyBorder="1" applyAlignment="1">
      <alignment horizontal="center" vertical="center"/>
    </xf>
    <xf numFmtId="164" fontId="126" fillId="0" borderId="0" xfId="1" applyNumberFormat="1" applyFont="1" applyFill="1" applyAlignment="1">
      <alignment horizontal="center" vertical="center"/>
    </xf>
    <xf numFmtId="0" fontId="156" fillId="47" borderId="5" xfId="0" applyFont="1" applyFill="1" applyBorder="1" applyAlignment="1">
      <alignment horizontal="center" vertical="center" wrapText="1"/>
    </xf>
    <xf numFmtId="242" fontId="156" fillId="49" borderId="5" xfId="1293" applyNumberFormat="1" applyFont="1" applyFill="1" applyBorder="1" applyAlignment="1">
      <alignment horizontal="center" vertical="center"/>
    </xf>
    <xf numFmtId="165" fontId="156" fillId="49" borderId="5" xfId="1293" applyNumberFormat="1" applyFont="1" applyFill="1" applyBorder="1" applyAlignment="1">
      <alignment horizontal="center" vertical="center"/>
    </xf>
    <xf numFmtId="43" fontId="126" fillId="0" borderId="5" xfId="1" applyFont="1" applyFill="1" applyBorder="1" applyAlignment="1">
      <alignment horizontal="center" vertical="center"/>
    </xf>
    <xf numFmtId="43" fontId="126" fillId="0" borderId="5" xfId="1" applyFont="1" applyFill="1" applyBorder="1" applyAlignment="1">
      <alignment horizontal="center" vertical="center"/>
    </xf>
    <xf numFmtId="43" fontId="126" fillId="0" borderId="0" xfId="0" applyNumberFormat="1" applyFont="1"/>
    <xf numFmtId="174" fontId="7" fillId="42" borderId="0" xfId="0" applyNumberFormat="1" applyFont="1" applyFill="1" applyAlignment="1">
      <alignment vertical="center"/>
    </xf>
    <xf numFmtId="0" fontId="7" fillId="0" borderId="18" xfId="4" applyNumberFormat="1" applyFont="1" applyFill="1" applyBorder="1"/>
    <xf numFmtId="43" fontId="126" fillId="0" borderId="5" xfId="1" applyFont="1" applyFill="1" applyBorder="1" applyAlignment="1">
      <alignment horizontal="center" vertical="center"/>
    </xf>
    <xf numFmtId="1" fontId="157" fillId="0" borderId="10" xfId="0" applyNumberFormat="1" applyFont="1" applyBorder="1" applyAlignment="1">
      <alignment horizontal="center" vertical="center" wrapText="1"/>
    </xf>
    <xf numFmtId="0" fontId="149" fillId="0" borderId="11" xfId="0" applyFont="1" applyBorder="1" applyAlignment="1">
      <alignment horizontal="justify" vertical="center"/>
    </xf>
    <xf numFmtId="0" fontId="149" fillId="0" borderId="11" xfId="0" applyFont="1" applyBorder="1" applyAlignment="1">
      <alignment horizontal="center" vertical="center" wrapText="1"/>
    </xf>
    <xf numFmtId="0" fontId="157" fillId="0" borderId="11" xfId="0" applyFont="1" applyBorder="1" applyAlignment="1">
      <alignment horizontal="center" vertical="center" wrapText="1"/>
    </xf>
    <xf numFmtId="4" fontId="157" fillId="0" borderId="11" xfId="0" applyNumberFormat="1" applyFont="1" applyBorder="1" applyAlignment="1">
      <alignment horizontal="center" vertical="center" wrapText="1"/>
    </xf>
    <xf numFmtId="43" fontId="157" fillId="0" borderId="11" xfId="1" applyFont="1" applyBorder="1" applyAlignment="1">
      <alignment horizontal="center" vertical="center" wrapText="1"/>
    </xf>
    <xf numFmtId="242" fontId="157" fillId="0" borderId="11" xfId="1293" applyNumberFormat="1" applyFont="1" applyFill="1" applyBorder="1" applyAlignment="1">
      <alignment horizontal="center" vertical="center"/>
    </xf>
    <xf numFmtId="242" fontId="156" fillId="49" borderId="11" xfId="1293" applyNumberFormat="1" applyFont="1" applyFill="1" applyBorder="1" applyAlignment="1">
      <alignment horizontal="center" vertical="center"/>
    </xf>
    <xf numFmtId="165" fontId="157" fillId="0" borderId="11" xfId="1293" applyNumberFormat="1" applyFont="1" applyFill="1" applyBorder="1" applyAlignment="1">
      <alignment horizontal="center" vertical="center"/>
    </xf>
    <xf numFmtId="165" fontId="156" fillId="49" borderId="11" xfId="1293" applyNumberFormat="1" applyFont="1" applyFill="1" applyBorder="1" applyAlignment="1">
      <alignment horizontal="center" vertical="center"/>
    </xf>
    <xf numFmtId="1" fontId="157" fillId="0" borderId="12" xfId="0" applyNumberFormat="1" applyFont="1" applyBorder="1" applyAlignment="1">
      <alignment horizontal="center" vertical="center" wrapText="1"/>
    </xf>
    <xf numFmtId="0" fontId="163" fillId="0" borderId="0" xfId="0" applyFont="1" applyAlignment="1">
      <alignment horizontal="center"/>
    </xf>
    <xf numFmtId="0" fontId="163" fillId="0" borderId="11" xfId="0" applyFont="1" applyBorder="1" applyAlignment="1">
      <alignment horizontal="center"/>
    </xf>
    <xf numFmtId="0" fontId="163" fillId="0" borderId="11" xfId="0" applyFont="1" applyBorder="1" applyAlignment="1">
      <alignment horizontal="left"/>
    </xf>
    <xf numFmtId="43" fontId="9" fillId="0" borderId="0" xfId="1" applyFont="1" applyFill="1" applyBorder="1" applyAlignment="1">
      <alignment horizontal="center"/>
    </xf>
    <xf numFmtId="164" fontId="9" fillId="0" borderId="0" xfId="1" applyNumberFormat="1" applyFont="1" applyFill="1" applyBorder="1" applyAlignment="1">
      <alignment horizontal="center"/>
    </xf>
    <xf numFmtId="43" fontId="8" fillId="5" borderId="4" xfId="1" applyFont="1" applyFill="1" applyBorder="1" applyAlignment="1">
      <alignment horizontal="center" vertical="center"/>
    </xf>
    <xf numFmtId="43" fontId="8" fillId="5" borderId="5" xfId="1" applyFont="1" applyFill="1" applyBorder="1" applyAlignment="1">
      <alignment horizontal="left" vertical="center"/>
    </xf>
    <xf numFmtId="43" fontId="8" fillId="5" borderId="5" xfId="1" applyFont="1" applyFill="1" applyBorder="1" applyAlignment="1">
      <alignment horizontal="center" vertical="center"/>
    </xf>
    <xf numFmtId="43" fontId="8" fillId="5" borderId="6" xfId="1" applyFont="1" applyFill="1" applyBorder="1" applyAlignment="1">
      <alignment horizontal="center" vertical="center"/>
    </xf>
    <xf numFmtId="43" fontId="8" fillId="0"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43" fontId="8" fillId="0" borderId="4" xfId="1" applyFont="1" applyFill="1" applyBorder="1" applyAlignment="1">
      <alignment horizontal="center" vertical="center"/>
    </xf>
    <xf numFmtId="43" fontId="9" fillId="0" borderId="0" xfId="1" applyFont="1" applyFill="1" applyBorder="1" applyAlignment="1">
      <alignment horizontal="center" vertical="center"/>
    </xf>
    <xf numFmtId="164" fontId="9" fillId="0" borderId="0" xfId="1" applyNumberFormat="1" applyFont="1" applyFill="1" applyBorder="1" applyAlignment="1">
      <alignment horizontal="center" vertical="center"/>
    </xf>
    <xf numFmtId="0" fontId="8" fillId="0" borderId="5" xfId="1" applyNumberFormat="1" applyFont="1" applyFill="1" applyBorder="1" applyAlignment="1">
      <alignment horizontal="left" vertical="center" wrapText="1"/>
    </xf>
    <xf numFmtId="43" fontId="9" fillId="0" borderId="4" xfId="1" applyFont="1" applyFill="1" applyBorder="1" applyAlignment="1">
      <alignment horizontal="center" vertical="center"/>
    </xf>
    <xf numFmtId="43" fontId="164" fillId="0" borderId="4" xfId="1" applyFont="1" applyFill="1" applyBorder="1" applyAlignment="1">
      <alignment horizontal="center" vertical="center"/>
    </xf>
    <xf numFmtId="43" fontId="164" fillId="0" borderId="5" xfId="1" applyFont="1" applyFill="1" applyBorder="1" applyAlignment="1">
      <alignment horizontal="left" vertical="center"/>
    </xf>
    <xf numFmtId="43" fontId="164" fillId="0" borderId="5" xfId="1" applyFont="1" applyFill="1" applyBorder="1" applyAlignment="1">
      <alignment horizontal="center" vertical="center"/>
    </xf>
    <xf numFmtId="43" fontId="164" fillId="0" borderId="6" xfId="1" applyFont="1" applyFill="1" applyBorder="1" applyAlignment="1">
      <alignment horizontal="center" vertical="center"/>
    </xf>
    <xf numFmtId="43" fontId="164" fillId="0" borderId="0" xfId="1" applyFont="1" applyFill="1" applyBorder="1" applyAlignment="1">
      <alignment horizontal="center" vertical="center"/>
    </xf>
    <xf numFmtId="164" fontId="164" fillId="0" borderId="0" xfId="1" applyNumberFormat="1" applyFont="1" applyFill="1" applyBorder="1" applyAlignment="1">
      <alignment horizontal="center" vertical="center"/>
    </xf>
    <xf numFmtId="43" fontId="165" fillId="0" borderId="4" xfId="1" applyFont="1" applyFill="1" applyBorder="1" applyAlignment="1">
      <alignment horizontal="center" vertical="center"/>
    </xf>
    <xf numFmtId="43" fontId="165" fillId="0" borderId="5" xfId="1" applyFont="1" applyFill="1" applyBorder="1" applyAlignment="1">
      <alignment horizontal="left" vertical="center"/>
    </xf>
    <xf numFmtId="43" fontId="165" fillId="0" borderId="5" xfId="1" applyFont="1" applyFill="1" applyBorder="1" applyAlignment="1">
      <alignment horizontal="center" vertical="center"/>
    </xf>
    <xf numFmtId="43" fontId="165" fillId="0" borderId="6" xfId="1" applyFont="1" applyFill="1" applyBorder="1" applyAlignment="1">
      <alignment horizontal="center" vertical="center"/>
    </xf>
    <xf numFmtId="0" fontId="163" fillId="0" borderId="4" xfId="0" applyFont="1" applyBorder="1" applyAlignment="1">
      <alignment horizontal="center"/>
    </xf>
    <xf numFmtId="0" fontId="163" fillId="0" borderId="5" xfId="0" applyFont="1" applyBorder="1" applyAlignment="1">
      <alignment horizontal="left"/>
    </xf>
    <xf numFmtId="0" fontId="163" fillId="0" borderId="5" xfId="0" applyFont="1" applyBorder="1" applyAlignment="1">
      <alignment horizontal="center"/>
    </xf>
    <xf numFmtId="0" fontId="163" fillId="0" borderId="6" xfId="0" applyFont="1" applyBorder="1" applyAlignment="1">
      <alignment horizontal="center"/>
    </xf>
    <xf numFmtId="164" fontId="9" fillId="0" borderId="5" xfId="1" applyNumberFormat="1" applyFont="1" applyFill="1" applyBorder="1" applyAlignment="1">
      <alignment horizontal="center" vertical="center"/>
    </xf>
    <xf numFmtId="164" fontId="164" fillId="0" borderId="5" xfId="1" applyNumberFormat="1" applyFont="1" applyFill="1" applyBorder="1" applyAlignment="1">
      <alignment horizontal="center" vertical="center"/>
    </xf>
    <xf numFmtId="0" fontId="164" fillId="0" borderId="0" xfId="0" applyFont="1" applyAlignment="1">
      <alignment horizontal="center"/>
    </xf>
    <xf numFmtId="164" fontId="165" fillId="0" borderId="5" xfId="1" applyNumberFormat="1" applyFont="1" applyFill="1" applyBorder="1" applyAlignment="1">
      <alignment horizontal="center" vertical="center"/>
    </xf>
    <xf numFmtId="0" fontId="165" fillId="0" borderId="0" xfId="0" applyFont="1" applyAlignment="1">
      <alignment horizontal="center"/>
    </xf>
    <xf numFmtId="43" fontId="165" fillId="0" borderId="0" xfId="1"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left" wrapText="1"/>
    </xf>
    <xf numFmtId="43" fontId="8" fillId="5" borderId="7" xfId="1" applyFont="1" applyFill="1" applyBorder="1" applyAlignment="1">
      <alignment horizontal="center" vertical="center"/>
    </xf>
    <xf numFmtId="43" fontId="8" fillId="5" borderId="8" xfId="1" applyFont="1" applyFill="1" applyBorder="1" applyAlignment="1">
      <alignment horizontal="left" vertical="center"/>
    </xf>
    <xf numFmtId="43" fontId="8" fillId="5" borderId="8" xfId="1" applyFont="1" applyFill="1" applyBorder="1" applyAlignment="1">
      <alignment horizontal="center" vertical="center"/>
    </xf>
    <xf numFmtId="43" fontId="8" fillId="5" borderId="9" xfId="1" applyFont="1" applyFill="1" applyBorder="1" applyAlignment="1">
      <alignment horizontal="center" vertical="center"/>
    </xf>
    <xf numFmtId="0" fontId="163" fillId="0" borderId="0" xfId="0" applyFont="1" applyAlignment="1">
      <alignment horizontal="left"/>
    </xf>
    <xf numFmtId="0" fontId="4" fillId="0" borderId="5" xfId="0" applyFont="1" applyBorder="1" applyAlignment="1">
      <alignment horizontal="left" vertical="top" wrapText="1"/>
    </xf>
    <xf numFmtId="0" fontId="4" fillId="0" borderId="5" xfId="0" applyFont="1" applyBorder="1" applyAlignment="1">
      <alignment wrapText="1"/>
    </xf>
    <xf numFmtId="43" fontId="4" fillId="0" borderId="5" xfId="0" applyNumberFormat="1" applyFont="1" applyBorder="1" applyAlignment="1">
      <alignment horizontal="left" vertical="top" wrapText="1"/>
    </xf>
    <xf numFmtId="0" fontId="4" fillId="0" borderId="5" xfId="0" applyFont="1" applyBorder="1" applyAlignment="1">
      <alignment vertical="center" wrapText="1"/>
    </xf>
    <xf numFmtId="236" fontId="4" fillId="0" borderId="5" xfId="1" applyNumberFormat="1" applyFont="1" applyBorder="1" applyAlignment="1">
      <alignment horizontal="center" vertical="center"/>
    </xf>
    <xf numFmtId="236" fontId="4" fillId="4" borderId="5" xfId="1" applyNumberFormat="1" applyFont="1" applyFill="1" applyBorder="1" applyAlignment="1">
      <alignment horizontal="center" vertical="center"/>
    </xf>
    <xf numFmtId="0" fontId="127" fillId="42" borderId="0" xfId="0" applyFont="1" applyFill="1" applyAlignment="1">
      <alignment horizontal="left" vertical="center"/>
    </xf>
    <xf numFmtId="43" fontId="127" fillId="0" borderId="0" xfId="4" applyFont="1"/>
    <xf numFmtId="43" fontId="127" fillId="0" borderId="0" xfId="0" applyNumberFormat="1" applyFont="1"/>
    <xf numFmtId="2" fontId="127" fillId="0" borderId="0" xfId="0" applyNumberFormat="1" applyFont="1"/>
    <xf numFmtId="164" fontId="127" fillId="0" borderId="5" xfId="4" applyNumberFormat="1" applyFont="1" applyFill="1" applyBorder="1"/>
    <xf numFmtId="0" fontId="127" fillId="42" borderId="0" xfId="0" applyFont="1" applyFill="1" applyAlignment="1">
      <alignment vertical="center"/>
    </xf>
    <xf numFmtId="0" fontId="127" fillId="0" borderId="5" xfId="4" applyNumberFormat="1" applyFont="1" applyFill="1" applyBorder="1"/>
    <xf numFmtId="13" fontId="127" fillId="0" borderId="0" xfId="4" applyNumberFormat="1" applyFont="1"/>
    <xf numFmtId="2" fontId="127" fillId="42" borderId="0" xfId="0" applyNumberFormat="1" applyFont="1" applyFill="1" applyAlignment="1">
      <alignment vertical="center"/>
    </xf>
    <xf numFmtId="0" fontId="127" fillId="0" borderId="0" xfId="4" applyNumberFormat="1" applyFont="1" applyFill="1" applyBorder="1"/>
    <xf numFmtId="43" fontId="9" fillId="0" borderId="5" xfId="1" applyFont="1" applyFill="1" applyBorder="1" applyAlignment="1">
      <alignment horizontal="center" vertical="center"/>
    </xf>
    <xf numFmtId="43" fontId="126" fillId="0" borderId="13" xfId="1" applyFont="1" applyFill="1" applyBorder="1" applyAlignment="1">
      <alignment horizontal="center" vertical="center"/>
    </xf>
    <xf numFmtId="43" fontId="126" fillId="0" borderId="65" xfId="1" applyFont="1" applyFill="1" applyBorder="1" applyAlignment="1">
      <alignment horizontal="center" vertical="center"/>
    </xf>
    <xf numFmtId="43" fontId="161" fillId="0" borderId="5" xfId="1" applyFont="1" applyFill="1" applyBorder="1" applyAlignment="1">
      <alignment horizontal="center" vertical="center"/>
    </xf>
    <xf numFmtId="43" fontId="126" fillId="0" borderId="5" xfId="1" applyFont="1" applyFill="1" applyBorder="1" applyAlignment="1">
      <alignment horizontal="center" vertical="center"/>
    </xf>
    <xf numFmtId="43" fontId="126" fillId="0" borderId="65" xfId="1" applyFont="1" applyFill="1" applyBorder="1" applyAlignment="1">
      <alignment vertical="center"/>
    </xf>
    <xf numFmtId="43" fontId="3" fillId="0" borderId="5" xfId="1" applyFont="1" applyFill="1" applyBorder="1" applyAlignment="1">
      <alignment horizontal="center" vertical="center"/>
    </xf>
    <xf numFmtId="43" fontId="166" fillId="0" borderId="5" xfId="1" applyFont="1" applyFill="1" applyBorder="1" applyAlignment="1">
      <alignment vertical="center" wrapText="1"/>
    </xf>
    <xf numFmtId="43" fontId="166" fillId="3" borderId="5" xfId="1" applyFont="1" applyFill="1" applyBorder="1" applyAlignment="1">
      <alignment vertical="center" wrapText="1"/>
    </xf>
    <xf numFmtId="43" fontId="127" fillId="6" borderId="5" xfId="1" applyFont="1" applyFill="1" applyBorder="1" applyAlignment="1">
      <alignment horizontal="center" vertical="center" wrapText="1"/>
    </xf>
    <xf numFmtId="43" fontId="3" fillId="7" borderId="5" xfId="1" quotePrefix="1" applyFont="1" applyFill="1" applyBorder="1" applyAlignment="1">
      <alignment horizontal="center" vertical="center"/>
    </xf>
    <xf numFmtId="43" fontId="4" fillId="0" borderId="0" xfId="1" applyFont="1" applyFill="1"/>
    <xf numFmtId="43" fontId="126" fillId="0" borderId="5" xfId="1" applyFont="1" applyFill="1" applyBorder="1" applyAlignment="1">
      <alignment horizontal="center" vertical="center"/>
    </xf>
    <xf numFmtId="43" fontId="154" fillId="0" borderId="5" xfId="1" applyFont="1" applyBorder="1" applyAlignment="1">
      <alignment vertical="center"/>
    </xf>
    <xf numFmtId="43" fontId="154" fillId="0" borderId="11" xfId="1" applyFont="1" applyBorder="1" applyAlignment="1">
      <alignment horizontal="center" vertical="center"/>
    </xf>
    <xf numFmtId="43" fontId="154" fillId="0" borderId="2" xfId="1" applyFont="1" applyBorder="1" applyAlignment="1">
      <alignment horizontal="center" vertical="center"/>
    </xf>
    <xf numFmtId="43" fontId="154" fillId="0" borderId="5" xfId="1" applyFont="1" applyBorder="1" applyAlignment="1">
      <alignment horizontal="center" vertical="center"/>
    </xf>
    <xf numFmtId="43" fontId="154" fillId="0" borderId="8" xfId="1" applyFont="1" applyBorder="1" applyAlignment="1">
      <alignment horizontal="left" vertical="center"/>
    </xf>
    <xf numFmtId="43" fontId="157" fillId="47" borderId="5" xfId="1" applyFont="1" applyFill="1" applyBorder="1" applyAlignment="1">
      <alignment horizontal="center" vertical="center" wrapText="1"/>
    </xf>
    <xf numFmtId="43" fontId="150" fillId="6" borderId="8" xfId="1" applyFont="1" applyFill="1" applyBorder="1" applyAlignment="1">
      <alignment vertical="center"/>
    </xf>
    <xf numFmtId="43" fontId="151" fillId="0" borderId="18" xfId="1" applyFont="1" applyBorder="1" applyAlignment="1">
      <alignment horizontal="center" vertical="center"/>
    </xf>
    <xf numFmtId="43" fontId="151" fillId="0" borderId="5" xfId="1" applyFont="1" applyBorder="1" applyAlignment="1">
      <alignment horizontal="center" vertical="center"/>
    </xf>
    <xf numFmtId="9" fontId="6" fillId="3" borderId="5" xfId="1297" applyFont="1" applyFill="1" applyBorder="1" applyAlignment="1">
      <alignment vertical="center" wrapText="1"/>
    </xf>
    <xf numFmtId="43" fontId="3" fillId="7" borderId="5" xfId="1" applyFont="1" applyFill="1" applyBorder="1" applyAlignment="1">
      <alignment vertical="center"/>
    </xf>
    <xf numFmtId="43" fontId="3" fillId="7" borderId="5" xfId="1" applyFont="1" applyFill="1" applyBorder="1" applyAlignment="1">
      <alignment horizontal="left" vertical="center"/>
    </xf>
    <xf numFmtId="43" fontId="7" fillId="3" borderId="6" xfId="1" applyFont="1" applyFill="1" applyBorder="1" applyAlignment="1">
      <alignment horizontal="center" vertical="center" wrapText="1"/>
    </xf>
    <xf numFmtId="43" fontId="7" fillId="3" borderId="12" xfId="1" applyFont="1" applyFill="1" applyBorder="1" applyAlignment="1">
      <alignment horizontal="center" vertical="center" wrapText="1"/>
    </xf>
    <xf numFmtId="9" fontId="6" fillId="3" borderId="8" xfId="1297" applyFont="1" applyFill="1" applyBorder="1" applyAlignment="1">
      <alignment vertical="center" wrapText="1"/>
    </xf>
    <xf numFmtId="0" fontId="128" fillId="0" borderId="71" xfId="0" applyFont="1" applyBorder="1" applyAlignment="1">
      <alignment horizontal="center" vertical="center"/>
    </xf>
    <xf numFmtId="0" fontId="128" fillId="0" borderId="21" xfId="0" applyFont="1" applyBorder="1" applyAlignment="1">
      <alignment horizontal="center" vertical="center"/>
    </xf>
    <xf numFmtId="0" fontId="128" fillId="0" borderId="72" xfId="0" applyFont="1" applyBorder="1" applyAlignment="1">
      <alignment horizontal="center" vertical="center"/>
    </xf>
    <xf numFmtId="0" fontId="139" fillId="0" borderId="21" xfId="1279" applyFont="1" applyBorder="1" applyAlignment="1">
      <alignment horizontal="center"/>
    </xf>
    <xf numFmtId="0" fontId="139" fillId="0" borderId="91" xfId="1279" applyFont="1" applyBorder="1" applyAlignment="1">
      <alignment horizontal="center"/>
    </xf>
    <xf numFmtId="0" fontId="134" fillId="0" borderId="83" xfId="1278" applyFont="1" applyBorder="1" applyAlignment="1">
      <alignment horizontal="center" vertical="center"/>
    </xf>
    <xf numFmtId="0" fontId="134" fillId="0" borderId="84" xfId="1278" applyFont="1" applyBorder="1" applyAlignment="1">
      <alignment horizontal="center" vertical="center"/>
    </xf>
    <xf numFmtId="0" fontId="134" fillId="0" borderId="85" xfId="1278" applyFont="1" applyBorder="1" applyAlignment="1">
      <alignment horizontal="center" vertical="center"/>
    </xf>
    <xf numFmtId="0" fontId="136" fillId="43" borderId="88" xfId="1278" applyFont="1" applyFill="1" applyBorder="1" applyAlignment="1">
      <alignment horizontal="center"/>
    </xf>
    <xf numFmtId="0" fontId="136" fillId="43" borderId="28" xfId="1278" applyFont="1" applyFill="1" applyBorder="1" applyAlignment="1">
      <alignment horizontal="center"/>
    </xf>
    <xf numFmtId="0" fontId="136" fillId="43" borderId="89" xfId="1278" applyFont="1" applyFill="1" applyBorder="1" applyAlignment="1">
      <alignment horizontal="center"/>
    </xf>
    <xf numFmtId="0" fontId="139" fillId="44" borderId="90" xfId="1279" applyFont="1" applyFill="1" applyBorder="1" applyAlignment="1">
      <alignment horizontal="left"/>
    </xf>
    <xf numFmtId="0" fontId="139" fillId="44" borderId="72" xfId="1279" applyFont="1" applyFill="1" applyBorder="1" applyAlignment="1">
      <alignment horizontal="left"/>
    </xf>
    <xf numFmtId="0" fontId="139" fillId="44" borderId="21" xfId="1279" applyFont="1" applyFill="1" applyBorder="1" applyAlignment="1">
      <alignment horizontal="center"/>
    </xf>
    <xf numFmtId="0" fontId="139" fillId="44" borderId="91" xfId="1279" applyFont="1" applyFill="1" applyBorder="1" applyAlignment="1">
      <alignment horizontal="center"/>
    </xf>
    <xf numFmtId="0" fontId="139" fillId="0" borderId="90" xfId="1279" applyFont="1" applyBorder="1" applyAlignment="1">
      <alignment horizontal="left"/>
    </xf>
    <xf numFmtId="0" fontId="139" fillId="0" borderId="72" xfId="1279" applyFont="1" applyBorder="1" applyAlignment="1">
      <alignment horizontal="left"/>
    </xf>
    <xf numFmtId="43" fontId="5" fillId="3" borderId="4" xfId="4" applyFont="1" applyFill="1" applyBorder="1" applyAlignment="1">
      <alignment horizontal="center" vertical="center"/>
    </xf>
    <xf numFmtId="43" fontId="5" fillId="3" borderId="5" xfId="4" applyFont="1" applyFill="1" applyBorder="1" applyAlignment="1">
      <alignment horizontal="center" vertical="center"/>
    </xf>
    <xf numFmtId="43" fontId="5" fillId="3" borderId="6" xfId="4" applyFont="1" applyFill="1" applyBorder="1" applyAlignment="1">
      <alignment horizontal="center" vertical="center"/>
    </xf>
    <xf numFmtId="1" fontId="4" fillId="0" borderId="95" xfId="1" applyNumberFormat="1" applyFont="1" applyFill="1" applyBorder="1" applyAlignment="1">
      <alignment horizontal="left" vertical="center"/>
    </xf>
    <xf numFmtId="1" fontId="4" fillId="0" borderId="103" xfId="1" applyNumberFormat="1" applyFont="1" applyFill="1" applyBorder="1" applyAlignment="1">
      <alignment horizontal="left" vertical="center"/>
    </xf>
    <xf numFmtId="1" fontId="4" fillId="0" borderId="102" xfId="1" applyNumberFormat="1" applyFont="1" applyFill="1" applyBorder="1" applyAlignment="1">
      <alignment horizontal="left" vertical="center"/>
    </xf>
    <xf numFmtId="1" fontId="4" fillId="0" borderId="65" xfId="1" applyNumberFormat="1" applyFont="1" applyFill="1" applyBorder="1" applyAlignment="1">
      <alignment horizontal="left" vertical="center"/>
    </xf>
    <xf numFmtId="43" fontId="5" fillId="3" borderId="4" xfId="4" applyFont="1" applyFill="1" applyBorder="1" applyAlignment="1">
      <alignment horizontal="center"/>
    </xf>
    <xf numFmtId="43" fontId="5" fillId="3" borderId="5" xfId="4" applyFont="1" applyFill="1" applyBorder="1" applyAlignment="1">
      <alignment horizontal="center"/>
    </xf>
    <xf numFmtId="43" fontId="5" fillId="3" borderId="6" xfId="4" applyFont="1" applyFill="1" applyBorder="1" applyAlignment="1">
      <alignment horizontal="center"/>
    </xf>
    <xf numFmtId="43" fontId="5" fillId="3" borderId="5" xfId="4" applyFont="1" applyFill="1" applyBorder="1" applyAlignment="1">
      <alignment horizontal="left" vertical="center"/>
    </xf>
    <xf numFmtId="43" fontId="5" fillId="3" borderId="6" xfId="4" applyFont="1" applyFill="1" applyBorder="1" applyAlignment="1">
      <alignment horizontal="left" vertical="center"/>
    </xf>
    <xf numFmtId="0" fontId="156" fillId="0" borderId="1" xfId="0" applyFont="1" applyBorder="1" applyAlignment="1">
      <alignment horizontal="center" vertical="center"/>
    </xf>
    <xf numFmtId="0" fontId="156" fillId="0" borderId="2" xfId="0" applyFont="1" applyBorder="1" applyAlignment="1">
      <alignment horizontal="center" vertical="center"/>
    </xf>
    <xf numFmtId="0" fontId="156" fillId="0" borderId="3" xfId="0" applyFont="1" applyBorder="1" applyAlignment="1">
      <alignment horizontal="center" vertical="center"/>
    </xf>
    <xf numFmtId="0" fontId="150" fillId="46" borderId="4" xfId="0" applyFont="1" applyFill="1" applyBorder="1" applyAlignment="1">
      <alignment horizontal="center" vertical="center" wrapText="1"/>
    </xf>
    <xf numFmtId="0" fontId="150" fillId="46" borderId="5" xfId="0" applyFont="1" applyFill="1" applyBorder="1" applyAlignment="1">
      <alignment horizontal="center" vertical="center" wrapText="1"/>
    </xf>
    <xf numFmtId="43" fontId="150" fillId="46" borderId="5" xfId="1" applyFont="1" applyFill="1" applyBorder="1" applyAlignment="1">
      <alignment horizontal="center" vertical="center" wrapText="1"/>
    </xf>
    <xf numFmtId="0" fontId="150" fillId="46" borderId="5" xfId="0" applyFont="1" applyFill="1" applyBorder="1" applyAlignment="1">
      <alignment horizontal="center" vertical="center"/>
    </xf>
    <xf numFmtId="43" fontId="165" fillId="0" borderId="5" xfId="1" applyFont="1" applyFill="1" applyBorder="1" applyAlignment="1">
      <alignment horizontal="center" vertical="center"/>
    </xf>
    <xf numFmtId="43" fontId="124" fillId="0" borderId="5" xfId="1" applyFont="1" applyFill="1" applyBorder="1" applyAlignment="1">
      <alignment horizontal="center"/>
    </xf>
    <xf numFmtId="43" fontId="8" fillId="0" borderId="1" xfId="1" applyFont="1" applyFill="1" applyBorder="1" applyAlignment="1">
      <alignment horizontal="center"/>
    </xf>
    <xf numFmtId="43" fontId="8" fillId="0" borderId="2" xfId="1" applyFont="1" applyFill="1" applyBorder="1" applyAlignment="1">
      <alignment horizontal="center"/>
    </xf>
    <xf numFmtId="43" fontId="8" fillId="0" borderId="3" xfId="1" applyFont="1" applyFill="1" applyBorder="1" applyAlignment="1">
      <alignment horizontal="center"/>
    </xf>
    <xf numFmtId="43" fontId="9" fillId="0" borderId="5" xfId="1" applyFont="1" applyFill="1" applyBorder="1" applyAlignment="1">
      <alignment horizontal="center" vertical="center"/>
    </xf>
    <xf numFmtId="43" fontId="161" fillId="0" borderId="5" xfId="1" applyFont="1" applyFill="1" applyBorder="1" applyAlignment="1">
      <alignment horizontal="center" vertical="center"/>
    </xf>
    <xf numFmtId="43" fontId="3" fillId="0" borderId="5" xfId="1" applyFont="1" applyFill="1" applyBorder="1" applyAlignment="1">
      <alignment horizontal="center" vertical="center"/>
    </xf>
    <xf numFmtId="43" fontId="126" fillId="0" borderId="13" xfId="1" applyFont="1" applyFill="1" applyBorder="1" applyAlignment="1">
      <alignment horizontal="center" vertical="center"/>
    </xf>
    <xf numFmtId="43" fontId="126" fillId="0" borderId="65" xfId="1" applyFont="1" applyFill="1" applyBorder="1" applyAlignment="1">
      <alignment horizontal="center" vertical="center"/>
    </xf>
    <xf numFmtId="0" fontId="4" fillId="0" borderId="13" xfId="0" applyFont="1" applyBorder="1" applyAlignment="1">
      <alignment horizontal="center"/>
    </xf>
    <xf numFmtId="0" fontId="4" fillId="0" borderId="65" xfId="0" applyFont="1" applyBorder="1" applyAlignment="1">
      <alignment horizontal="center"/>
    </xf>
    <xf numFmtId="43" fontId="124" fillId="0" borderId="4" xfId="1" applyFont="1" applyFill="1" applyBorder="1" applyAlignment="1">
      <alignment horizontal="center"/>
    </xf>
    <xf numFmtId="43" fontId="124" fillId="0" borderId="6" xfId="1" applyFont="1" applyFill="1" applyBorder="1" applyAlignment="1">
      <alignment horizontal="center"/>
    </xf>
    <xf numFmtId="43" fontId="3" fillId="0" borderId="0" xfId="1" applyFont="1" applyFill="1" applyBorder="1" applyAlignment="1">
      <alignment horizontal="center" vertical="center" wrapText="1"/>
    </xf>
    <xf numFmtId="43" fontId="161" fillId="0" borderId="13" xfId="1" applyFont="1" applyFill="1" applyBorder="1" applyAlignment="1">
      <alignment horizontal="center" vertical="center"/>
    </xf>
    <xf numFmtId="43" fontId="161" fillId="0" borderId="65" xfId="1" applyFont="1" applyFill="1" applyBorder="1" applyAlignment="1">
      <alignment horizontal="center" vertical="center"/>
    </xf>
    <xf numFmtId="43" fontId="126" fillId="0" borderId="5" xfId="1" applyFont="1" applyFill="1" applyBorder="1" applyAlignment="1">
      <alignment horizontal="center" vertical="center"/>
    </xf>
    <xf numFmtId="43" fontId="161" fillId="0" borderId="5" xfId="1" applyFont="1" applyFill="1" applyBorder="1" applyAlignment="1">
      <alignment horizontal="center"/>
    </xf>
    <xf numFmtId="43" fontId="161" fillId="7" borderId="13" xfId="1" applyFont="1" applyFill="1" applyBorder="1" applyAlignment="1">
      <alignment horizontal="center" vertical="center"/>
    </xf>
    <xf numFmtId="43" fontId="161" fillId="7" borderId="65" xfId="1" applyFont="1" applyFill="1" applyBorder="1" applyAlignment="1">
      <alignment horizontal="center" vertical="center"/>
    </xf>
    <xf numFmtId="170" fontId="6" fillId="0" borderId="1" xfId="361" applyFont="1" applyFill="1" applyBorder="1" applyAlignment="1">
      <alignment horizontal="center" vertical="center"/>
    </xf>
    <xf numFmtId="170" fontId="6" fillId="0" borderId="2" xfId="361" applyFont="1" applyFill="1" applyBorder="1" applyAlignment="1">
      <alignment horizontal="center" vertical="center"/>
    </xf>
    <xf numFmtId="170" fontId="6" fillId="0" borderId="3" xfId="361" applyFont="1" applyFill="1" applyBorder="1" applyAlignment="1">
      <alignment horizontal="center" vertical="center"/>
    </xf>
    <xf numFmtId="170" fontId="6" fillId="41" borderId="4" xfId="361" applyFont="1" applyFill="1" applyBorder="1" applyAlignment="1" applyProtection="1">
      <alignment horizontal="center" vertical="center" wrapText="1"/>
    </xf>
    <xf numFmtId="170" fontId="6" fillId="41" borderId="5" xfId="361" applyFont="1" applyFill="1" applyBorder="1" applyAlignment="1" applyProtection="1">
      <alignment horizontal="center" vertical="center" wrapText="1"/>
    </xf>
    <xf numFmtId="170" fontId="6" fillId="41" borderId="6" xfId="361" applyFont="1" applyFill="1" applyBorder="1" applyAlignment="1" applyProtection="1">
      <alignment horizontal="center" vertical="center" wrapText="1"/>
    </xf>
    <xf numFmtId="1" fontId="6" fillId="0" borderId="11" xfId="1291" applyNumberFormat="1" applyFont="1" applyFill="1" applyBorder="1" applyAlignment="1">
      <alignment horizontal="center" vertical="center" wrapText="1"/>
    </xf>
    <xf numFmtId="239" fontId="6" fillId="0" borderId="13" xfId="361" applyNumberFormat="1" applyFont="1" applyFill="1" applyBorder="1" applyAlignment="1">
      <alignment horizontal="center" vertical="center"/>
    </xf>
    <xf numFmtId="239" fontId="6" fillId="0" borderId="66" xfId="361" applyNumberFormat="1" applyFont="1" applyFill="1" applyBorder="1" applyAlignment="1">
      <alignment horizontal="center" vertical="center"/>
    </xf>
    <xf numFmtId="239" fontId="6" fillId="0" borderId="65" xfId="361" applyNumberFormat="1" applyFont="1" applyFill="1" applyBorder="1" applyAlignment="1">
      <alignment horizontal="center" vertical="center"/>
    </xf>
    <xf numFmtId="164" fontId="6" fillId="0" borderId="46" xfId="361" applyNumberFormat="1" applyFont="1" applyFill="1" applyBorder="1" applyAlignment="1">
      <alignment horizontal="center" vertical="center"/>
    </xf>
    <xf numFmtId="164" fontId="6" fillId="0" borderId="100" xfId="361" applyNumberFormat="1" applyFont="1" applyFill="1" applyBorder="1" applyAlignment="1">
      <alignment horizontal="center" vertical="center"/>
    </xf>
    <xf numFmtId="164" fontId="6" fillId="0" borderId="101" xfId="361" applyNumberFormat="1" applyFont="1" applyFill="1" applyBorder="1" applyAlignment="1">
      <alignment horizontal="center" vertical="center"/>
    </xf>
    <xf numFmtId="0" fontId="123" fillId="42" borderId="0" xfId="0" applyFont="1" applyFill="1" applyAlignment="1">
      <alignment horizontal="center" vertical="center"/>
    </xf>
    <xf numFmtId="0" fontId="7" fillId="42" borderId="0" xfId="0" applyFont="1" applyFill="1" applyAlignment="1">
      <alignment horizontal="center" vertical="center"/>
    </xf>
    <xf numFmtId="0" fontId="127" fillId="42" borderId="0" xfId="0" applyFont="1" applyFill="1" applyAlignment="1">
      <alignment horizontal="center" vertical="center"/>
    </xf>
    <xf numFmtId="43" fontId="10" fillId="7" borderId="1" xfId="1" applyFont="1" applyFill="1" applyBorder="1" applyAlignment="1">
      <alignment horizontal="center" vertical="center"/>
    </xf>
    <xf numFmtId="43" fontId="10" fillId="7" borderId="2" xfId="1" applyFont="1" applyFill="1" applyBorder="1" applyAlignment="1">
      <alignment horizontal="center" vertical="center"/>
    </xf>
    <xf numFmtId="43" fontId="10" fillId="7" borderId="3" xfId="1" applyFont="1" applyFill="1" applyBorder="1" applyAlignment="1">
      <alignment horizontal="center" vertical="center"/>
    </xf>
    <xf numFmtId="43" fontId="3" fillId="0" borderId="13" xfId="1" applyFont="1" applyFill="1" applyBorder="1" applyAlignment="1">
      <alignment horizontal="center" vertical="center"/>
    </xf>
    <xf numFmtId="43" fontId="3" fillId="0" borderId="65" xfId="1" applyFont="1" applyFill="1" applyBorder="1" applyAlignment="1">
      <alignment horizontal="center" vertical="center"/>
    </xf>
    <xf numFmtId="43" fontId="124" fillId="0" borderId="1" xfId="1" applyFont="1" applyFill="1" applyBorder="1" applyAlignment="1">
      <alignment horizontal="center"/>
    </xf>
    <xf numFmtId="43" fontId="124" fillId="0" borderId="2" xfId="1" applyFont="1" applyFill="1" applyBorder="1" applyAlignment="1">
      <alignment horizontal="center"/>
    </xf>
    <xf numFmtId="43" fontId="124" fillId="0" borderId="3" xfId="1" applyFont="1" applyFill="1" applyBorder="1" applyAlignment="1">
      <alignment horizontal="center"/>
    </xf>
    <xf numFmtId="43" fontId="6" fillId="0" borderId="4" xfId="1" applyFont="1" applyBorder="1" applyAlignment="1">
      <alignment horizontal="center" vertical="center"/>
    </xf>
    <xf numFmtId="43" fontId="6" fillId="0" borderId="5" xfId="1" applyFont="1" applyBorder="1" applyAlignment="1">
      <alignment horizontal="center" vertical="center"/>
    </xf>
    <xf numFmtId="43" fontId="6" fillId="0" borderId="6" xfId="1" applyFont="1" applyBorder="1" applyAlignment="1">
      <alignment horizontal="center" vertical="center"/>
    </xf>
    <xf numFmtId="43" fontId="10" fillId="7" borderId="1" xfId="1" applyFont="1" applyFill="1" applyBorder="1" applyAlignment="1">
      <alignment horizontal="center"/>
    </xf>
    <xf numFmtId="43" fontId="10" fillId="7" borderId="2" xfId="1" applyFont="1" applyFill="1" applyBorder="1" applyAlignment="1">
      <alignment horizontal="center"/>
    </xf>
    <xf numFmtId="43" fontId="10" fillId="7" borderId="3" xfId="1" applyFont="1" applyFill="1" applyBorder="1" applyAlignment="1">
      <alignment horizontal="center"/>
    </xf>
    <xf numFmtId="43" fontId="9" fillId="8" borderId="5" xfId="1" applyFont="1" applyFill="1" applyBorder="1" applyAlignment="1">
      <alignment horizontal="center" vertical="center"/>
    </xf>
    <xf numFmtId="43" fontId="9" fillId="8" borderId="6" xfId="1" applyFont="1" applyFill="1" applyBorder="1" applyAlignment="1">
      <alignment horizontal="center" vertical="center"/>
    </xf>
    <xf numFmtId="0" fontId="124" fillId="0" borderId="95" xfId="0" applyFont="1" applyBorder="1" applyAlignment="1">
      <alignment horizontal="center" vertical="center"/>
    </xf>
    <xf numFmtId="0" fontId="124" fillId="0" borderId="96" xfId="0" applyFont="1" applyBorder="1" applyAlignment="1">
      <alignment horizontal="center" vertical="center"/>
    </xf>
    <xf numFmtId="0" fontId="124" fillId="0" borderId="97" xfId="0" applyFont="1" applyBorder="1" applyAlignment="1">
      <alignment horizontal="center" vertical="center"/>
    </xf>
    <xf numFmtId="43" fontId="4" fillId="0" borderId="102" xfId="1" applyFont="1" applyBorder="1" applyAlignment="1">
      <alignment horizontal="center" vertical="center"/>
    </xf>
    <xf numFmtId="43" fontId="4" fillId="0" borderId="66" xfId="1" applyFont="1" applyBorder="1" applyAlignment="1">
      <alignment horizontal="center" vertical="center"/>
    </xf>
    <xf numFmtId="43" fontId="4" fillId="0" borderId="19" xfId="1" applyFont="1" applyBorder="1" applyAlignment="1">
      <alignment horizontal="center" vertical="center"/>
    </xf>
    <xf numFmtId="164" fontId="4" fillId="7" borderId="27" xfId="1" applyNumberFormat="1" applyFont="1" applyFill="1" applyBorder="1" applyAlignment="1">
      <alignment horizontal="center" vertical="center"/>
    </xf>
    <xf numFmtId="0" fontId="124" fillId="0" borderId="1" xfId="0" applyFont="1" applyBorder="1" applyAlignment="1">
      <alignment horizontal="center" vertical="center"/>
    </xf>
    <xf numFmtId="0" fontId="124" fillId="0" borderId="2" xfId="0" applyFont="1" applyBorder="1" applyAlignment="1">
      <alignment horizontal="center" vertical="center"/>
    </xf>
    <xf numFmtId="0" fontId="124" fillId="0" borderId="3" xfId="0" applyFont="1" applyBorder="1" applyAlignment="1">
      <alignment horizontal="center" vertical="center"/>
    </xf>
    <xf numFmtId="43" fontId="4" fillId="0" borderId="65" xfId="1" applyFont="1" applyBorder="1" applyAlignment="1">
      <alignment horizontal="center" vertical="center"/>
    </xf>
    <xf numFmtId="0" fontId="125" fillId="0" borderId="53" xfId="0" applyFont="1" applyBorder="1" applyAlignment="1">
      <alignment horizontal="center"/>
    </xf>
    <xf numFmtId="0" fontId="125" fillId="0" borderId="34" xfId="0" applyFont="1" applyBorder="1" applyAlignment="1">
      <alignment horizontal="center"/>
    </xf>
    <xf numFmtId="0" fontId="125" fillId="0" borderId="54" xfId="0" applyFont="1" applyBorder="1" applyAlignment="1">
      <alignment horizontal="center"/>
    </xf>
    <xf numFmtId="0" fontId="0" fillId="0" borderId="51" xfId="0" applyBorder="1" applyAlignment="1">
      <alignment horizontal="left" wrapText="1"/>
    </xf>
    <xf numFmtId="0" fontId="0" fillId="0" borderId="61" xfId="0" applyBorder="1" applyAlignment="1">
      <alignment horizontal="left" wrapText="1"/>
    </xf>
    <xf numFmtId="0" fontId="158" fillId="7" borderId="81" xfId="0" applyFont="1" applyFill="1" applyBorder="1" applyAlignment="1">
      <alignment horizontal="center" vertical="center"/>
    </xf>
    <xf numFmtId="0" fontId="159" fillId="5" borderId="71" xfId="0" applyFont="1" applyFill="1" applyBorder="1" applyAlignment="1">
      <alignment horizontal="center" vertical="center" wrapText="1"/>
    </xf>
    <xf numFmtId="0" fontId="159" fillId="5" borderId="21" xfId="0" applyFont="1" applyFill="1" applyBorder="1" applyAlignment="1">
      <alignment horizontal="center" vertical="center" wrapText="1"/>
    </xf>
    <xf numFmtId="0" fontId="159" fillId="5" borderId="72" xfId="0" applyFont="1" applyFill="1" applyBorder="1" applyAlignment="1">
      <alignment horizontal="center" vertical="center" wrapText="1"/>
    </xf>
  </cellXfs>
  <cellStyles count="1298">
    <cellStyle name="." xfId="49" xr:uid="{00000000-0005-0000-0000-000000000000}"/>
    <cellStyle name="??" xfId="50" xr:uid="{00000000-0005-0000-0000-000001000000}"/>
    <cellStyle name="?? [0.00]_laroux" xfId="51" xr:uid="{00000000-0005-0000-0000-000002000000}"/>
    <cellStyle name="???? [0.00]_laroux" xfId="52" xr:uid="{00000000-0005-0000-0000-000003000000}"/>
    <cellStyle name="????_laroux" xfId="53" xr:uid="{00000000-0005-0000-0000-000004000000}"/>
    <cellStyle name="??_??" xfId="54" xr:uid="{00000000-0005-0000-0000-000005000000}"/>
    <cellStyle name="_05.08.12_BOQ HIAL" xfId="55" xr:uid="{00000000-0005-0000-0000-000006000000}"/>
    <cellStyle name="_311204 F&amp;S committment report" xfId="56" xr:uid="{00000000-0005-0000-0000-000007000000}"/>
    <cellStyle name="_5. Annexure I" xfId="57" xr:uid="{00000000-0005-0000-0000-000008000000}"/>
    <cellStyle name="_Abhimaani Vasathi Hotel - 25.09.07" xfId="58" xr:uid="{00000000-0005-0000-0000-000009000000}"/>
    <cellStyle name="_ACE Summary all" xfId="59" xr:uid="{00000000-0005-0000-0000-00000A000000}"/>
    <cellStyle name="_ACE TC-II Powai(E)-send to BNS-31-07-08" xfId="60" xr:uid="{00000000-0005-0000-0000-00000B000000}"/>
    <cellStyle name="_ACE Top sheet" xfId="61" xr:uid="{00000000-0005-0000-0000-00000C000000}"/>
    <cellStyle name="_ACE Top sheet-rev-19-03-08" xfId="62" xr:uid="{00000000-0005-0000-0000-00000D000000}"/>
    <cellStyle name="_analysis 06.04.06" xfId="63" xr:uid="{00000000-0005-0000-0000-00000E000000}"/>
    <cellStyle name="_Angsana" xfId="64" xr:uid="{00000000-0005-0000-0000-00000F000000}"/>
    <cellStyle name="_Annex to RA Bill 3 &amp;amp_ 3A1" xfId="65" xr:uid="{00000000-0005-0000-0000-000010000000}"/>
    <cellStyle name="_Ascendas - AFAS, ACS &amp; EPABX - 14.11.06R5EST &amp; EXwork" xfId="66" xr:uid="{00000000-0005-0000-0000-000011000000}"/>
    <cellStyle name="_Ascendas 14.9.06 R1" xfId="67" xr:uid="{00000000-0005-0000-0000-000012000000}"/>
    <cellStyle name="_ASCENDAS -18.08.06" xfId="68" xr:uid="{00000000-0005-0000-0000-000013000000}"/>
    <cellStyle name="_Ascendas 21.9.06 R2" xfId="69" xr:uid="{00000000-0005-0000-0000-000014000000}"/>
    <cellStyle name="_aurdra Engg - Afas &amp; Pa - 24.05.06" xfId="70" xr:uid="{00000000-0005-0000-0000-000015000000}"/>
    <cellStyle name="_AUSTIN" xfId="71" xr:uid="{00000000-0005-0000-0000-000016000000}"/>
    <cellStyle name="_Aztec" xfId="72" xr:uid="{00000000-0005-0000-0000-000017000000}"/>
    <cellStyle name="_Basic Rates" xfId="73" xr:uid="{00000000-0005-0000-0000-000018000000}"/>
    <cellStyle name="_Battery Calculation" xfId="74" xr:uid="{00000000-0005-0000-0000-000019000000}"/>
    <cellStyle name="_BMS Enquiry Revenue tower" xfId="75" xr:uid="{00000000-0005-0000-0000-00001A000000}"/>
    <cellStyle name="_BMS Format" xfId="76" xr:uid="{00000000-0005-0000-0000-00001B000000}"/>
    <cellStyle name="_Bms General INR" xfId="77" xr:uid="{00000000-0005-0000-0000-00001C000000}"/>
    <cellStyle name="_BOB - Mumbai 17.06.05" xfId="78" xr:uid="{00000000-0005-0000-0000-00001D000000}"/>
    <cellStyle name="_Book1" xfId="79" xr:uid="{00000000-0005-0000-0000-00001E000000}"/>
    <cellStyle name="_BOQ" xfId="80" xr:uid="{00000000-0005-0000-0000-00001F000000}"/>
    <cellStyle name="_BOQ - Workings" xfId="81" xr:uid="{00000000-0005-0000-0000-000020000000}"/>
    <cellStyle name="_BPCL - Mumbai HP  25.07.05 Email" xfId="82" xr:uid="{00000000-0005-0000-0000-000021000000}"/>
    <cellStyle name="_Calcutta Airport Analysis 12-06-2008" xfId="83" xr:uid="{00000000-0005-0000-0000-000022000000}"/>
    <cellStyle name="_certified santech bill-3" xfId="84" xr:uid="{00000000-0005-0000-0000-000023000000}"/>
    <cellStyle name="_CIDCO-BC&amp;EH-SCHEDULE-A-13 E 2008" xfId="85" xr:uid="{00000000-0005-0000-0000-000024000000}"/>
    <cellStyle name="_CIVIL Work-ACE TC-II Powai(E)" xfId="86" xr:uid="{00000000-0005-0000-0000-000025000000}"/>
    <cellStyle name="_Client sales -Hq review 16th Feb-06" xfId="87" xr:uid="{00000000-0005-0000-0000-000026000000}"/>
    <cellStyle name="_Convergys India Service Ltd. , Hyderabad ( Working )" xfId="88" xr:uid="{00000000-0005-0000-0000-000027000000}"/>
    <cellStyle name="_Cost comp. as per LOI" xfId="89" xr:uid="{00000000-0005-0000-0000-000028000000}"/>
    <cellStyle name="_Cumulative ACE- TC2" xfId="90" xr:uid="{00000000-0005-0000-0000-000029000000}"/>
    <cellStyle name="_DIAL Terminal T3 - Structure  final 12th Jul-07 for Client" xfId="91" xr:uid="{00000000-0005-0000-0000-00002A000000}"/>
    <cellStyle name="_DIAL-Costworkings 4th Dec 2006" xfId="92" xr:uid="{00000000-0005-0000-0000-00002B000000}"/>
    <cellStyle name="_EKTA SALE COMP Incl Taxes R02 270310 " xfId="93" xr:uid="{00000000-0005-0000-0000-00002C000000}"/>
    <cellStyle name="_Electrical Work-summary" xfId="94" xr:uid="{00000000-0005-0000-0000-00002D000000}"/>
    <cellStyle name="_Elevated Ramp" xfId="95" xr:uid="{00000000-0005-0000-0000-00002E000000}"/>
    <cellStyle name="_eta" xfId="96" xr:uid="{00000000-0005-0000-0000-00002F000000}"/>
    <cellStyle name="_ETA_RAB1_certified" xfId="97" xr:uid="{00000000-0005-0000-0000-000030000000}"/>
    <cellStyle name="_FINAL ETA" xfId="98" xr:uid="{00000000-0005-0000-0000-000031000000}"/>
    <cellStyle name="_Fire Fighting Works" xfId="99" xr:uid="{00000000-0005-0000-0000-000032000000}"/>
    <cellStyle name="_Glaxo-Smithkline" xfId="100" xr:uid="{00000000-0005-0000-0000-000033000000}"/>
    <cellStyle name="_Global (Harayana) 16.11.05" xfId="101" xr:uid="{00000000-0005-0000-0000-000034000000}"/>
    <cellStyle name="_Global Hospital  - 16.10.07" xfId="102" xr:uid="{00000000-0005-0000-0000-000035000000}"/>
    <cellStyle name="_Google" xfId="103" xr:uid="{00000000-0005-0000-0000-000036000000}"/>
    <cellStyle name="_Guest_rooms_-_Comparative_R1(Issued)06062008 with terms" xfId="104" xr:uid="{00000000-0005-0000-0000-000037000000}"/>
    <cellStyle name="_H P campus" xfId="105" xr:uid="{00000000-0005-0000-0000-000038000000}"/>
    <cellStyle name="_H.P. - Brigade Hul-Kul-Bills" xfId="106" xr:uid="{00000000-0005-0000-0000-000039000000}"/>
    <cellStyle name="_HVAC -ACE_TC2" xfId="107" xr:uid="{00000000-0005-0000-0000-00003A000000}"/>
    <cellStyle name="_HVAC BOQ_Final-ACE" xfId="108" xr:uid="{00000000-0005-0000-0000-00003B000000}"/>
    <cellStyle name="_HVAC BOQ_TCII" xfId="109" xr:uid="{00000000-0005-0000-0000-00003C000000}"/>
    <cellStyle name="_HVAC Work" xfId="110" xr:uid="{00000000-0005-0000-0000-00003D000000}"/>
    <cellStyle name="_HYD AIRPORT -R2 - 08-09-05 - SOFT" xfId="111" xr:uid="{00000000-0005-0000-0000-00003E000000}"/>
    <cellStyle name="_IBM Green Interior BOQ 11-02-09" xfId="112" xr:uid="{00000000-0005-0000-0000-00003F000000}"/>
    <cellStyle name="_Integra T 28.12.05 " xfId="113" xr:uid="{00000000-0005-0000-0000-000040000000}"/>
    <cellStyle name="_ITC Windsor Manor - 23.05.07" xfId="114" xr:uid="{00000000-0005-0000-0000-000041000000}"/>
    <cellStyle name="_Jipmer workings - Revised 15.06.06" xfId="115" xr:uid="{00000000-0005-0000-0000-000042000000}"/>
    <cellStyle name="_kafex_RA_04" xfId="116" xr:uid="{00000000-0005-0000-0000-000043000000}"/>
    <cellStyle name="_KFAEX__RAB-2-certified" xfId="117" xr:uid="{00000000-0005-0000-0000-000044000000}"/>
    <cellStyle name="_kOLKATA OH - 12TH JUNE-08" xfId="118" xr:uid="{00000000-0005-0000-0000-000045000000}"/>
    <cellStyle name="_Mantri - Revised" xfId="119" xr:uid="{00000000-0005-0000-0000-000046000000}"/>
    <cellStyle name="_M-BOOK BILL-6 (EXT)-Final" xfId="120" xr:uid="{00000000-0005-0000-0000-000047000000}"/>
    <cellStyle name="_MERB-263-B" xfId="121" xr:uid="{00000000-0005-0000-0000-000048000000}"/>
    <cellStyle name="_MERB-263-B(Final Abstract)" xfId="122" xr:uid="{00000000-0005-0000-0000-000049000000}"/>
    <cellStyle name="_Micron- Certified" xfId="123" xr:uid="{00000000-0005-0000-0000-00004A000000}"/>
    <cellStyle name="_Micron RAB-4 Certified" xfId="124" xr:uid="{00000000-0005-0000-0000-00004B000000}"/>
    <cellStyle name="_Micron RAB-5 Certified(Final-13-11-06)" xfId="125" xr:uid="{00000000-0005-0000-0000-00004C000000}"/>
    <cellStyle name="_Micron RAB-5Certified(Final)" xfId="126" xr:uid="{00000000-0005-0000-0000-00004D000000}"/>
    <cellStyle name="_Oberoi Splendor 050609" xfId="127" xr:uid="{00000000-0005-0000-0000-00004E000000}"/>
    <cellStyle name="_Ocwen - 1" xfId="128" xr:uid="{00000000-0005-0000-0000-00004F000000}"/>
    <cellStyle name="_Ocwen - Ñ" xfId="129" xr:uid="{00000000-0005-0000-0000-000050000000}"/>
    <cellStyle name="_OH cost-TC-II" xfId="130" xr:uid="{00000000-0005-0000-0000-000051000000}"/>
    <cellStyle name="_OTIS RA-1 (Certified)Dated 02.06.06" xfId="131" xr:uid="{00000000-0005-0000-0000-000052000000}"/>
    <cellStyle name="_OTIS RA-1 final -Certified - Dated 08.06.06( R2)" xfId="132" xr:uid="{00000000-0005-0000-0000-000053000000}"/>
    <cellStyle name="_OTIS_RA_03" xfId="133" xr:uid="{00000000-0005-0000-0000-000054000000}"/>
    <cellStyle name="_OTIS_RA-02 c&amp;b certified" xfId="134" xr:uid="{00000000-0005-0000-0000-000055000000}"/>
    <cellStyle name="_OTIS_RA-03 c&amp;b certified" xfId="135" xr:uid="{00000000-0005-0000-0000-000056000000}"/>
    <cellStyle name="_Package 3 - Analysis 26th Sep-05" xfId="136" xr:uid="{00000000-0005-0000-0000-000057000000}"/>
    <cellStyle name="_Prestart-00-HO-FINAL-Approved" xfId="137" xr:uid="{00000000-0005-0000-0000-000058000000}"/>
    <cellStyle name="_Prestart-00-HO-FINAL-Approved_L&amp;M" xfId="138" xr:uid="{00000000-0005-0000-0000-000059000000}"/>
    <cellStyle name="_Prestart-00-HO-FINAL-Approved_SPCL Submission - Rates to be reviewed-1" xfId="139" xr:uid="{00000000-0005-0000-0000-00005A000000}"/>
    <cellStyle name="_Prestige - HP Campus" xfId="140" xr:uid="{00000000-0005-0000-0000-00005B000000}"/>
    <cellStyle name="_Prestige Corporate Office" xfId="141" xr:uid="{00000000-0005-0000-0000-00005C000000}"/>
    <cellStyle name="_Quantities per flat by AVY" xfId="142" xr:uid="{00000000-0005-0000-0000-00005D000000}"/>
    <cellStyle name="_R(1).A_01_Santech(certified)" xfId="143" xr:uid="{00000000-0005-0000-0000-00005E000000}"/>
    <cellStyle name="_R(1).A_01_Santech-final-certified" xfId="144" xr:uid="{00000000-0005-0000-0000-00005F000000}"/>
    <cellStyle name="_RA - BILL - 4 - certified" xfId="145" xr:uid="{00000000-0005-0000-0000-000060000000}"/>
    <cellStyle name="_RA_01_KAFAX-CERTIFIED" xfId="146" xr:uid="{00000000-0005-0000-0000-000061000000}"/>
    <cellStyle name="_RA_01_KAFAX-final-certified" xfId="147" xr:uid="{00000000-0005-0000-0000-000062000000}"/>
    <cellStyle name="_rab-02" xfId="148" xr:uid="{00000000-0005-0000-0000-000063000000}"/>
    <cellStyle name="_rab-03" xfId="149" xr:uid="{00000000-0005-0000-0000-000064000000}"/>
    <cellStyle name="_Ranchi Package 2 - Workings" xfId="150" xr:uid="{00000000-0005-0000-0000-000065000000}"/>
    <cellStyle name="_RB BILL-01-MS Barricading Works" xfId="151" xr:uid="{00000000-0005-0000-0000-000066000000}"/>
    <cellStyle name="_RMZ  Futura" xfId="152" xr:uid="{00000000-0005-0000-0000-000067000000}"/>
    <cellStyle name="_RMZ Millinea (ACS, CCTV &amp; BMS) - 05.09.07R7(SiemensBMS)" xfId="153" xr:uid="{00000000-0005-0000-0000-000068000000}"/>
    <cellStyle name="_S.G. Software - BOQ" xfId="154" xr:uid="{00000000-0005-0000-0000-000069000000}"/>
    <cellStyle name="_Santech_bill_certified" xfId="155" xr:uid="{00000000-0005-0000-0000-00006A000000}"/>
    <cellStyle name="_Santech_M.Sheet-Abstract" xfId="156" xr:uid="{00000000-0005-0000-0000-00006B000000}"/>
    <cellStyle name="_SANTECH_RAB_2-CERTIFIED" xfId="157" xr:uid="{00000000-0005-0000-0000-00006C000000}"/>
    <cellStyle name="_SC PAID AMOUNT-Up to July-08" xfId="158" xr:uid="{00000000-0005-0000-0000-00006D000000}"/>
    <cellStyle name="_Shell - Afas &amp; Pa - 23.05.06" xfId="159" xr:uid="{00000000-0005-0000-0000-00006E000000}"/>
    <cellStyle name="_Shirdi" xfId="160" xr:uid="{00000000-0005-0000-0000-00006F000000}"/>
    <cellStyle name="_Siemens Worksheet" xfId="161" xr:uid="{00000000-0005-0000-0000-000070000000}"/>
    <cellStyle name="_Taj Yeshwanthpur Running Bill I" xfId="162" xr:uid="{00000000-0005-0000-0000-000071000000}"/>
    <cellStyle name="_TCG Software Park (Tender) - 01.11.07" xfId="163" xr:uid="{00000000-0005-0000-0000-000072000000}"/>
    <cellStyle name="_TCS Analysis -Revised 25th Aug-06-R1- Final Submitted" xfId="164" xr:uid="{00000000-0005-0000-0000-000073000000}"/>
    <cellStyle name="_Tender Workings" xfId="165" xr:uid="{00000000-0005-0000-0000-000074000000}"/>
    <cellStyle name="_Tender Workings - By HQ" xfId="166" xr:uid="{00000000-0005-0000-0000-000075000000}"/>
    <cellStyle name="_TFC - Misc Interior Worksl - Ram Teerath- 17.13.2011" xfId="167" xr:uid="{00000000-0005-0000-0000-000076000000}"/>
    <cellStyle name="_TFC-External paint-Royal Touch- RAB 02" xfId="168" xr:uid="{00000000-0005-0000-0000-000077000000}"/>
    <cellStyle name="_TFC-Gazel Architectures  -Final Bill - (29.03.11)" xfId="169" xr:uid="{00000000-0005-0000-0000-000078000000}"/>
    <cellStyle name="_TX IO Current Calculation" xfId="170" xr:uid="{00000000-0005-0000-0000-000079000000}"/>
    <cellStyle name="_Typical Analysis Data" xfId="171" xr:uid="{00000000-0005-0000-0000-00007A000000}"/>
    <cellStyle name="_Typical Analysis Data1" xfId="172" xr:uid="{00000000-0005-0000-0000-00007B000000}"/>
    <cellStyle name="_Vysya Bank - Mittal Towers" xfId="173" xr:uid="{00000000-0005-0000-0000-00007C000000}"/>
    <cellStyle name="_Whitefield Palms (BMS) - 20.07.07" xfId="174" xr:uid="{00000000-0005-0000-0000-00007D000000}"/>
    <cellStyle name="_Working micron Ext.Final" xfId="175" xr:uid="{00000000-0005-0000-0000-00007E000000}"/>
    <cellStyle name="•W€_Electrical" xfId="176" xr:uid="{00000000-0005-0000-0000-00007F000000}"/>
    <cellStyle name="•W_Electrical" xfId="177" xr:uid="{00000000-0005-0000-0000-000080000000}"/>
    <cellStyle name="1/100000" xfId="178" xr:uid="{00000000-0005-0000-0000-000081000000}"/>
    <cellStyle name="20% - Accent1 2" xfId="179" xr:uid="{00000000-0005-0000-0000-000082000000}"/>
    <cellStyle name="20% - Accent1 2 2" xfId="180" xr:uid="{00000000-0005-0000-0000-000083000000}"/>
    <cellStyle name="20% - Accent2 2" xfId="181" xr:uid="{00000000-0005-0000-0000-000084000000}"/>
    <cellStyle name="20% - Accent2 2 2" xfId="182" xr:uid="{00000000-0005-0000-0000-000085000000}"/>
    <cellStyle name="20% - Accent3 2" xfId="183" xr:uid="{00000000-0005-0000-0000-000086000000}"/>
    <cellStyle name="20% - Accent3 2 2" xfId="184" xr:uid="{00000000-0005-0000-0000-000087000000}"/>
    <cellStyle name="20% - Accent4 2" xfId="185" xr:uid="{00000000-0005-0000-0000-000088000000}"/>
    <cellStyle name="20% - Accent4 2 2" xfId="186" xr:uid="{00000000-0005-0000-0000-000089000000}"/>
    <cellStyle name="20% - Accent5 2" xfId="187" xr:uid="{00000000-0005-0000-0000-00008A000000}"/>
    <cellStyle name="20% - Accent5 2 2" xfId="188" xr:uid="{00000000-0005-0000-0000-00008B000000}"/>
    <cellStyle name="20% - Accent6 2" xfId="189" xr:uid="{00000000-0005-0000-0000-00008C000000}"/>
    <cellStyle name="20% - Accent6 2 2" xfId="190" xr:uid="{00000000-0005-0000-0000-00008D000000}"/>
    <cellStyle name="40% - Accent1 2" xfId="191" xr:uid="{00000000-0005-0000-0000-00008E000000}"/>
    <cellStyle name="40% - Accent1 2 2" xfId="192" xr:uid="{00000000-0005-0000-0000-00008F000000}"/>
    <cellStyle name="40% - Accent2 2" xfId="193" xr:uid="{00000000-0005-0000-0000-000090000000}"/>
    <cellStyle name="40% - Accent2 2 2" xfId="194" xr:uid="{00000000-0005-0000-0000-000091000000}"/>
    <cellStyle name="40% - Accent3 2" xfId="195" xr:uid="{00000000-0005-0000-0000-000092000000}"/>
    <cellStyle name="40% - Accent3 2 2" xfId="196" xr:uid="{00000000-0005-0000-0000-000093000000}"/>
    <cellStyle name="40% - Accent4 2" xfId="197" xr:uid="{00000000-0005-0000-0000-000094000000}"/>
    <cellStyle name="40% - Accent4 2 2" xfId="198" xr:uid="{00000000-0005-0000-0000-000095000000}"/>
    <cellStyle name="40% - Accent5 2" xfId="199" xr:uid="{00000000-0005-0000-0000-000096000000}"/>
    <cellStyle name="40% - Accent5 2 2" xfId="200" xr:uid="{00000000-0005-0000-0000-000097000000}"/>
    <cellStyle name="40% - Accent6 2" xfId="201" xr:uid="{00000000-0005-0000-0000-000098000000}"/>
    <cellStyle name="40% - Accent6 2 2" xfId="202" xr:uid="{00000000-0005-0000-0000-000099000000}"/>
    <cellStyle name="60% - Accent1 2" xfId="203" xr:uid="{00000000-0005-0000-0000-00009A000000}"/>
    <cellStyle name="60% - Accent1 2 2" xfId="204" xr:uid="{00000000-0005-0000-0000-00009B000000}"/>
    <cellStyle name="60% - Accent2 2" xfId="205" xr:uid="{00000000-0005-0000-0000-00009C000000}"/>
    <cellStyle name="60% - Accent2 2 2" xfId="206" xr:uid="{00000000-0005-0000-0000-00009D000000}"/>
    <cellStyle name="60% - Accent3 2" xfId="207" xr:uid="{00000000-0005-0000-0000-00009E000000}"/>
    <cellStyle name="60% - Accent3 2 2" xfId="208" xr:uid="{00000000-0005-0000-0000-00009F000000}"/>
    <cellStyle name="60% - Accent4 2" xfId="209" xr:uid="{00000000-0005-0000-0000-0000A0000000}"/>
    <cellStyle name="60% - Accent4 2 2" xfId="210" xr:uid="{00000000-0005-0000-0000-0000A1000000}"/>
    <cellStyle name="60% - Accent5 2" xfId="211" xr:uid="{00000000-0005-0000-0000-0000A2000000}"/>
    <cellStyle name="60% - Accent5 2 2" xfId="212" xr:uid="{00000000-0005-0000-0000-0000A3000000}"/>
    <cellStyle name="60% - Accent6 2" xfId="213" xr:uid="{00000000-0005-0000-0000-0000A4000000}"/>
    <cellStyle name="60% - Accent6 2 2" xfId="214" xr:uid="{00000000-0005-0000-0000-0000A5000000}"/>
    <cellStyle name="75" xfId="215" xr:uid="{00000000-0005-0000-0000-0000A6000000}"/>
    <cellStyle name="Absoloute" xfId="216" xr:uid="{00000000-0005-0000-0000-0000A7000000}"/>
    <cellStyle name="Absoloute;0" xfId="217" xr:uid="{00000000-0005-0000-0000-0000A8000000}"/>
    <cellStyle name="Absoloute_artek98" xfId="218" xr:uid="{00000000-0005-0000-0000-0000A9000000}"/>
    <cellStyle name="Accent1 2" xfId="219" xr:uid="{00000000-0005-0000-0000-0000AA000000}"/>
    <cellStyle name="Accent1 2 2" xfId="220" xr:uid="{00000000-0005-0000-0000-0000AB000000}"/>
    <cellStyle name="Accent2 2" xfId="221" xr:uid="{00000000-0005-0000-0000-0000AC000000}"/>
    <cellStyle name="Accent2 2 2" xfId="222" xr:uid="{00000000-0005-0000-0000-0000AD000000}"/>
    <cellStyle name="Accent3 2" xfId="223" xr:uid="{00000000-0005-0000-0000-0000AE000000}"/>
    <cellStyle name="Accent3 2 2" xfId="224" xr:uid="{00000000-0005-0000-0000-0000AF000000}"/>
    <cellStyle name="Accent4 2" xfId="225" xr:uid="{00000000-0005-0000-0000-0000B0000000}"/>
    <cellStyle name="Accent4 2 2" xfId="226" xr:uid="{00000000-0005-0000-0000-0000B1000000}"/>
    <cellStyle name="Accent5 2" xfId="227" xr:uid="{00000000-0005-0000-0000-0000B2000000}"/>
    <cellStyle name="Accent5 2 2" xfId="228" xr:uid="{00000000-0005-0000-0000-0000B3000000}"/>
    <cellStyle name="Accent6 2" xfId="229" xr:uid="{00000000-0005-0000-0000-0000B4000000}"/>
    <cellStyle name="Accent6 2 2" xfId="230" xr:uid="{00000000-0005-0000-0000-0000B5000000}"/>
    <cellStyle name="active" xfId="231" xr:uid="{00000000-0005-0000-0000-0000B6000000}"/>
    <cellStyle name="ÅëÈ­ [0]_±âÅ¸" xfId="232" xr:uid="{00000000-0005-0000-0000-0000B7000000}"/>
    <cellStyle name="AeE­ [0]_INQUIRY ¿μ¾÷AßAø " xfId="233" xr:uid="{00000000-0005-0000-0000-0000B8000000}"/>
    <cellStyle name="ÅëÈ­_±âÅ¸" xfId="234" xr:uid="{00000000-0005-0000-0000-0000B9000000}"/>
    <cellStyle name="AeE­_INQUIRY ¿μ¾÷AßAø " xfId="235" xr:uid="{00000000-0005-0000-0000-0000BA000000}"/>
    <cellStyle name="Arial1 - Style1" xfId="236" xr:uid="{00000000-0005-0000-0000-0000BB000000}"/>
    <cellStyle name="Arial1 - Style2" xfId="237" xr:uid="{00000000-0005-0000-0000-0000BC000000}"/>
    <cellStyle name="Arial10" xfId="238" xr:uid="{00000000-0005-0000-0000-0000BD000000}"/>
    <cellStyle name="ÄÞ¸¶ [0]_±âÅ¸" xfId="239" xr:uid="{00000000-0005-0000-0000-0000BE000000}"/>
    <cellStyle name="AÞ¸¶ [0]_INQUIRY ¿?¾÷AßAø " xfId="240" xr:uid="{00000000-0005-0000-0000-0000BF000000}"/>
    <cellStyle name="ÄÞ¸¶_±âÅ¸" xfId="241" xr:uid="{00000000-0005-0000-0000-0000C0000000}"/>
    <cellStyle name="AÞ¸¶_INQUIRY ¿?¾÷AßAø " xfId="242" xr:uid="{00000000-0005-0000-0000-0000C1000000}"/>
    <cellStyle name="b1x" xfId="243" xr:uid="{00000000-0005-0000-0000-0000C2000000}"/>
    <cellStyle name="Bad 2" xfId="244" xr:uid="{00000000-0005-0000-0000-0000C3000000}"/>
    <cellStyle name="Bad 2 2" xfId="245" xr:uid="{00000000-0005-0000-0000-0000C4000000}"/>
    <cellStyle name="Black" xfId="246" xr:uid="{00000000-0005-0000-0000-0000C5000000}"/>
    <cellStyle name="Body" xfId="247" xr:uid="{00000000-0005-0000-0000-0000C6000000}"/>
    <cellStyle name="BoQ" xfId="248" xr:uid="{00000000-0005-0000-0000-0000C7000000}"/>
    <cellStyle name="Border" xfId="249" xr:uid="{00000000-0005-0000-0000-0000C8000000}"/>
    <cellStyle name="C                      " xfId="250" xr:uid="{00000000-0005-0000-0000-0000C9000000}"/>
    <cellStyle name="C?AØ_¿?¾÷CoE² " xfId="251" xr:uid="{00000000-0005-0000-0000-0000CA000000}"/>
    <cellStyle name="Ç¥ÁØ_¿¬°£´©°è¿¹»ó" xfId="252" xr:uid="{00000000-0005-0000-0000-0000CB000000}"/>
    <cellStyle name="C￥AØ_¿μ¾÷CoE² " xfId="253" xr:uid="{00000000-0005-0000-0000-0000CC000000}"/>
    <cellStyle name="Ç¥ÁØ_Book1" xfId="254" xr:uid="{00000000-0005-0000-0000-0000CD000000}"/>
    <cellStyle name="Calc Currency (0)" xfId="255" xr:uid="{00000000-0005-0000-0000-0000CE000000}"/>
    <cellStyle name="Calc Currency (0) 10" xfId="256" xr:uid="{00000000-0005-0000-0000-0000CF000000}"/>
    <cellStyle name="Calc Currency (0) 10 2" xfId="257" xr:uid="{00000000-0005-0000-0000-0000D0000000}"/>
    <cellStyle name="Calc Currency (0) 11" xfId="258" xr:uid="{00000000-0005-0000-0000-0000D1000000}"/>
    <cellStyle name="Calc Currency (0) 2" xfId="259" xr:uid="{00000000-0005-0000-0000-0000D2000000}"/>
    <cellStyle name="Calc Currency (0) 2 2" xfId="260" xr:uid="{00000000-0005-0000-0000-0000D3000000}"/>
    <cellStyle name="Calc Currency (0) 3" xfId="261" xr:uid="{00000000-0005-0000-0000-0000D4000000}"/>
    <cellStyle name="Calc Currency (0) 3 2" xfId="262" xr:uid="{00000000-0005-0000-0000-0000D5000000}"/>
    <cellStyle name="Calc Currency (0) 4" xfId="263" xr:uid="{00000000-0005-0000-0000-0000D6000000}"/>
    <cellStyle name="Calc Currency (0) 5" xfId="264" xr:uid="{00000000-0005-0000-0000-0000D7000000}"/>
    <cellStyle name="Calc Currency (0) 6" xfId="265" xr:uid="{00000000-0005-0000-0000-0000D8000000}"/>
    <cellStyle name="Calc Currency (0) 7" xfId="266" xr:uid="{00000000-0005-0000-0000-0000D9000000}"/>
    <cellStyle name="Calc Currency (0) 8" xfId="267" xr:uid="{00000000-0005-0000-0000-0000DA000000}"/>
    <cellStyle name="Calc Currency (0) 9" xfId="268" xr:uid="{00000000-0005-0000-0000-0000DB000000}"/>
    <cellStyle name="Calc Currency (2)" xfId="269" xr:uid="{00000000-0005-0000-0000-0000DC000000}"/>
    <cellStyle name="Calc Percent (0)" xfId="270" xr:uid="{00000000-0005-0000-0000-0000DD000000}"/>
    <cellStyle name="Calc Percent (1)" xfId="271" xr:uid="{00000000-0005-0000-0000-0000DE000000}"/>
    <cellStyle name="Calc Percent (1) 10" xfId="272" xr:uid="{00000000-0005-0000-0000-0000DF000000}"/>
    <cellStyle name="Calc Percent (1) 2" xfId="273" xr:uid="{00000000-0005-0000-0000-0000E0000000}"/>
    <cellStyle name="Calc Percent (1) 3" xfId="274" xr:uid="{00000000-0005-0000-0000-0000E1000000}"/>
    <cellStyle name="Calc Percent (1) 4" xfId="275" xr:uid="{00000000-0005-0000-0000-0000E2000000}"/>
    <cellStyle name="Calc Percent (1) 5" xfId="276" xr:uid="{00000000-0005-0000-0000-0000E3000000}"/>
    <cellStyle name="Calc Percent (1) 6" xfId="277" xr:uid="{00000000-0005-0000-0000-0000E4000000}"/>
    <cellStyle name="Calc Percent (1) 7" xfId="278" xr:uid="{00000000-0005-0000-0000-0000E5000000}"/>
    <cellStyle name="Calc Percent (1) 8" xfId="279" xr:uid="{00000000-0005-0000-0000-0000E6000000}"/>
    <cellStyle name="Calc Percent (1) 9" xfId="280" xr:uid="{00000000-0005-0000-0000-0000E7000000}"/>
    <cellStyle name="Calc Percent (2)" xfId="281" xr:uid="{00000000-0005-0000-0000-0000E8000000}"/>
    <cellStyle name="Calc Percent (2) 10" xfId="282" xr:uid="{00000000-0005-0000-0000-0000E9000000}"/>
    <cellStyle name="Calc Percent (2) 2" xfId="283" xr:uid="{00000000-0005-0000-0000-0000EA000000}"/>
    <cellStyle name="Calc Percent (2) 3" xfId="284" xr:uid="{00000000-0005-0000-0000-0000EB000000}"/>
    <cellStyle name="Calc Percent (2) 4" xfId="285" xr:uid="{00000000-0005-0000-0000-0000EC000000}"/>
    <cellStyle name="Calc Percent (2) 5" xfId="286" xr:uid="{00000000-0005-0000-0000-0000ED000000}"/>
    <cellStyle name="Calc Percent (2) 6" xfId="287" xr:uid="{00000000-0005-0000-0000-0000EE000000}"/>
    <cellStyle name="Calc Percent (2) 7" xfId="288" xr:uid="{00000000-0005-0000-0000-0000EF000000}"/>
    <cellStyle name="Calc Percent (2) 8" xfId="289" xr:uid="{00000000-0005-0000-0000-0000F0000000}"/>
    <cellStyle name="Calc Percent (2) 9" xfId="290" xr:uid="{00000000-0005-0000-0000-0000F1000000}"/>
    <cellStyle name="Calc Units (0)" xfId="291" xr:uid="{00000000-0005-0000-0000-0000F2000000}"/>
    <cellStyle name="Calc Units (0) 10" xfId="292" xr:uid="{00000000-0005-0000-0000-0000F3000000}"/>
    <cellStyle name="Calc Units (0) 11" xfId="293" xr:uid="{00000000-0005-0000-0000-0000F4000000}"/>
    <cellStyle name="Calc Units (0) 2" xfId="294" xr:uid="{00000000-0005-0000-0000-0000F5000000}"/>
    <cellStyle name="Calc Units (0) 2 2" xfId="295" xr:uid="{00000000-0005-0000-0000-0000F6000000}"/>
    <cellStyle name="Calc Units (0) 3" xfId="296" xr:uid="{00000000-0005-0000-0000-0000F7000000}"/>
    <cellStyle name="Calc Units (0) 3 2" xfId="297" xr:uid="{00000000-0005-0000-0000-0000F8000000}"/>
    <cellStyle name="Calc Units (0) 4" xfId="298" xr:uid="{00000000-0005-0000-0000-0000F9000000}"/>
    <cellStyle name="Calc Units (0) 5" xfId="299" xr:uid="{00000000-0005-0000-0000-0000FA000000}"/>
    <cellStyle name="Calc Units (0) 6" xfId="300" xr:uid="{00000000-0005-0000-0000-0000FB000000}"/>
    <cellStyle name="Calc Units (0) 7" xfId="301" xr:uid="{00000000-0005-0000-0000-0000FC000000}"/>
    <cellStyle name="Calc Units (0) 8" xfId="302" xr:uid="{00000000-0005-0000-0000-0000FD000000}"/>
    <cellStyle name="Calc Units (0) 9" xfId="303" xr:uid="{00000000-0005-0000-0000-0000FE000000}"/>
    <cellStyle name="Calc Units (1)" xfId="304" xr:uid="{00000000-0005-0000-0000-0000FF000000}"/>
    <cellStyle name="Calc Units (1) 10" xfId="305" xr:uid="{00000000-0005-0000-0000-000000010000}"/>
    <cellStyle name="Calc Units (1) 11" xfId="306" xr:uid="{00000000-0005-0000-0000-000001010000}"/>
    <cellStyle name="Calc Units (1) 2" xfId="307" xr:uid="{00000000-0005-0000-0000-000002010000}"/>
    <cellStyle name="Calc Units (1) 2 2" xfId="308" xr:uid="{00000000-0005-0000-0000-000003010000}"/>
    <cellStyle name="Calc Units (1) 3" xfId="309" xr:uid="{00000000-0005-0000-0000-000004010000}"/>
    <cellStyle name="Calc Units (1) 3 2" xfId="310" xr:uid="{00000000-0005-0000-0000-000005010000}"/>
    <cellStyle name="Calc Units (1) 4" xfId="311" xr:uid="{00000000-0005-0000-0000-000006010000}"/>
    <cellStyle name="Calc Units (1) 5" xfId="312" xr:uid="{00000000-0005-0000-0000-000007010000}"/>
    <cellStyle name="Calc Units (1) 6" xfId="313" xr:uid="{00000000-0005-0000-0000-000008010000}"/>
    <cellStyle name="Calc Units (1) 7" xfId="314" xr:uid="{00000000-0005-0000-0000-000009010000}"/>
    <cellStyle name="Calc Units (1) 8" xfId="315" xr:uid="{00000000-0005-0000-0000-00000A010000}"/>
    <cellStyle name="Calc Units (1) 9" xfId="316" xr:uid="{00000000-0005-0000-0000-00000B010000}"/>
    <cellStyle name="Calc Units (2)" xfId="317" xr:uid="{00000000-0005-0000-0000-00000C010000}"/>
    <cellStyle name="Calculation 2" xfId="318" xr:uid="{00000000-0005-0000-0000-00000D010000}"/>
    <cellStyle name="Calculation 2 2" xfId="319" xr:uid="{00000000-0005-0000-0000-00000E010000}"/>
    <cellStyle name="category" xfId="320" xr:uid="{00000000-0005-0000-0000-00000F010000}"/>
    <cellStyle name="ccl-tender" xfId="321" xr:uid="{00000000-0005-0000-0000-000010010000}"/>
    <cellStyle name="Check Cell 2" xfId="322" xr:uid="{00000000-0005-0000-0000-000011010000}"/>
    <cellStyle name="Check Cell 2 2" xfId="323" xr:uid="{00000000-0005-0000-0000-000012010000}"/>
    <cellStyle name="Column centered" xfId="324" xr:uid="{00000000-0005-0000-0000-000013010000}"/>
    <cellStyle name="Column text left" xfId="325" xr:uid="{00000000-0005-0000-0000-000014010000}"/>
    <cellStyle name="Comma" xfId="1" builtinId="3"/>
    <cellStyle name="Comma  - Style1" xfId="326" xr:uid="{00000000-0005-0000-0000-000016010000}"/>
    <cellStyle name="Comma  - Style2" xfId="327" xr:uid="{00000000-0005-0000-0000-000017010000}"/>
    <cellStyle name="Comma  - Style3" xfId="328" xr:uid="{00000000-0005-0000-0000-000018010000}"/>
    <cellStyle name="Comma  - Style4" xfId="329" xr:uid="{00000000-0005-0000-0000-000019010000}"/>
    <cellStyle name="Comma  - Style5" xfId="330" xr:uid="{00000000-0005-0000-0000-00001A010000}"/>
    <cellStyle name="Comma  - Style6" xfId="331" xr:uid="{00000000-0005-0000-0000-00001B010000}"/>
    <cellStyle name="Comma  - Style7" xfId="332" xr:uid="{00000000-0005-0000-0000-00001C010000}"/>
    <cellStyle name="Comma  - Style8" xfId="333" xr:uid="{00000000-0005-0000-0000-00001D010000}"/>
    <cellStyle name="Comma [00]" xfId="334" xr:uid="{00000000-0005-0000-0000-00001E010000}"/>
    <cellStyle name="Comma [00] 10" xfId="335" xr:uid="{00000000-0005-0000-0000-00001F010000}"/>
    <cellStyle name="Comma [00] 11" xfId="336" xr:uid="{00000000-0005-0000-0000-000020010000}"/>
    <cellStyle name="Comma [00] 2" xfId="337" xr:uid="{00000000-0005-0000-0000-000021010000}"/>
    <cellStyle name="Comma [00] 2 2" xfId="338" xr:uid="{00000000-0005-0000-0000-000022010000}"/>
    <cellStyle name="Comma [00] 3" xfId="339" xr:uid="{00000000-0005-0000-0000-000023010000}"/>
    <cellStyle name="Comma [00] 3 2" xfId="340" xr:uid="{00000000-0005-0000-0000-000024010000}"/>
    <cellStyle name="Comma [00] 4" xfId="341" xr:uid="{00000000-0005-0000-0000-000025010000}"/>
    <cellStyle name="Comma [00] 5" xfId="342" xr:uid="{00000000-0005-0000-0000-000026010000}"/>
    <cellStyle name="Comma [00] 6" xfId="343" xr:uid="{00000000-0005-0000-0000-000027010000}"/>
    <cellStyle name="Comma [00] 7" xfId="344" xr:uid="{00000000-0005-0000-0000-000028010000}"/>
    <cellStyle name="Comma [00] 8" xfId="345" xr:uid="{00000000-0005-0000-0000-000029010000}"/>
    <cellStyle name="Comma [00] 9" xfId="346" xr:uid="{00000000-0005-0000-0000-00002A010000}"/>
    <cellStyle name="Comma 10" xfId="39" xr:uid="{00000000-0005-0000-0000-00002B010000}"/>
    <cellStyle name="Comma 10 13" xfId="1248" xr:uid="{00000000-0005-0000-0000-00002C010000}"/>
    <cellStyle name="Comma 10 2" xfId="14" xr:uid="{00000000-0005-0000-0000-00002D010000}"/>
    <cellStyle name="Comma 10 2 2" xfId="26" xr:uid="{00000000-0005-0000-0000-00002E010000}"/>
    <cellStyle name="Comma 10 3" xfId="12" xr:uid="{00000000-0005-0000-0000-00002F010000}"/>
    <cellStyle name="Comma 10 3 2" xfId="1264" xr:uid="{00000000-0005-0000-0000-000030010000}"/>
    <cellStyle name="Comma 10 3 2 2 2" xfId="1291" xr:uid="{00000000-0005-0000-0000-000031010000}"/>
    <cellStyle name="Comma 10 3 2 3" xfId="4" xr:uid="{00000000-0005-0000-0000-000032010000}"/>
    <cellStyle name="Comma 10 3 2 3 2" xfId="11" xr:uid="{00000000-0005-0000-0000-000033010000}"/>
    <cellStyle name="Comma 10 3 3" xfId="44" xr:uid="{00000000-0005-0000-0000-000034010000}"/>
    <cellStyle name="Comma 10 4" xfId="1247" xr:uid="{00000000-0005-0000-0000-000035010000}"/>
    <cellStyle name="Comma 10_Block11- 28.03.11" xfId="347" xr:uid="{00000000-0005-0000-0000-000036010000}"/>
    <cellStyle name="Comma 11" xfId="348" xr:uid="{00000000-0005-0000-0000-000037010000}"/>
    <cellStyle name="Comma 11 2" xfId="349" xr:uid="{00000000-0005-0000-0000-000038010000}"/>
    <cellStyle name="Comma 12" xfId="350" xr:uid="{00000000-0005-0000-0000-000039010000}"/>
    <cellStyle name="Comma 13" xfId="351" xr:uid="{00000000-0005-0000-0000-00003A010000}"/>
    <cellStyle name="Comma 13 2" xfId="352" xr:uid="{00000000-0005-0000-0000-00003B010000}"/>
    <cellStyle name="Comma 13 3" xfId="353" xr:uid="{00000000-0005-0000-0000-00003C010000}"/>
    <cellStyle name="Comma 14" xfId="354" xr:uid="{00000000-0005-0000-0000-00003D010000}"/>
    <cellStyle name="Comma 15" xfId="355" xr:uid="{00000000-0005-0000-0000-00003E010000}"/>
    <cellStyle name="Comma 15 2" xfId="356" xr:uid="{00000000-0005-0000-0000-00003F010000}"/>
    <cellStyle name="Comma 16" xfId="357" xr:uid="{00000000-0005-0000-0000-000040010000}"/>
    <cellStyle name="Comma 16 2" xfId="358" xr:uid="{00000000-0005-0000-0000-000041010000}"/>
    <cellStyle name="Comma 17" xfId="359" xr:uid="{00000000-0005-0000-0000-000042010000}"/>
    <cellStyle name="Comma 18" xfId="360" xr:uid="{00000000-0005-0000-0000-000043010000}"/>
    <cellStyle name="Comma 19" xfId="361" xr:uid="{00000000-0005-0000-0000-000044010000}"/>
    <cellStyle name="Comma 2" xfId="8" xr:uid="{00000000-0005-0000-0000-000045010000}"/>
    <cellStyle name="Comma 2 17 2" xfId="1271" xr:uid="{00000000-0005-0000-0000-000046010000}"/>
    <cellStyle name="Comma 2 2" xfId="15" xr:uid="{00000000-0005-0000-0000-000047010000}"/>
    <cellStyle name="Comma 2 2 2" xfId="27" xr:uid="{00000000-0005-0000-0000-000048010000}"/>
    <cellStyle name="Comma 2 2 2 2 2" xfId="46" xr:uid="{00000000-0005-0000-0000-000049010000}"/>
    <cellStyle name="Comma 2 2 3" xfId="40" xr:uid="{00000000-0005-0000-0000-00004A010000}"/>
    <cellStyle name="Comma 2 2 3 2" xfId="37" xr:uid="{00000000-0005-0000-0000-00004B010000}"/>
    <cellStyle name="Comma 2 3" xfId="362" xr:uid="{00000000-0005-0000-0000-00004C010000}"/>
    <cellStyle name="Comma 2 3 2" xfId="35" xr:uid="{00000000-0005-0000-0000-00004D010000}"/>
    <cellStyle name="Comma 2 4" xfId="363" xr:uid="{00000000-0005-0000-0000-00004E010000}"/>
    <cellStyle name="Comma 2 4 10" xfId="364" xr:uid="{00000000-0005-0000-0000-00004F010000}"/>
    <cellStyle name="Comma 2 4 11" xfId="365" xr:uid="{00000000-0005-0000-0000-000050010000}"/>
    <cellStyle name="Comma 2 4 12" xfId="1294" xr:uid="{00000000-0005-0000-0000-000051010000}"/>
    <cellStyle name="Comma 2 4 2" xfId="366" xr:uid="{00000000-0005-0000-0000-000052010000}"/>
    <cellStyle name="Comma 2 4 2 2" xfId="1284" xr:uid="{00000000-0005-0000-0000-000053010000}"/>
    <cellStyle name="Comma 2 4 2 2 5" xfId="1286" xr:uid="{00000000-0005-0000-0000-000054010000}"/>
    <cellStyle name="Comma 2 4 3" xfId="367" xr:uid="{00000000-0005-0000-0000-000055010000}"/>
    <cellStyle name="Comma 2 4 4" xfId="368" xr:uid="{00000000-0005-0000-0000-000056010000}"/>
    <cellStyle name="Comma 2 4 5" xfId="369" xr:uid="{00000000-0005-0000-0000-000057010000}"/>
    <cellStyle name="Comma 2 4 6" xfId="370" xr:uid="{00000000-0005-0000-0000-000058010000}"/>
    <cellStyle name="Comma 2 4 7" xfId="371" xr:uid="{00000000-0005-0000-0000-000059010000}"/>
    <cellStyle name="Comma 2 4 8" xfId="372" xr:uid="{00000000-0005-0000-0000-00005A010000}"/>
    <cellStyle name="Comma 2 4 9" xfId="373" xr:uid="{00000000-0005-0000-0000-00005B010000}"/>
    <cellStyle name="Comma 2 5" xfId="374" xr:uid="{00000000-0005-0000-0000-00005C010000}"/>
    <cellStyle name="Comma 2 5 10" xfId="375" xr:uid="{00000000-0005-0000-0000-00005D010000}"/>
    <cellStyle name="Comma 2 5 11" xfId="376" xr:uid="{00000000-0005-0000-0000-00005E010000}"/>
    <cellStyle name="Comma 2 5 2" xfId="377" xr:uid="{00000000-0005-0000-0000-00005F010000}"/>
    <cellStyle name="Comma 2 5 3" xfId="378" xr:uid="{00000000-0005-0000-0000-000060010000}"/>
    <cellStyle name="Comma 2 5 4" xfId="379" xr:uid="{00000000-0005-0000-0000-000061010000}"/>
    <cellStyle name="Comma 2 5 5" xfId="380" xr:uid="{00000000-0005-0000-0000-000062010000}"/>
    <cellStyle name="Comma 2 5 6" xfId="381" xr:uid="{00000000-0005-0000-0000-000063010000}"/>
    <cellStyle name="Comma 2 5 7" xfId="382" xr:uid="{00000000-0005-0000-0000-000064010000}"/>
    <cellStyle name="Comma 2 5 8" xfId="383" xr:uid="{00000000-0005-0000-0000-000065010000}"/>
    <cellStyle name="Comma 2 5 9" xfId="384" xr:uid="{00000000-0005-0000-0000-000066010000}"/>
    <cellStyle name="Comma 2 6" xfId="385" xr:uid="{00000000-0005-0000-0000-000067010000}"/>
    <cellStyle name="Comma 2 6 2" xfId="386" xr:uid="{00000000-0005-0000-0000-000068010000}"/>
    <cellStyle name="Comma 2 7" xfId="387" xr:uid="{00000000-0005-0000-0000-000069010000}"/>
    <cellStyle name="Comma 2 8" xfId="25" xr:uid="{00000000-0005-0000-0000-00006A010000}"/>
    <cellStyle name="Comma 2 9" xfId="1293" xr:uid="{00000000-0005-0000-0000-00006B010000}"/>
    <cellStyle name="Comma 2_A2 blockwork SG-25.03.11" xfId="388" xr:uid="{00000000-0005-0000-0000-00006C010000}"/>
    <cellStyle name="Comma 20" xfId="389" xr:uid="{00000000-0005-0000-0000-00006D010000}"/>
    <cellStyle name="Comma 20 10" xfId="24" xr:uid="{00000000-0005-0000-0000-00006E010000}"/>
    <cellStyle name="Comma 20 10 2" xfId="31" xr:uid="{00000000-0005-0000-0000-00006F010000}"/>
    <cellStyle name="Comma 20 10 3" xfId="33" xr:uid="{00000000-0005-0000-0000-000070010000}"/>
    <cellStyle name="Comma 20 11" xfId="390" xr:uid="{00000000-0005-0000-0000-000071010000}"/>
    <cellStyle name="Comma 20 2" xfId="391" xr:uid="{00000000-0005-0000-0000-000072010000}"/>
    <cellStyle name="Comma 20 3" xfId="392" xr:uid="{00000000-0005-0000-0000-000073010000}"/>
    <cellStyle name="Comma 20 4" xfId="393" xr:uid="{00000000-0005-0000-0000-000074010000}"/>
    <cellStyle name="Comma 20 5" xfId="394" xr:uid="{00000000-0005-0000-0000-000075010000}"/>
    <cellStyle name="Comma 20 6" xfId="395" xr:uid="{00000000-0005-0000-0000-000076010000}"/>
    <cellStyle name="Comma 20 7" xfId="396" xr:uid="{00000000-0005-0000-0000-000077010000}"/>
    <cellStyle name="Comma 20 8" xfId="397" xr:uid="{00000000-0005-0000-0000-000078010000}"/>
    <cellStyle name="Comma 20 9" xfId="398" xr:uid="{00000000-0005-0000-0000-000079010000}"/>
    <cellStyle name="Comma 21" xfId="399" xr:uid="{00000000-0005-0000-0000-00007A010000}"/>
    <cellStyle name="Comma 22" xfId="400" xr:uid="{00000000-0005-0000-0000-00007B010000}"/>
    <cellStyle name="Comma 22 10" xfId="401" xr:uid="{00000000-0005-0000-0000-00007C010000}"/>
    <cellStyle name="Comma 22 11" xfId="402" xr:uid="{00000000-0005-0000-0000-00007D010000}"/>
    <cellStyle name="Comma 22 2" xfId="403" xr:uid="{00000000-0005-0000-0000-00007E010000}"/>
    <cellStyle name="Comma 22 3" xfId="404" xr:uid="{00000000-0005-0000-0000-00007F010000}"/>
    <cellStyle name="Comma 22 4" xfId="405" xr:uid="{00000000-0005-0000-0000-000080010000}"/>
    <cellStyle name="Comma 22 5" xfId="406" xr:uid="{00000000-0005-0000-0000-000081010000}"/>
    <cellStyle name="Comma 22 6" xfId="407" xr:uid="{00000000-0005-0000-0000-000082010000}"/>
    <cellStyle name="Comma 22 7" xfId="408" xr:uid="{00000000-0005-0000-0000-000083010000}"/>
    <cellStyle name="Comma 22 8" xfId="409" xr:uid="{00000000-0005-0000-0000-000084010000}"/>
    <cellStyle name="Comma 22 9" xfId="410" xr:uid="{00000000-0005-0000-0000-000085010000}"/>
    <cellStyle name="Comma 23" xfId="411" xr:uid="{00000000-0005-0000-0000-000086010000}"/>
    <cellStyle name="Comma 24" xfId="412" xr:uid="{00000000-0005-0000-0000-000087010000}"/>
    <cellStyle name="Comma 24 2" xfId="413" xr:uid="{00000000-0005-0000-0000-000088010000}"/>
    <cellStyle name="Comma 25" xfId="414" xr:uid="{00000000-0005-0000-0000-000089010000}"/>
    <cellStyle name="Comma 26" xfId="1252" xr:uid="{00000000-0005-0000-0000-00008A010000}"/>
    <cellStyle name="Comma 27" xfId="43" xr:uid="{00000000-0005-0000-0000-00008B010000}"/>
    <cellStyle name="Comma 27 3" xfId="1249" xr:uid="{00000000-0005-0000-0000-00008C010000}"/>
    <cellStyle name="Comma 27 3 2" xfId="1265" xr:uid="{00000000-0005-0000-0000-00008D010000}"/>
    <cellStyle name="Comma 28" xfId="1270" xr:uid="{00000000-0005-0000-0000-00008E010000}"/>
    <cellStyle name="Comma 29" xfId="1274" xr:uid="{00000000-0005-0000-0000-00008F010000}"/>
    <cellStyle name="Comma 3" xfId="9" xr:uid="{00000000-0005-0000-0000-000090010000}"/>
    <cellStyle name="Comma 3 10" xfId="415" xr:uid="{00000000-0005-0000-0000-000091010000}"/>
    <cellStyle name="Comma 3 11" xfId="416" xr:uid="{00000000-0005-0000-0000-000092010000}"/>
    <cellStyle name="Comma 3 12" xfId="417" xr:uid="{00000000-0005-0000-0000-000093010000}"/>
    <cellStyle name="Comma 3 13" xfId="418" xr:uid="{00000000-0005-0000-0000-000094010000}"/>
    <cellStyle name="Comma 3 14" xfId="32" xr:uid="{00000000-0005-0000-0000-000095010000}"/>
    <cellStyle name="Comma 3 2" xfId="16" xr:uid="{00000000-0005-0000-0000-000096010000}"/>
    <cellStyle name="Comma 3 2 10" xfId="38" xr:uid="{00000000-0005-0000-0000-000097010000}"/>
    <cellStyle name="Comma 3 2 10 2" xfId="1267" xr:uid="{00000000-0005-0000-0000-000098010000}"/>
    <cellStyle name="Comma 3 2 2" xfId="28" xr:uid="{00000000-0005-0000-0000-000099010000}"/>
    <cellStyle name="Comma 3 2 5" xfId="419" xr:uid="{00000000-0005-0000-0000-00009A010000}"/>
    <cellStyle name="Comma 3 3" xfId="420" xr:uid="{00000000-0005-0000-0000-00009B010000}"/>
    <cellStyle name="Comma 3 4" xfId="421" xr:uid="{00000000-0005-0000-0000-00009C010000}"/>
    <cellStyle name="Comma 3 5" xfId="422" xr:uid="{00000000-0005-0000-0000-00009D010000}"/>
    <cellStyle name="Comma 3 6" xfId="423" xr:uid="{00000000-0005-0000-0000-00009E010000}"/>
    <cellStyle name="Comma 3 7" xfId="424" xr:uid="{00000000-0005-0000-0000-00009F010000}"/>
    <cellStyle name="Comma 3 8" xfId="425" xr:uid="{00000000-0005-0000-0000-0000A0010000}"/>
    <cellStyle name="Comma 3 9" xfId="426" xr:uid="{00000000-0005-0000-0000-0000A1010000}"/>
    <cellStyle name="Comma 3_All " xfId="427" xr:uid="{00000000-0005-0000-0000-0000A2010000}"/>
    <cellStyle name="Comma 30" xfId="13" xr:uid="{00000000-0005-0000-0000-0000A3010000}"/>
    <cellStyle name="Comma 31" xfId="1289" xr:uid="{00000000-0005-0000-0000-0000A4010000}"/>
    <cellStyle name="Comma 32" xfId="10" xr:uid="{00000000-0005-0000-0000-0000A5010000}"/>
    <cellStyle name="Comma 33" xfId="1290" xr:uid="{00000000-0005-0000-0000-0000A6010000}"/>
    <cellStyle name="Comma 4" xfId="45" xr:uid="{00000000-0005-0000-0000-0000A7010000}"/>
    <cellStyle name="Comma 4 2" xfId="428" xr:uid="{00000000-0005-0000-0000-0000A8010000}"/>
    <cellStyle name="Comma 4 2 2" xfId="429" xr:uid="{00000000-0005-0000-0000-0000A9010000}"/>
    <cellStyle name="Comma 4 3" xfId="430" xr:uid="{00000000-0005-0000-0000-0000AA010000}"/>
    <cellStyle name="Comma 5" xfId="431" xr:uid="{00000000-0005-0000-0000-0000AB010000}"/>
    <cellStyle name="Comma 5 2" xfId="432" xr:uid="{00000000-0005-0000-0000-0000AC010000}"/>
    <cellStyle name="Comma 5 2 2" xfId="433" xr:uid="{00000000-0005-0000-0000-0000AD010000}"/>
    <cellStyle name="Comma 5 3" xfId="434" xr:uid="{00000000-0005-0000-0000-0000AE010000}"/>
    <cellStyle name="Comma 5 4" xfId="435" xr:uid="{00000000-0005-0000-0000-0000AF010000}"/>
    <cellStyle name="Comma 6" xfId="436" xr:uid="{00000000-0005-0000-0000-0000B0010000}"/>
    <cellStyle name="Comma 6 2" xfId="437" xr:uid="{00000000-0005-0000-0000-0000B1010000}"/>
    <cellStyle name="Comma 6 2 8" xfId="1283" xr:uid="{00000000-0005-0000-0000-0000B2010000}"/>
    <cellStyle name="Comma 6 3" xfId="438" xr:uid="{00000000-0005-0000-0000-0000B3010000}"/>
    <cellStyle name="Comma 7" xfId="439" xr:uid="{00000000-0005-0000-0000-0000B4010000}"/>
    <cellStyle name="Comma 7 2" xfId="440" xr:uid="{00000000-0005-0000-0000-0000B5010000}"/>
    <cellStyle name="Comma 7 3" xfId="441" xr:uid="{00000000-0005-0000-0000-0000B6010000}"/>
    <cellStyle name="Comma 7 4" xfId="442" xr:uid="{00000000-0005-0000-0000-0000B7010000}"/>
    <cellStyle name="Comma 7_All " xfId="443" xr:uid="{00000000-0005-0000-0000-0000B8010000}"/>
    <cellStyle name="Comma 8" xfId="444" xr:uid="{00000000-0005-0000-0000-0000B9010000}"/>
    <cellStyle name="Comma 8 2" xfId="17" xr:uid="{00000000-0005-0000-0000-0000BA010000}"/>
    <cellStyle name="Comma 8 2 2" xfId="29" xr:uid="{00000000-0005-0000-0000-0000BB010000}"/>
    <cellStyle name="Comma 8 3" xfId="445" xr:uid="{00000000-0005-0000-0000-0000BC010000}"/>
    <cellStyle name="Comma 9" xfId="18" xr:uid="{00000000-0005-0000-0000-0000BD010000}"/>
    <cellStyle name="Comma 9 2" xfId="30" xr:uid="{00000000-0005-0000-0000-0000BE010000}"/>
    <cellStyle name="comma zerodec" xfId="446" xr:uid="{00000000-0005-0000-0000-0000BF010000}"/>
    <cellStyle name="comma zerodec 2" xfId="447" xr:uid="{00000000-0005-0000-0000-0000C0010000}"/>
    <cellStyle name="Comma0" xfId="448" xr:uid="{00000000-0005-0000-0000-0000C1010000}"/>
    <cellStyle name="Comma0 10" xfId="449" xr:uid="{00000000-0005-0000-0000-0000C2010000}"/>
    <cellStyle name="Comma0 2" xfId="450" xr:uid="{00000000-0005-0000-0000-0000C3010000}"/>
    <cellStyle name="Comma0 3" xfId="451" xr:uid="{00000000-0005-0000-0000-0000C4010000}"/>
    <cellStyle name="Comma0 4" xfId="452" xr:uid="{00000000-0005-0000-0000-0000C5010000}"/>
    <cellStyle name="Comma0 5" xfId="453" xr:uid="{00000000-0005-0000-0000-0000C6010000}"/>
    <cellStyle name="Comma0 6" xfId="454" xr:uid="{00000000-0005-0000-0000-0000C7010000}"/>
    <cellStyle name="Comma0 7" xfId="455" xr:uid="{00000000-0005-0000-0000-0000C8010000}"/>
    <cellStyle name="Comma0 8" xfId="456" xr:uid="{00000000-0005-0000-0000-0000C9010000}"/>
    <cellStyle name="Comma0 9" xfId="457" xr:uid="{00000000-0005-0000-0000-0000CA010000}"/>
    <cellStyle name="Copied" xfId="458" xr:uid="{00000000-0005-0000-0000-0000CB010000}"/>
    <cellStyle name="Copied 10" xfId="459" xr:uid="{00000000-0005-0000-0000-0000CC010000}"/>
    <cellStyle name="Copied 2" xfId="460" xr:uid="{00000000-0005-0000-0000-0000CD010000}"/>
    <cellStyle name="Copied 3" xfId="461" xr:uid="{00000000-0005-0000-0000-0000CE010000}"/>
    <cellStyle name="Copied 4" xfId="462" xr:uid="{00000000-0005-0000-0000-0000CF010000}"/>
    <cellStyle name="Copied 5" xfId="463" xr:uid="{00000000-0005-0000-0000-0000D0010000}"/>
    <cellStyle name="Copied 6" xfId="464" xr:uid="{00000000-0005-0000-0000-0000D1010000}"/>
    <cellStyle name="Copied 7" xfId="465" xr:uid="{00000000-0005-0000-0000-0000D2010000}"/>
    <cellStyle name="Copied 8" xfId="466" xr:uid="{00000000-0005-0000-0000-0000D3010000}"/>
    <cellStyle name="Copied 9" xfId="467" xr:uid="{00000000-0005-0000-0000-0000D4010000}"/>
    <cellStyle name="COURIER" xfId="468" xr:uid="{00000000-0005-0000-0000-0000D5010000}"/>
    <cellStyle name="CSI" xfId="469" xr:uid="{00000000-0005-0000-0000-0000D6010000}"/>
    <cellStyle name="Currency $" xfId="470" xr:uid="{00000000-0005-0000-0000-0000D7010000}"/>
    <cellStyle name="Currency [00]" xfId="471" xr:uid="{00000000-0005-0000-0000-0000D8010000}"/>
    <cellStyle name="Currency 2" xfId="472" xr:uid="{00000000-0005-0000-0000-0000D9010000}"/>
    <cellStyle name="Currency 3" xfId="473" xr:uid="{00000000-0005-0000-0000-0000DA010000}"/>
    <cellStyle name="Currency0" xfId="474" xr:uid="{00000000-0005-0000-0000-0000DB010000}"/>
    <cellStyle name="Currency0 10" xfId="475" xr:uid="{00000000-0005-0000-0000-0000DC010000}"/>
    <cellStyle name="Currency0 2" xfId="476" xr:uid="{00000000-0005-0000-0000-0000DD010000}"/>
    <cellStyle name="Currency0 3" xfId="477" xr:uid="{00000000-0005-0000-0000-0000DE010000}"/>
    <cellStyle name="Currency0 4" xfId="478" xr:uid="{00000000-0005-0000-0000-0000DF010000}"/>
    <cellStyle name="Currency0 5" xfId="479" xr:uid="{00000000-0005-0000-0000-0000E0010000}"/>
    <cellStyle name="Currency0 6" xfId="480" xr:uid="{00000000-0005-0000-0000-0000E1010000}"/>
    <cellStyle name="Currency0 7" xfId="481" xr:uid="{00000000-0005-0000-0000-0000E2010000}"/>
    <cellStyle name="Currency0 8" xfId="482" xr:uid="{00000000-0005-0000-0000-0000E3010000}"/>
    <cellStyle name="Currency0 9" xfId="483" xr:uid="{00000000-0005-0000-0000-0000E4010000}"/>
    <cellStyle name="Currency1" xfId="484" xr:uid="{00000000-0005-0000-0000-0000E5010000}"/>
    <cellStyle name="Currency1 2" xfId="485" xr:uid="{00000000-0005-0000-0000-0000E6010000}"/>
    <cellStyle name="Custom - Style8" xfId="486" xr:uid="{00000000-0005-0000-0000-0000E7010000}"/>
    <cellStyle name="Data   - Style2" xfId="487" xr:uid="{00000000-0005-0000-0000-0000E8010000}"/>
    <cellStyle name="Date" xfId="488" xr:uid="{00000000-0005-0000-0000-0000E9010000}"/>
    <cellStyle name="Date 10" xfId="489" xr:uid="{00000000-0005-0000-0000-0000EA010000}"/>
    <cellStyle name="Date 2" xfId="490" xr:uid="{00000000-0005-0000-0000-0000EB010000}"/>
    <cellStyle name="Date 3" xfId="491" xr:uid="{00000000-0005-0000-0000-0000EC010000}"/>
    <cellStyle name="Date 4" xfId="492" xr:uid="{00000000-0005-0000-0000-0000ED010000}"/>
    <cellStyle name="Date 5" xfId="493" xr:uid="{00000000-0005-0000-0000-0000EE010000}"/>
    <cellStyle name="Date 6" xfId="494" xr:uid="{00000000-0005-0000-0000-0000EF010000}"/>
    <cellStyle name="Date 7" xfId="495" xr:uid="{00000000-0005-0000-0000-0000F0010000}"/>
    <cellStyle name="Date 8" xfId="496" xr:uid="{00000000-0005-0000-0000-0000F1010000}"/>
    <cellStyle name="Date 9" xfId="497" xr:uid="{00000000-0005-0000-0000-0000F2010000}"/>
    <cellStyle name="Date Short" xfId="498" xr:uid="{00000000-0005-0000-0000-0000F3010000}"/>
    <cellStyle name="Date_Basic Rates" xfId="499" xr:uid="{00000000-0005-0000-0000-0000F4010000}"/>
    <cellStyle name="DELTA" xfId="500" xr:uid="{00000000-0005-0000-0000-0000F5010000}"/>
    <cellStyle name="DELTA 10" xfId="501" xr:uid="{00000000-0005-0000-0000-0000F6010000}"/>
    <cellStyle name="DELTA 11" xfId="502" xr:uid="{00000000-0005-0000-0000-0000F7010000}"/>
    <cellStyle name="DELTA 2" xfId="503" xr:uid="{00000000-0005-0000-0000-0000F8010000}"/>
    <cellStyle name="DELTA 2 2" xfId="504" xr:uid="{00000000-0005-0000-0000-0000F9010000}"/>
    <cellStyle name="DELTA 3" xfId="505" xr:uid="{00000000-0005-0000-0000-0000FA010000}"/>
    <cellStyle name="DELTA 3 2" xfId="506" xr:uid="{00000000-0005-0000-0000-0000FB010000}"/>
    <cellStyle name="DELTA 4" xfId="507" xr:uid="{00000000-0005-0000-0000-0000FC010000}"/>
    <cellStyle name="DELTA 5" xfId="508" xr:uid="{00000000-0005-0000-0000-0000FD010000}"/>
    <cellStyle name="DELTA 6" xfId="509" xr:uid="{00000000-0005-0000-0000-0000FE010000}"/>
    <cellStyle name="DELTA 7" xfId="510" xr:uid="{00000000-0005-0000-0000-0000FF010000}"/>
    <cellStyle name="DELTA 8" xfId="511" xr:uid="{00000000-0005-0000-0000-000000020000}"/>
    <cellStyle name="DELTA 9" xfId="512" xr:uid="{00000000-0005-0000-0000-000001020000}"/>
    <cellStyle name="Description" xfId="513" xr:uid="{00000000-0005-0000-0000-000002020000}"/>
    <cellStyle name="Dezimal [0]_laroux" xfId="514" xr:uid="{00000000-0005-0000-0000-000003020000}"/>
    <cellStyle name="Dezimal_laroux" xfId="515" xr:uid="{00000000-0005-0000-0000-000004020000}"/>
    <cellStyle name="Dollar (zero dec)" xfId="516" xr:uid="{00000000-0005-0000-0000-000005020000}"/>
    <cellStyle name="Dollar (zero dec) 2" xfId="517" xr:uid="{00000000-0005-0000-0000-000006020000}"/>
    <cellStyle name="Enter Currency (0)" xfId="518" xr:uid="{00000000-0005-0000-0000-000007020000}"/>
    <cellStyle name="Enter Currency (0) 10" xfId="519" xr:uid="{00000000-0005-0000-0000-000008020000}"/>
    <cellStyle name="Enter Currency (0) 11" xfId="520" xr:uid="{00000000-0005-0000-0000-000009020000}"/>
    <cellStyle name="Enter Currency (0) 2" xfId="521" xr:uid="{00000000-0005-0000-0000-00000A020000}"/>
    <cellStyle name="Enter Currency (0) 2 2" xfId="522" xr:uid="{00000000-0005-0000-0000-00000B020000}"/>
    <cellStyle name="Enter Currency (0) 3" xfId="523" xr:uid="{00000000-0005-0000-0000-00000C020000}"/>
    <cellStyle name="Enter Currency (0) 3 2" xfId="524" xr:uid="{00000000-0005-0000-0000-00000D020000}"/>
    <cellStyle name="Enter Currency (0) 4" xfId="525" xr:uid="{00000000-0005-0000-0000-00000E020000}"/>
    <cellStyle name="Enter Currency (0) 5" xfId="526" xr:uid="{00000000-0005-0000-0000-00000F020000}"/>
    <cellStyle name="Enter Currency (0) 6" xfId="527" xr:uid="{00000000-0005-0000-0000-000010020000}"/>
    <cellStyle name="Enter Currency (0) 7" xfId="528" xr:uid="{00000000-0005-0000-0000-000011020000}"/>
    <cellStyle name="Enter Currency (0) 8" xfId="529" xr:uid="{00000000-0005-0000-0000-000012020000}"/>
    <cellStyle name="Enter Currency (0) 9" xfId="530" xr:uid="{00000000-0005-0000-0000-000013020000}"/>
    <cellStyle name="Enter Currency (2)" xfId="531" xr:uid="{00000000-0005-0000-0000-000014020000}"/>
    <cellStyle name="Enter Units (0)" xfId="532" xr:uid="{00000000-0005-0000-0000-000015020000}"/>
    <cellStyle name="Enter Units (0) 10" xfId="533" xr:uid="{00000000-0005-0000-0000-000016020000}"/>
    <cellStyle name="Enter Units (0) 11" xfId="534" xr:uid="{00000000-0005-0000-0000-000017020000}"/>
    <cellStyle name="Enter Units (0) 2" xfId="535" xr:uid="{00000000-0005-0000-0000-000018020000}"/>
    <cellStyle name="Enter Units (0) 2 2" xfId="536" xr:uid="{00000000-0005-0000-0000-000019020000}"/>
    <cellStyle name="Enter Units (0) 3" xfId="537" xr:uid="{00000000-0005-0000-0000-00001A020000}"/>
    <cellStyle name="Enter Units (0) 3 2" xfId="538" xr:uid="{00000000-0005-0000-0000-00001B020000}"/>
    <cellStyle name="Enter Units (0) 4" xfId="539" xr:uid="{00000000-0005-0000-0000-00001C020000}"/>
    <cellStyle name="Enter Units (0) 5" xfId="540" xr:uid="{00000000-0005-0000-0000-00001D020000}"/>
    <cellStyle name="Enter Units (0) 6" xfId="541" xr:uid="{00000000-0005-0000-0000-00001E020000}"/>
    <cellStyle name="Enter Units (0) 7" xfId="542" xr:uid="{00000000-0005-0000-0000-00001F020000}"/>
    <cellStyle name="Enter Units (0) 8" xfId="543" xr:uid="{00000000-0005-0000-0000-000020020000}"/>
    <cellStyle name="Enter Units (0) 9" xfId="544" xr:uid="{00000000-0005-0000-0000-000021020000}"/>
    <cellStyle name="Enter Units (1)" xfId="545" xr:uid="{00000000-0005-0000-0000-000022020000}"/>
    <cellStyle name="Enter Units (1) 10" xfId="546" xr:uid="{00000000-0005-0000-0000-000023020000}"/>
    <cellStyle name="Enter Units (1) 11" xfId="547" xr:uid="{00000000-0005-0000-0000-000024020000}"/>
    <cellStyle name="Enter Units (1) 2" xfId="548" xr:uid="{00000000-0005-0000-0000-000025020000}"/>
    <cellStyle name="Enter Units (1) 2 2" xfId="549" xr:uid="{00000000-0005-0000-0000-000026020000}"/>
    <cellStyle name="Enter Units (1) 3" xfId="550" xr:uid="{00000000-0005-0000-0000-000027020000}"/>
    <cellStyle name="Enter Units (1) 3 2" xfId="551" xr:uid="{00000000-0005-0000-0000-000028020000}"/>
    <cellStyle name="Enter Units (1) 4" xfId="552" xr:uid="{00000000-0005-0000-0000-000029020000}"/>
    <cellStyle name="Enter Units (1) 5" xfId="553" xr:uid="{00000000-0005-0000-0000-00002A020000}"/>
    <cellStyle name="Enter Units (1) 6" xfId="554" xr:uid="{00000000-0005-0000-0000-00002B020000}"/>
    <cellStyle name="Enter Units (1) 7" xfId="555" xr:uid="{00000000-0005-0000-0000-00002C020000}"/>
    <cellStyle name="Enter Units (1) 8" xfId="556" xr:uid="{00000000-0005-0000-0000-00002D020000}"/>
    <cellStyle name="Enter Units (1) 9" xfId="557" xr:uid="{00000000-0005-0000-0000-00002E020000}"/>
    <cellStyle name="Enter Units (2)" xfId="558" xr:uid="{00000000-0005-0000-0000-00002F020000}"/>
    <cellStyle name="Entered" xfId="559" xr:uid="{00000000-0005-0000-0000-000030020000}"/>
    <cellStyle name="Entered 10" xfId="560" xr:uid="{00000000-0005-0000-0000-000031020000}"/>
    <cellStyle name="Entered 2" xfId="561" xr:uid="{00000000-0005-0000-0000-000032020000}"/>
    <cellStyle name="Entered 3" xfId="562" xr:uid="{00000000-0005-0000-0000-000033020000}"/>
    <cellStyle name="Entered 4" xfId="563" xr:uid="{00000000-0005-0000-0000-000034020000}"/>
    <cellStyle name="Entered 5" xfId="564" xr:uid="{00000000-0005-0000-0000-000035020000}"/>
    <cellStyle name="Entered 6" xfId="565" xr:uid="{00000000-0005-0000-0000-000036020000}"/>
    <cellStyle name="Entered 7" xfId="566" xr:uid="{00000000-0005-0000-0000-000037020000}"/>
    <cellStyle name="Entered 8" xfId="567" xr:uid="{00000000-0005-0000-0000-000038020000}"/>
    <cellStyle name="Entered 9" xfId="568" xr:uid="{00000000-0005-0000-0000-000039020000}"/>
    <cellStyle name="Euro" xfId="569" xr:uid="{00000000-0005-0000-0000-00003A020000}"/>
    <cellStyle name="Excel Built-in Normal 2" xfId="1253" xr:uid="{00000000-0005-0000-0000-00003B020000}"/>
    <cellStyle name="Explanatory Text 2" xfId="570" xr:uid="{00000000-0005-0000-0000-00003C020000}"/>
    <cellStyle name="Explanatory Text 2 2" xfId="571" xr:uid="{00000000-0005-0000-0000-00003D020000}"/>
    <cellStyle name="F2" xfId="572" xr:uid="{00000000-0005-0000-0000-00003E020000}"/>
    <cellStyle name="F3" xfId="573" xr:uid="{00000000-0005-0000-0000-00003F020000}"/>
    <cellStyle name="F4" xfId="574" xr:uid="{00000000-0005-0000-0000-000040020000}"/>
    <cellStyle name="F5" xfId="575" xr:uid="{00000000-0005-0000-0000-000041020000}"/>
    <cellStyle name="F6" xfId="576" xr:uid="{00000000-0005-0000-0000-000042020000}"/>
    <cellStyle name="F7" xfId="577" xr:uid="{00000000-0005-0000-0000-000043020000}"/>
    <cellStyle name="F8" xfId="578" xr:uid="{00000000-0005-0000-0000-000044020000}"/>
    <cellStyle name="Fixed" xfId="579" xr:uid="{00000000-0005-0000-0000-000045020000}"/>
    <cellStyle name="Fixed 10" xfId="580" xr:uid="{00000000-0005-0000-0000-000046020000}"/>
    <cellStyle name="Fixed 2" xfId="581" xr:uid="{00000000-0005-0000-0000-000047020000}"/>
    <cellStyle name="Fixed 3" xfId="582" xr:uid="{00000000-0005-0000-0000-000048020000}"/>
    <cellStyle name="Fixed 4" xfId="583" xr:uid="{00000000-0005-0000-0000-000049020000}"/>
    <cellStyle name="Fixed 5" xfId="584" xr:uid="{00000000-0005-0000-0000-00004A020000}"/>
    <cellStyle name="Fixed 6" xfId="585" xr:uid="{00000000-0005-0000-0000-00004B020000}"/>
    <cellStyle name="Fixed 7" xfId="586" xr:uid="{00000000-0005-0000-0000-00004C020000}"/>
    <cellStyle name="Fixed 8" xfId="587" xr:uid="{00000000-0005-0000-0000-00004D020000}"/>
    <cellStyle name="Fixed 9" xfId="588" xr:uid="{00000000-0005-0000-0000-00004E020000}"/>
    <cellStyle name="ƒnƒCƒp[ƒŠƒ“ƒN" xfId="589" xr:uid="{00000000-0005-0000-0000-00004F020000}"/>
    <cellStyle name="Foottitle" xfId="590" xr:uid="{00000000-0005-0000-0000-000050020000}"/>
    <cellStyle name="FORM" xfId="591" xr:uid="{00000000-0005-0000-0000-000051020000}"/>
    <cellStyle name="Formula" xfId="592" xr:uid="{00000000-0005-0000-0000-000052020000}"/>
    <cellStyle name="Good 2" xfId="593" xr:uid="{00000000-0005-0000-0000-000053020000}"/>
    <cellStyle name="Good 2 2" xfId="594" xr:uid="{00000000-0005-0000-0000-000054020000}"/>
    <cellStyle name="Grey" xfId="595" xr:uid="{00000000-0005-0000-0000-000055020000}"/>
    <cellStyle name="header" xfId="596" xr:uid="{00000000-0005-0000-0000-000056020000}"/>
    <cellStyle name="Header1" xfId="597" xr:uid="{00000000-0005-0000-0000-000057020000}"/>
    <cellStyle name="Header2" xfId="598" xr:uid="{00000000-0005-0000-0000-000058020000}"/>
    <cellStyle name="HEADING" xfId="599" xr:uid="{00000000-0005-0000-0000-000059020000}"/>
    <cellStyle name="Heading 1 2" xfId="600" xr:uid="{00000000-0005-0000-0000-00005A020000}"/>
    <cellStyle name="Heading 1 2 2" xfId="601" xr:uid="{00000000-0005-0000-0000-00005B020000}"/>
    <cellStyle name="Heading 1 2 3" xfId="602" xr:uid="{00000000-0005-0000-0000-00005C020000}"/>
    <cellStyle name="Heading 1 2 4" xfId="603" xr:uid="{00000000-0005-0000-0000-00005D020000}"/>
    <cellStyle name="Heading 1 2 5" xfId="604" xr:uid="{00000000-0005-0000-0000-00005E020000}"/>
    <cellStyle name="Heading 1 2 6" xfId="605" xr:uid="{00000000-0005-0000-0000-00005F020000}"/>
    <cellStyle name="Heading 1 3" xfId="606" xr:uid="{00000000-0005-0000-0000-000060020000}"/>
    <cellStyle name="Heading 1 3 2" xfId="607" xr:uid="{00000000-0005-0000-0000-000061020000}"/>
    <cellStyle name="Heading 1 3 3" xfId="608" xr:uid="{00000000-0005-0000-0000-000062020000}"/>
    <cellStyle name="Heading 1 3 4" xfId="609" xr:uid="{00000000-0005-0000-0000-000063020000}"/>
    <cellStyle name="Heading 1 3 5" xfId="610" xr:uid="{00000000-0005-0000-0000-000064020000}"/>
    <cellStyle name="Heading 1 4" xfId="611" xr:uid="{00000000-0005-0000-0000-000065020000}"/>
    <cellStyle name="Heading 1 4 2" xfId="612" xr:uid="{00000000-0005-0000-0000-000066020000}"/>
    <cellStyle name="Heading 1 4 3" xfId="613" xr:uid="{00000000-0005-0000-0000-000067020000}"/>
    <cellStyle name="Heading 1 4 4" xfId="614" xr:uid="{00000000-0005-0000-0000-000068020000}"/>
    <cellStyle name="Heading 1 4 5" xfId="615" xr:uid="{00000000-0005-0000-0000-000069020000}"/>
    <cellStyle name="Heading 1 5" xfId="616" xr:uid="{00000000-0005-0000-0000-00006A020000}"/>
    <cellStyle name="Heading 1 5 2" xfId="617" xr:uid="{00000000-0005-0000-0000-00006B020000}"/>
    <cellStyle name="Heading 1 6" xfId="618" xr:uid="{00000000-0005-0000-0000-00006C020000}"/>
    <cellStyle name="Heading 1 6 2" xfId="619" xr:uid="{00000000-0005-0000-0000-00006D020000}"/>
    <cellStyle name="Heading 1 7" xfId="620" xr:uid="{00000000-0005-0000-0000-00006E020000}"/>
    <cellStyle name="Heading 1 7 2" xfId="621" xr:uid="{00000000-0005-0000-0000-00006F020000}"/>
    <cellStyle name="Heading 2 2" xfId="622" xr:uid="{00000000-0005-0000-0000-000070020000}"/>
    <cellStyle name="Heading 2 2 2" xfId="623" xr:uid="{00000000-0005-0000-0000-000071020000}"/>
    <cellStyle name="Heading 2 2 3" xfId="624" xr:uid="{00000000-0005-0000-0000-000072020000}"/>
    <cellStyle name="Heading 2 2 4" xfId="625" xr:uid="{00000000-0005-0000-0000-000073020000}"/>
    <cellStyle name="Heading 2 2 5" xfId="626" xr:uid="{00000000-0005-0000-0000-000074020000}"/>
    <cellStyle name="Heading 2 2 6" xfId="627" xr:uid="{00000000-0005-0000-0000-000075020000}"/>
    <cellStyle name="Heading 2 3" xfId="628" xr:uid="{00000000-0005-0000-0000-000076020000}"/>
    <cellStyle name="Heading 2 3 2" xfId="629" xr:uid="{00000000-0005-0000-0000-000077020000}"/>
    <cellStyle name="Heading 2 3 3" xfId="630" xr:uid="{00000000-0005-0000-0000-000078020000}"/>
    <cellStyle name="Heading 2 3 4" xfId="631" xr:uid="{00000000-0005-0000-0000-000079020000}"/>
    <cellStyle name="Heading 2 3 5" xfId="632" xr:uid="{00000000-0005-0000-0000-00007A020000}"/>
    <cellStyle name="Heading 2 4" xfId="633" xr:uid="{00000000-0005-0000-0000-00007B020000}"/>
    <cellStyle name="Heading 2 4 2" xfId="634" xr:uid="{00000000-0005-0000-0000-00007C020000}"/>
    <cellStyle name="Heading 2 4 3" xfId="635" xr:uid="{00000000-0005-0000-0000-00007D020000}"/>
    <cellStyle name="Heading 2 4 4" xfId="636" xr:uid="{00000000-0005-0000-0000-00007E020000}"/>
    <cellStyle name="Heading 2 4 5" xfId="637" xr:uid="{00000000-0005-0000-0000-00007F020000}"/>
    <cellStyle name="Heading 2 5" xfId="638" xr:uid="{00000000-0005-0000-0000-000080020000}"/>
    <cellStyle name="Heading 2 5 2" xfId="639" xr:uid="{00000000-0005-0000-0000-000081020000}"/>
    <cellStyle name="Heading 2 6" xfId="640" xr:uid="{00000000-0005-0000-0000-000082020000}"/>
    <cellStyle name="Heading 2 6 2" xfId="641" xr:uid="{00000000-0005-0000-0000-000083020000}"/>
    <cellStyle name="Heading 2 7" xfId="642" xr:uid="{00000000-0005-0000-0000-000084020000}"/>
    <cellStyle name="Heading 2 7 2" xfId="643" xr:uid="{00000000-0005-0000-0000-000085020000}"/>
    <cellStyle name="Heading 3 2" xfId="644" xr:uid="{00000000-0005-0000-0000-000086020000}"/>
    <cellStyle name="Heading 3 2 2" xfId="645" xr:uid="{00000000-0005-0000-0000-000087020000}"/>
    <cellStyle name="Heading 4 2" xfId="646" xr:uid="{00000000-0005-0000-0000-000088020000}"/>
    <cellStyle name="Heading 4 2 2" xfId="647" xr:uid="{00000000-0005-0000-0000-000089020000}"/>
    <cellStyle name="Heading1" xfId="648" xr:uid="{00000000-0005-0000-0000-00008A020000}"/>
    <cellStyle name="Heading1 1" xfId="649" xr:uid="{00000000-0005-0000-0000-00008B020000}"/>
    <cellStyle name="Heading1_Analy.Work1" xfId="650" xr:uid="{00000000-0005-0000-0000-00008C020000}"/>
    <cellStyle name="Heading2" xfId="651" xr:uid="{00000000-0005-0000-0000-00008D020000}"/>
    <cellStyle name="HeadRow" xfId="652" xr:uid="{00000000-0005-0000-0000-00008E020000}"/>
    <cellStyle name="HeadRowCol" xfId="653" xr:uid="{00000000-0005-0000-0000-00008F020000}"/>
    <cellStyle name="Hidden" xfId="654" xr:uid="{00000000-0005-0000-0000-000090020000}"/>
    <cellStyle name="Hyperlink 2" xfId="655" xr:uid="{00000000-0005-0000-0000-000091020000}"/>
    <cellStyle name="Hypertextový odkaz" xfId="656" xr:uid="{00000000-0005-0000-0000-000092020000}"/>
    <cellStyle name="INCHES" xfId="657" xr:uid="{00000000-0005-0000-0000-000093020000}"/>
    <cellStyle name="Input [yellow]" xfId="658" xr:uid="{00000000-0005-0000-0000-000094020000}"/>
    <cellStyle name="Input 2" xfId="659" xr:uid="{00000000-0005-0000-0000-000095020000}"/>
    <cellStyle name="Input 2 2" xfId="660" xr:uid="{00000000-0005-0000-0000-000096020000}"/>
    <cellStyle name="Item No" xfId="661" xr:uid="{00000000-0005-0000-0000-000097020000}"/>
    <cellStyle name="k" xfId="662" xr:uid="{00000000-0005-0000-0000-000098020000}"/>
    <cellStyle name="L" xfId="663" xr:uid="{00000000-0005-0000-0000-000099020000}"/>
    <cellStyle name="L_Blank formats annexures -  Cost plus" xfId="664" xr:uid="{00000000-0005-0000-0000-00009A020000}"/>
    <cellStyle name="L_BOQ" xfId="665" xr:uid="{00000000-0005-0000-0000-00009B020000}"/>
    <cellStyle name="L_Copy of Costing" xfId="666" xr:uid="{00000000-0005-0000-0000-00009C020000}"/>
    <cellStyle name="L_Copy of Costing_Gurgaon 1 _29.07.04 _ MDS" xfId="667" xr:uid="{00000000-0005-0000-0000-00009D020000}"/>
    <cellStyle name="L_Costing - ITC Main Revised Qty- 11.01_ ITC Main" xfId="668" xr:uid="{00000000-0005-0000-0000-00009E020000}"/>
    <cellStyle name="L_Costing - MBD Books-20.12" xfId="669" xr:uid="{00000000-0005-0000-0000-00009F020000}"/>
    <cellStyle name="L_Costing_Birla Sugar_9.4.05" xfId="670" xr:uid="{00000000-0005-0000-0000-0000A0020000}"/>
    <cellStyle name="L_Costing_District Court" xfId="671" xr:uid="{00000000-0005-0000-0000-0000A1020000}"/>
    <cellStyle name="L_Costing_Hero Honda_Haridwar" xfId="672" xr:uid="{00000000-0005-0000-0000-0000A2020000}"/>
    <cellStyle name="L_Costing_Indian Chancery_4.06.06" xfId="673" xr:uid="{00000000-0005-0000-0000-0000A3020000}"/>
    <cellStyle name="L_Costing_Inst. Bld-Emirates Group-Noida-13.06.06" xfId="674" xr:uid="{00000000-0005-0000-0000-0000A4020000}"/>
    <cellStyle name="L_Costing_Nicholas_21.12.04" xfId="675" xr:uid="{00000000-0005-0000-0000-0000A5020000}"/>
    <cellStyle name="L_DLF Agrrement _ Formats _10A" xfId="676" xr:uid="{00000000-0005-0000-0000-0000A6020000}"/>
    <cellStyle name="L_DLF Cyber Tower _02.06.05 l" xfId="677" xr:uid="{00000000-0005-0000-0000-0000A7020000}"/>
    <cellStyle name="L_form" xfId="678" xr:uid="{00000000-0005-0000-0000-0000A8020000}"/>
    <cellStyle name="L_Major quantities _Inst. Bld-Emirates Group-Noida" xfId="679" xr:uid="{00000000-0005-0000-0000-0000A9020000}"/>
    <cellStyle name="L_Major quantities_Hero Honda_Haridwar" xfId="680" xr:uid="{00000000-0005-0000-0000-0000AA020000}"/>
    <cellStyle name="L_medicity_26.09.05 _ MDS" xfId="681" xr:uid="{00000000-0005-0000-0000-0000AB020000}"/>
    <cellStyle name="L_RATE ANALYSIS_Sample" xfId="682" xr:uid="{00000000-0005-0000-0000-0000AC020000}"/>
    <cellStyle name="L_Sheet1" xfId="683" xr:uid="{00000000-0005-0000-0000-0000AD020000}"/>
    <cellStyle name="L_Submitted_27.10.05" xfId="684" xr:uid="{00000000-0005-0000-0000-0000AE020000}"/>
    <cellStyle name="L_Working_Submitted" xfId="685" xr:uid="{00000000-0005-0000-0000-0000AF020000}"/>
    <cellStyle name="Labels - Style3" xfId="686" xr:uid="{00000000-0005-0000-0000-0000B0020000}"/>
    <cellStyle name="Length" xfId="687" xr:uid="{00000000-0005-0000-0000-0000B1020000}"/>
    <cellStyle name="level 3" xfId="688" xr:uid="{00000000-0005-0000-0000-0000B2020000}"/>
    <cellStyle name="level3" xfId="689" xr:uid="{00000000-0005-0000-0000-0000B3020000}"/>
    <cellStyle name="Lien hypertexte" xfId="690" xr:uid="{00000000-0005-0000-0000-0000B4020000}"/>
    <cellStyle name="Lien hypertexte visité" xfId="691" xr:uid="{00000000-0005-0000-0000-0000B5020000}"/>
    <cellStyle name="Lien hypertexte_PROJ J1 01 IN AFT 0701 COST FW  0001 C 071207 Sourcing Plan" xfId="692" xr:uid="{00000000-0005-0000-0000-0000B6020000}"/>
    <cellStyle name="Link Currency (0)" xfId="693" xr:uid="{00000000-0005-0000-0000-0000B7020000}"/>
    <cellStyle name="Link Currency (0) 10" xfId="694" xr:uid="{00000000-0005-0000-0000-0000B8020000}"/>
    <cellStyle name="Link Currency (0) 11" xfId="695" xr:uid="{00000000-0005-0000-0000-0000B9020000}"/>
    <cellStyle name="Link Currency (0) 2" xfId="696" xr:uid="{00000000-0005-0000-0000-0000BA020000}"/>
    <cellStyle name="Link Currency (0) 2 2" xfId="697" xr:uid="{00000000-0005-0000-0000-0000BB020000}"/>
    <cellStyle name="Link Currency (0) 3" xfId="698" xr:uid="{00000000-0005-0000-0000-0000BC020000}"/>
    <cellStyle name="Link Currency (0) 3 2" xfId="699" xr:uid="{00000000-0005-0000-0000-0000BD020000}"/>
    <cellStyle name="Link Currency (0) 4" xfId="700" xr:uid="{00000000-0005-0000-0000-0000BE020000}"/>
    <cellStyle name="Link Currency (0) 5" xfId="701" xr:uid="{00000000-0005-0000-0000-0000BF020000}"/>
    <cellStyle name="Link Currency (0) 6" xfId="702" xr:uid="{00000000-0005-0000-0000-0000C0020000}"/>
    <cellStyle name="Link Currency (0) 7" xfId="703" xr:uid="{00000000-0005-0000-0000-0000C1020000}"/>
    <cellStyle name="Link Currency (0) 8" xfId="704" xr:uid="{00000000-0005-0000-0000-0000C2020000}"/>
    <cellStyle name="Link Currency (0) 9" xfId="705" xr:uid="{00000000-0005-0000-0000-0000C3020000}"/>
    <cellStyle name="Link Currency (2)" xfId="706" xr:uid="{00000000-0005-0000-0000-0000C4020000}"/>
    <cellStyle name="Link Units (0)" xfId="707" xr:uid="{00000000-0005-0000-0000-0000C5020000}"/>
    <cellStyle name="Link Units (0) 10" xfId="708" xr:uid="{00000000-0005-0000-0000-0000C6020000}"/>
    <cellStyle name="Link Units (0) 11" xfId="709" xr:uid="{00000000-0005-0000-0000-0000C7020000}"/>
    <cellStyle name="Link Units (0) 2" xfId="710" xr:uid="{00000000-0005-0000-0000-0000C8020000}"/>
    <cellStyle name="Link Units (0) 2 2" xfId="711" xr:uid="{00000000-0005-0000-0000-0000C9020000}"/>
    <cellStyle name="Link Units (0) 3" xfId="712" xr:uid="{00000000-0005-0000-0000-0000CA020000}"/>
    <cellStyle name="Link Units (0) 3 2" xfId="713" xr:uid="{00000000-0005-0000-0000-0000CB020000}"/>
    <cellStyle name="Link Units (0) 4" xfId="714" xr:uid="{00000000-0005-0000-0000-0000CC020000}"/>
    <cellStyle name="Link Units (0) 5" xfId="715" xr:uid="{00000000-0005-0000-0000-0000CD020000}"/>
    <cellStyle name="Link Units (0) 6" xfId="716" xr:uid="{00000000-0005-0000-0000-0000CE020000}"/>
    <cellStyle name="Link Units (0) 7" xfId="717" xr:uid="{00000000-0005-0000-0000-0000CF020000}"/>
    <cellStyle name="Link Units (0) 8" xfId="718" xr:uid="{00000000-0005-0000-0000-0000D0020000}"/>
    <cellStyle name="Link Units (0) 9" xfId="719" xr:uid="{00000000-0005-0000-0000-0000D1020000}"/>
    <cellStyle name="Link Units (1)" xfId="720" xr:uid="{00000000-0005-0000-0000-0000D2020000}"/>
    <cellStyle name="Link Units (1) 10" xfId="721" xr:uid="{00000000-0005-0000-0000-0000D3020000}"/>
    <cellStyle name="Link Units (1) 11" xfId="722" xr:uid="{00000000-0005-0000-0000-0000D4020000}"/>
    <cellStyle name="Link Units (1) 2" xfId="723" xr:uid="{00000000-0005-0000-0000-0000D5020000}"/>
    <cellStyle name="Link Units (1) 2 2" xfId="724" xr:uid="{00000000-0005-0000-0000-0000D6020000}"/>
    <cellStyle name="Link Units (1) 3" xfId="725" xr:uid="{00000000-0005-0000-0000-0000D7020000}"/>
    <cellStyle name="Link Units (1) 3 2" xfId="726" xr:uid="{00000000-0005-0000-0000-0000D8020000}"/>
    <cellStyle name="Link Units (1) 4" xfId="727" xr:uid="{00000000-0005-0000-0000-0000D9020000}"/>
    <cellStyle name="Link Units (1) 5" xfId="728" xr:uid="{00000000-0005-0000-0000-0000DA020000}"/>
    <cellStyle name="Link Units (1) 6" xfId="729" xr:uid="{00000000-0005-0000-0000-0000DB020000}"/>
    <cellStyle name="Link Units (1) 7" xfId="730" xr:uid="{00000000-0005-0000-0000-0000DC020000}"/>
    <cellStyle name="Link Units (1) 8" xfId="731" xr:uid="{00000000-0005-0000-0000-0000DD020000}"/>
    <cellStyle name="Link Units (1) 9" xfId="732" xr:uid="{00000000-0005-0000-0000-0000DE020000}"/>
    <cellStyle name="Link Units (2)" xfId="733" xr:uid="{00000000-0005-0000-0000-0000DF020000}"/>
    <cellStyle name="Linked Cell 2" xfId="734" xr:uid="{00000000-0005-0000-0000-0000E0020000}"/>
    <cellStyle name="Linked Cell 2 2" xfId="735" xr:uid="{00000000-0005-0000-0000-0000E1020000}"/>
    <cellStyle name="M" xfId="736" xr:uid="{00000000-0005-0000-0000-0000E2020000}"/>
    <cellStyle name="M_Blank formats annexures -  Cost plus" xfId="737" xr:uid="{00000000-0005-0000-0000-0000E3020000}"/>
    <cellStyle name="M_BOQ" xfId="738" xr:uid="{00000000-0005-0000-0000-0000E4020000}"/>
    <cellStyle name="M_Copy of Costing" xfId="739" xr:uid="{00000000-0005-0000-0000-0000E5020000}"/>
    <cellStyle name="M_Copy of Costing_Gurgaon 1 _29.07.04 _ MDS" xfId="740" xr:uid="{00000000-0005-0000-0000-0000E6020000}"/>
    <cellStyle name="M_Costing - ITC Main Revised Qty- 11.01_ ITC Main" xfId="741" xr:uid="{00000000-0005-0000-0000-0000E7020000}"/>
    <cellStyle name="M_Costing - MBD Books-20.12" xfId="742" xr:uid="{00000000-0005-0000-0000-0000E8020000}"/>
    <cellStyle name="M_Costing_Birla Sugar_9.4.05" xfId="743" xr:uid="{00000000-0005-0000-0000-0000E9020000}"/>
    <cellStyle name="M_Costing_District Court" xfId="744" xr:uid="{00000000-0005-0000-0000-0000EA020000}"/>
    <cellStyle name="M_Costing_Hero Honda_Haridwar" xfId="745" xr:uid="{00000000-0005-0000-0000-0000EB020000}"/>
    <cellStyle name="M_Costing_Indian Chancery_4.06.06" xfId="746" xr:uid="{00000000-0005-0000-0000-0000EC020000}"/>
    <cellStyle name="M_Costing_Inst. Bld-Emirates Group-Noida-13.06.06" xfId="747" xr:uid="{00000000-0005-0000-0000-0000ED020000}"/>
    <cellStyle name="M_Costing_Nicholas_21.12.04" xfId="748" xr:uid="{00000000-0005-0000-0000-0000EE020000}"/>
    <cellStyle name="M_DLF Agrrement _ Formats _10A" xfId="749" xr:uid="{00000000-0005-0000-0000-0000EF020000}"/>
    <cellStyle name="M_DLF Cyber Tower _02.06.05 l" xfId="750" xr:uid="{00000000-0005-0000-0000-0000F0020000}"/>
    <cellStyle name="M_form" xfId="751" xr:uid="{00000000-0005-0000-0000-0000F1020000}"/>
    <cellStyle name="M_Major quantities _Inst. Bld-Emirates Group-Noida" xfId="752" xr:uid="{00000000-0005-0000-0000-0000F2020000}"/>
    <cellStyle name="M_Major quantities_Hero Honda_Haridwar" xfId="753" xr:uid="{00000000-0005-0000-0000-0000F3020000}"/>
    <cellStyle name="M_medicity_26.09.05 _ MDS" xfId="754" xr:uid="{00000000-0005-0000-0000-0000F4020000}"/>
    <cellStyle name="M_RATE ANALYSIS_Sample" xfId="755" xr:uid="{00000000-0005-0000-0000-0000F5020000}"/>
    <cellStyle name="M_Sheet1" xfId="756" xr:uid="{00000000-0005-0000-0000-0000F6020000}"/>
    <cellStyle name="M_Submitted_27.10.05" xfId="757" xr:uid="{00000000-0005-0000-0000-0000F7020000}"/>
    <cellStyle name="M_Working_Submitted" xfId="758" xr:uid="{00000000-0005-0000-0000-0000F8020000}"/>
    <cellStyle name="M-0" xfId="759" xr:uid="{00000000-0005-0000-0000-0000F9020000}"/>
    <cellStyle name="MainDescription" xfId="760" xr:uid="{00000000-0005-0000-0000-0000FA020000}"/>
    <cellStyle name="Measure" xfId="761" xr:uid="{00000000-0005-0000-0000-0000FB020000}"/>
    <cellStyle name="MidTotal" xfId="762" xr:uid="{00000000-0005-0000-0000-0000FC020000}"/>
    <cellStyle name="Millares [0]_medestructura" xfId="763" xr:uid="{00000000-0005-0000-0000-0000FD020000}"/>
    <cellStyle name="Millares_pldt" xfId="764" xr:uid="{00000000-0005-0000-0000-0000FE020000}"/>
    <cellStyle name="Milliers [0]_laroux" xfId="765" xr:uid="{00000000-0005-0000-0000-0000FF020000}"/>
    <cellStyle name="Milliers_laroux" xfId="766" xr:uid="{00000000-0005-0000-0000-000000030000}"/>
    <cellStyle name="m-o" xfId="767" xr:uid="{00000000-0005-0000-0000-000001030000}"/>
    <cellStyle name="Model" xfId="768" xr:uid="{00000000-0005-0000-0000-000002030000}"/>
    <cellStyle name="Moneda [0]_pldt" xfId="769" xr:uid="{00000000-0005-0000-0000-000003030000}"/>
    <cellStyle name="Moneda_pldt" xfId="770" xr:uid="{00000000-0005-0000-0000-000004030000}"/>
    <cellStyle name="Monétaire [0]_laroux" xfId="771" xr:uid="{00000000-0005-0000-0000-000005030000}"/>
    <cellStyle name="Monétaire_laroux" xfId="772" xr:uid="{00000000-0005-0000-0000-000006030000}"/>
    <cellStyle name="n" xfId="773" xr:uid="{00000000-0005-0000-0000-000007030000}"/>
    <cellStyle name="Neutral 2" xfId="774" xr:uid="{00000000-0005-0000-0000-000008030000}"/>
    <cellStyle name="Neutral 2 2" xfId="775" xr:uid="{00000000-0005-0000-0000-000009030000}"/>
    <cellStyle name="NEW" xfId="776" xr:uid="{00000000-0005-0000-0000-00000A030000}"/>
    <cellStyle name="no dec" xfId="777" xr:uid="{00000000-0005-0000-0000-00000B030000}"/>
    <cellStyle name="No-definido" xfId="778" xr:uid="{00000000-0005-0000-0000-00000C030000}"/>
    <cellStyle name="Non défini" xfId="779" xr:uid="{00000000-0005-0000-0000-00000D030000}"/>
    <cellStyle name="Normal" xfId="0" builtinId="0"/>
    <cellStyle name="Normal - Style1" xfId="780" xr:uid="{00000000-0005-0000-0000-00000F030000}"/>
    <cellStyle name="Normal 1" xfId="781" xr:uid="{00000000-0005-0000-0000-000010030000}"/>
    <cellStyle name="Normal 10" xfId="19" xr:uid="{00000000-0005-0000-0000-000011030000}"/>
    <cellStyle name="Normal 10 2" xfId="782" xr:uid="{00000000-0005-0000-0000-000012030000}"/>
    <cellStyle name="Normal 10 2 2 4" xfId="1279" xr:uid="{00000000-0005-0000-0000-000013030000}"/>
    <cellStyle name="Normal 10 2 2 4 2" xfId="1280" xr:uid="{00000000-0005-0000-0000-000014030000}"/>
    <cellStyle name="Normal 10 3" xfId="783" xr:uid="{00000000-0005-0000-0000-000015030000}"/>
    <cellStyle name="Normal 10 3 2 2" xfId="1257" xr:uid="{00000000-0005-0000-0000-000016030000}"/>
    <cellStyle name="Normal 10 4" xfId="784" xr:uid="{00000000-0005-0000-0000-000017030000}"/>
    <cellStyle name="Normal 10 4 2" xfId="1260" xr:uid="{00000000-0005-0000-0000-000018030000}"/>
    <cellStyle name="Normal 11" xfId="20" xr:uid="{00000000-0005-0000-0000-000019030000}"/>
    <cellStyle name="Normal 11 2" xfId="785" xr:uid="{00000000-0005-0000-0000-00001A030000}"/>
    <cellStyle name="Normal 12" xfId="786" xr:uid="{00000000-0005-0000-0000-00001B030000}"/>
    <cellStyle name="Normal 12 2" xfId="787" xr:uid="{00000000-0005-0000-0000-00001C030000}"/>
    <cellStyle name="Normal 12 2 2 3" xfId="1285" xr:uid="{00000000-0005-0000-0000-00001D030000}"/>
    <cellStyle name="Normal 12 2 2 3 2" xfId="1287" xr:uid="{00000000-0005-0000-0000-00001E030000}"/>
    <cellStyle name="Normal 13" xfId="788" xr:uid="{00000000-0005-0000-0000-00001F030000}"/>
    <cellStyle name="Normal 14" xfId="789" xr:uid="{00000000-0005-0000-0000-000020030000}"/>
    <cellStyle name="Normal 14 5 2 2 2" xfId="1295" xr:uid="{00000000-0005-0000-0000-000021030000}"/>
    <cellStyle name="Normal 15" xfId="790" xr:uid="{00000000-0005-0000-0000-000022030000}"/>
    <cellStyle name="Normal 15 10" xfId="791" xr:uid="{00000000-0005-0000-0000-000023030000}"/>
    <cellStyle name="Normal 15 11" xfId="792" xr:uid="{00000000-0005-0000-0000-000024030000}"/>
    <cellStyle name="Normal 15 2" xfId="793" xr:uid="{00000000-0005-0000-0000-000025030000}"/>
    <cellStyle name="Normal 15 3" xfId="794" xr:uid="{00000000-0005-0000-0000-000026030000}"/>
    <cellStyle name="Normal 15 4" xfId="795" xr:uid="{00000000-0005-0000-0000-000027030000}"/>
    <cellStyle name="Normal 15 5" xfId="796" xr:uid="{00000000-0005-0000-0000-000028030000}"/>
    <cellStyle name="Normal 15 6" xfId="797" xr:uid="{00000000-0005-0000-0000-000029030000}"/>
    <cellStyle name="Normal 15 7" xfId="798" xr:uid="{00000000-0005-0000-0000-00002A030000}"/>
    <cellStyle name="Normal 15 8" xfId="799" xr:uid="{00000000-0005-0000-0000-00002B030000}"/>
    <cellStyle name="Normal 15 9" xfId="800" xr:uid="{00000000-0005-0000-0000-00002C030000}"/>
    <cellStyle name="Normal 16" xfId="801" xr:uid="{00000000-0005-0000-0000-00002D030000}"/>
    <cellStyle name="Normal 16 2" xfId="802" xr:uid="{00000000-0005-0000-0000-00002E030000}"/>
    <cellStyle name="Normal 16 2 10" xfId="803" xr:uid="{00000000-0005-0000-0000-00002F030000}"/>
    <cellStyle name="Normal 16 2 11" xfId="804" xr:uid="{00000000-0005-0000-0000-000030030000}"/>
    <cellStyle name="Normal 16 2 2" xfId="805" xr:uid="{00000000-0005-0000-0000-000031030000}"/>
    <cellStyle name="Normal 16 2 3" xfId="806" xr:uid="{00000000-0005-0000-0000-000032030000}"/>
    <cellStyle name="Normal 16 2 4" xfId="807" xr:uid="{00000000-0005-0000-0000-000033030000}"/>
    <cellStyle name="Normal 16 2 5" xfId="808" xr:uid="{00000000-0005-0000-0000-000034030000}"/>
    <cellStyle name="Normal 16 2 6" xfId="809" xr:uid="{00000000-0005-0000-0000-000035030000}"/>
    <cellStyle name="Normal 16 2 7" xfId="810" xr:uid="{00000000-0005-0000-0000-000036030000}"/>
    <cellStyle name="Normal 16 2 8" xfId="811" xr:uid="{00000000-0005-0000-0000-000037030000}"/>
    <cellStyle name="Normal 16 2 9" xfId="812" xr:uid="{00000000-0005-0000-0000-000038030000}"/>
    <cellStyle name="Normal 17" xfId="813" xr:uid="{00000000-0005-0000-0000-000039030000}"/>
    <cellStyle name="Normal 17 10" xfId="814" xr:uid="{00000000-0005-0000-0000-00003A030000}"/>
    <cellStyle name="Normal 17 11" xfId="815" xr:uid="{00000000-0005-0000-0000-00003B030000}"/>
    <cellStyle name="Normal 17 2" xfId="816" xr:uid="{00000000-0005-0000-0000-00003C030000}"/>
    <cellStyle name="Normal 17 2 2" xfId="817" xr:uid="{00000000-0005-0000-0000-00003D030000}"/>
    <cellStyle name="Normal 17 3" xfId="818" xr:uid="{00000000-0005-0000-0000-00003E030000}"/>
    <cellStyle name="Normal 17 4" xfId="819" xr:uid="{00000000-0005-0000-0000-00003F030000}"/>
    <cellStyle name="Normal 17 5" xfId="820" xr:uid="{00000000-0005-0000-0000-000040030000}"/>
    <cellStyle name="Normal 17 6" xfId="821" xr:uid="{00000000-0005-0000-0000-000041030000}"/>
    <cellStyle name="Normal 17 7" xfId="822" xr:uid="{00000000-0005-0000-0000-000042030000}"/>
    <cellStyle name="Normal 17 8" xfId="823" xr:uid="{00000000-0005-0000-0000-000043030000}"/>
    <cellStyle name="Normal 17 9" xfId="824" xr:uid="{00000000-0005-0000-0000-000044030000}"/>
    <cellStyle name="Normal 18" xfId="36" xr:uid="{00000000-0005-0000-0000-000045030000}"/>
    <cellStyle name="Normal 18 2" xfId="825" xr:uid="{00000000-0005-0000-0000-000046030000}"/>
    <cellStyle name="Normal 19" xfId="826" xr:uid="{00000000-0005-0000-0000-000047030000}"/>
    <cellStyle name="Normal 19 2" xfId="827" xr:uid="{00000000-0005-0000-0000-000048030000}"/>
    <cellStyle name="Normal 2" xfId="7" xr:uid="{00000000-0005-0000-0000-000049030000}"/>
    <cellStyle name="Normal 2 10 3" xfId="1254" xr:uid="{00000000-0005-0000-0000-00004A030000}"/>
    <cellStyle name="Normal 2 2" xfId="3" xr:uid="{00000000-0005-0000-0000-00004B030000}"/>
    <cellStyle name="Normal 2 2 15" xfId="1272" xr:uid="{00000000-0005-0000-0000-00004C030000}"/>
    <cellStyle name="Normal 2 2 2" xfId="828" xr:uid="{00000000-0005-0000-0000-00004D030000}"/>
    <cellStyle name="Normal 2 2 2 2" xfId="21" xr:uid="{00000000-0005-0000-0000-00004E030000}"/>
    <cellStyle name="Normal 2 2 2 2 2" xfId="34" xr:uid="{00000000-0005-0000-0000-00004F030000}"/>
    <cellStyle name="Normal 2 2 2 2 2 2" xfId="1277" xr:uid="{00000000-0005-0000-0000-000050030000}"/>
    <cellStyle name="Normal 2 2 2 2 2 2 2" xfId="1258" xr:uid="{00000000-0005-0000-0000-000051030000}"/>
    <cellStyle name="Normal 2 2 3" xfId="829" xr:uid="{00000000-0005-0000-0000-000052030000}"/>
    <cellStyle name="Normal 2 2 5" xfId="41" xr:uid="{00000000-0005-0000-0000-000053030000}"/>
    <cellStyle name="Normal 2 2 5 2" xfId="1263" xr:uid="{00000000-0005-0000-0000-000054030000}"/>
    <cellStyle name="Normal 2 3" xfId="830" xr:uid="{00000000-0005-0000-0000-000055030000}"/>
    <cellStyle name="Normal 2 3 2" xfId="831" xr:uid="{00000000-0005-0000-0000-000056030000}"/>
    <cellStyle name="Normal 2 4" xfId="832" xr:uid="{00000000-0005-0000-0000-000057030000}"/>
    <cellStyle name="Normal 2 5" xfId="833" xr:uid="{00000000-0005-0000-0000-000058030000}"/>
    <cellStyle name="Normal 2 6" xfId="834" xr:uid="{00000000-0005-0000-0000-000059030000}"/>
    <cellStyle name="Normal 2 7" xfId="835" xr:uid="{00000000-0005-0000-0000-00005A030000}"/>
    <cellStyle name="Normal 2 8" xfId="836" xr:uid="{00000000-0005-0000-0000-00005B030000}"/>
    <cellStyle name="Normal 2 9" xfId="837" xr:uid="{00000000-0005-0000-0000-00005C030000}"/>
    <cellStyle name="Normal 2_A2 blockwork SG-25.03.11" xfId="838" xr:uid="{00000000-0005-0000-0000-00005D030000}"/>
    <cellStyle name="Normal 20" xfId="839" xr:uid="{00000000-0005-0000-0000-00005E030000}"/>
    <cellStyle name="Normal 20 2" xfId="840" xr:uid="{00000000-0005-0000-0000-00005F030000}"/>
    <cellStyle name="Normal 20 2 2" xfId="1261" xr:uid="{00000000-0005-0000-0000-000060030000}"/>
    <cellStyle name="Normal 21" xfId="841" xr:uid="{00000000-0005-0000-0000-000061030000}"/>
    <cellStyle name="Normal 22" xfId="842" xr:uid="{00000000-0005-0000-0000-000062030000}"/>
    <cellStyle name="Normal 23" xfId="843" xr:uid="{00000000-0005-0000-0000-000063030000}"/>
    <cellStyle name="Normal 24" xfId="844" xr:uid="{00000000-0005-0000-0000-000064030000}"/>
    <cellStyle name="Normal 25" xfId="845" xr:uid="{00000000-0005-0000-0000-000065030000}"/>
    <cellStyle name="Normal 25 2" xfId="1255" xr:uid="{00000000-0005-0000-0000-000066030000}"/>
    <cellStyle name="Normal 25 3" xfId="1256" xr:uid="{00000000-0005-0000-0000-000067030000}"/>
    <cellStyle name="Normal 26" xfId="1251" xr:uid="{00000000-0005-0000-0000-000068030000}"/>
    <cellStyle name="Normal 27" xfId="1259" xr:uid="{00000000-0005-0000-0000-000069030000}"/>
    <cellStyle name="Normal 27 2" xfId="1275" xr:uid="{00000000-0005-0000-0000-00006A030000}"/>
    <cellStyle name="Normal 28" xfId="1269" xr:uid="{00000000-0005-0000-0000-00006B030000}"/>
    <cellStyle name="Normal 29" xfId="1273" xr:uid="{00000000-0005-0000-0000-00006C030000}"/>
    <cellStyle name="Normal 3" xfId="5" xr:uid="{00000000-0005-0000-0000-00006D030000}"/>
    <cellStyle name="Normal 3 10" xfId="846" xr:uid="{00000000-0005-0000-0000-00006E030000}"/>
    <cellStyle name="Normal 3 11" xfId="847" xr:uid="{00000000-0005-0000-0000-00006F030000}"/>
    <cellStyle name="Normal 3 12" xfId="848" xr:uid="{00000000-0005-0000-0000-000070030000}"/>
    <cellStyle name="Normal 3 13" xfId="849" xr:uid="{00000000-0005-0000-0000-000071030000}"/>
    <cellStyle name="Normal 3 14" xfId="850" xr:uid="{00000000-0005-0000-0000-000072030000}"/>
    <cellStyle name="Normal 3 15" xfId="851" xr:uid="{00000000-0005-0000-0000-000073030000}"/>
    <cellStyle name="Normal 3 17" xfId="1268" xr:uid="{00000000-0005-0000-0000-000074030000}"/>
    <cellStyle name="Normal 3 2" xfId="852" xr:uid="{00000000-0005-0000-0000-000075030000}"/>
    <cellStyle name="Normal 3 2 2" xfId="853" xr:uid="{00000000-0005-0000-0000-000076030000}"/>
    <cellStyle name="Normal 3 2 3" xfId="854" xr:uid="{00000000-0005-0000-0000-000077030000}"/>
    <cellStyle name="Normal 3 2 3 10" xfId="855" xr:uid="{00000000-0005-0000-0000-000078030000}"/>
    <cellStyle name="Normal 3 2 3 11" xfId="856" xr:uid="{00000000-0005-0000-0000-000079030000}"/>
    <cellStyle name="Normal 3 2 3 12" xfId="857" xr:uid="{00000000-0005-0000-0000-00007A030000}"/>
    <cellStyle name="Normal 3 2 3 2" xfId="858" xr:uid="{00000000-0005-0000-0000-00007B030000}"/>
    <cellStyle name="Normal 3 2 3 2 10" xfId="859" xr:uid="{00000000-0005-0000-0000-00007C030000}"/>
    <cellStyle name="Normal 3 2 3 2 11" xfId="860" xr:uid="{00000000-0005-0000-0000-00007D030000}"/>
    <cellStyle name="Normal 3 2 3 2 2" xfId="861" xr:uid="{00000000-0005-0000-0000-00007E030000}"/>
    <cellStyle name="Normal 3 2 3 2 3" xfId="862" xr:uid="{00000000-0005-0000-0000-00007F030000}"/>
    <cellStyle name="Normal 3 2 3 2 4" xfId="863" xr:uid="{00000000-0005-0000-0000-000080030000}"/>
    <cellStyle name="Normal 3 2 3 2 5" xfId="864" xr:uid="{00000000-0005-0000-0000-000081030000}"/>
    <cellStyle name="Normal 3 2 3 2 6" xfId="865" xr:uid="{00000000-0005-0000-0000-000082030000}"/>
    <cellStyle name="Normal 3 2 3 2 7" xfId="866" xr:uid="{00000000-0005-0000-0000-000083030000}"/>
    <cellStyle name="Normal 3 2 3 2 8" xfId="867" xr:uid="{00000000-0005-0000-0000-000084030000}"/>
    <cellStyle name="Normal 3 2 3 2 9" xfId="868" xr:uid="{00000000-0005-0000-0000-000085030000}"/>
    <cellStyle name="Normal 3 2 3 3" xfId="869" xr:uid="{00000000-0005-0000-0000-000086030000}"/>
    <cellStyle name="Normal 3 2 3 4" xfId="870" xr:uid="{00000000-0005-0000-0000-000087030000}"/>
    <cellStyle name="Normal 3 2 3 5" xfId="871" xr:uid="{00000000-0005-0000-0000-000088030000}"/>
    <cellStyle name="Normal 3 2 3 6" xfId="872" xr:uid="{00000000-0005-0000-0000-000089030000}"/>
    <cellStyle name="Normal 3 2 3 7" xfId="873" xr:uid="{00000000-0005-0000-0000-00008A030000}"/>
    <cellStyle name="Normal 3 2 3 8" xfId="874" xr:uid="{00000000-0005-0000-0000-00008B030000}"/>
    <cellStyle name="Normal 3 2 3 9" xfId="875" xr:uid="{00000000-0005-0000-0000-00008C030000}"/>
    <cellStyle name="Normal 3 3" xfId="876" xr:uid="{00000000-0005-0000-0000-00008D030000}"/>
    <cellStyle name="Normal 3 3 2" xfId="877" xr:uid="{00000000-0005-0000-0000-00008E030000}"/>
    <cellStyle name="Normal 3 3 2 10" xfId="878" xr:uid="{00000000-0005-0000-0000-00008F030000}"/>
    <cellStyle name="Normal 3 3 2 11" xfId="879" xr:uid="{00000000-0005-0000-0000-000090030000}"/>
    <cellStyle name="Normal 3 3 2 2" xfId="880" xr:uid="{00000000-0005-0000-0000-000091030000}"/>
    <cellStyle name="Normal 3 3 2 3" xfId="881" xr:uid="{00000000-0005-0000-0000-000092030000}"/>
    <cellStyle name="Normal 3 3 2 4" xfId="882" xr:uid="{00000000-0005-0000-0000-000093030000}"/>
    <cellStyle name="Normal 3 3 2 5" xfId="883" xr:uid="{00000000-0005-0000-0000-000094030000}"/>
    <cellStyle name="Normal 3 3 2 6" xfId="884" xr:uid="{00000000-0005-0000-0000-000095030000}"/>
    <cellStyle name="Normal 3 3 2 7" xfId="885" xr:uid="{00000000-0005-0000-0000-000096030000}"/>
    <cellStyle name="Normal 3 3 2 8" xfId="886" xr:uid="{00000000-0005-0000-0000-000097030000}"/>
    <cellStyle name="Normal 3 3 2 9" xfId="887" xr:uid="{00000000-0005-0000-0000-000098030000}"/>
    <cellStyle name="Normal 3 4" xfId="888" xr:uid="{00000000-0005-0000-0000-000099030000}"/>
    <cellStyle name="Normal 3 4 10" xfId="889" xr:uid="{00000000-0005-0000-0000-00009A030000}"/>
    <cellStyle name="Normal 3 4 11" xfId="890" xr:uid="{00000000-0005-0000-0000-00009B030000}"/>
    <cellStyle name="Normal 3 4 2" xfId="891" xr:uid="{00000000-0005-0000-0000-00009C030000}"/>
    <cellStyle name="Normal 3 4 3" xfId="892" xr:uid="{00000000-0005-0000-0000-00009D030000}"/>
    <cellStyle name="Normal 3 4 4" xfId="893" xr:uid="{00000000-0005-0000-0000-00009E030000}"/>
    <cellStyle name="Normal 3 4 5" xfId="894" xr:uid="{00000000-0005-0000-0000-00009F030000}"/>
    <cellStyle name="Normal 3 4 6" xfId="895" xr:uid="{00000000-0005-0000-0000-0000A0030000}"/>
    <cellStyle name="Normal 3 4 7" xfId="896" xr:uid="{00000000-0005-0000-0000-0000A1030000}"/>
    <cellStyle name="Normal 3 4 8" xfId="897" xr:uid="{00000000-0005-0000-0000-0000A2030000}"/>
    <cellStyle name="Normal 3 4 9" xfId="898" xr:uid="{00000000-0005-0000-0000-0000A3030000}"/>
    <cellStyle name="Normal 3 5" xfId="899" xr:uid="{00000000-0005-0000-0000-0000A4030000}"/>
    <cellStyle name="Normal 3 6" xfId="900" xr:uid="{00000000-0005-0000-0000-0000A5030000}"/>
    <cellStyle name="Normal 3 7" xfId="901" xr:uid="{00000000-0005-0000-0000-0000A6030000}"/>
    <cellStyle name="Normal 3 8" xfId="902" xr:uid="{00000000-0005-0000-0000-0000A7030000}"/>
    <cellStyle name="Normal 3 9" xfId="903" xr:uid="{00000000-0005-0000-0000-0000A8030000}"/>
    <cellStyle name="Normal 3_11 202 Main Tender Package BOQ  07112011" xfId="904" xr:uid="{00000000-0005-0000-0000-0000A9030000}"/>
    <cellStyle name="Normal 30" xfId="1288" xr:uid="{00000000-0005-0000-0000-0000AA030000}"/>
    <cellStyle name="Normal 31" xfId="1296" xr:uid="{00000000-0005-0000-0000-0000AB030000}"/>
    <cellStyle name="Normal 4" xfId="6" xr:uid="{00000000-0005-0000-0000-0000AC030000}"/>
    <cellStyle name="Normal 4 2" xfId="22" xr:uid="{00000000-0005-0000-0000-0000AD030000}"/>
    <cellStyle name="Normal 4 2 2" xfId="905" xr:uid="{00000000-0005-0000-0000-0000AE030000}"/>
    <cellStyle name="Normal 4 3" xfId="906" xr:uid="{00000000-0005-0000-0000-0000AF030000}"/>
    <cellStyle name="Normal 4 4" xfId="907" xr:uid="{00000000-0005-0000-0000-0000B0030000}"/>
    <cellStyle name="Normal 4 4 2" xfId="1292" xr:uid="{00000000-0005-0000-0000-0000B1030000}"/>
    <cellStyle name="Normal 4 4 3 2" xfId="1282" xr:uid="{00000000-0005-0000-0000-0000B2030000}"/>
    <cellStyle name="Normal 4 5" xfId="908" xr:uid="{00000000-0005-0000-0000-0000B3030000}"/>
    <cellStyle name="Normal 4_All " xfId="909" xr:uid="{00000000-0005-0000-0000-0000B4030000}"/>
    <cellStyle name="Normal 5" xfId="910" xr:uid="{00000000-0005-0000-0000-0000B5030000}"/>
    <cellStyle name="Normal 5 10" xfId="42" xr:uid="{00000000-0005-0000-0000-0000B6030000}"/>
    <cellStyle name="Normal 5 10 2" xfId="1262" xr:uid="{00000000-0005-0000-0000-0000B7030000}"/>
    <cellStyle name="Normal 5 11" xfId="911" xr:uid="{00000000-0005-0000-0000-0000B8030000}"/>
    <cellStyle name="Normal 5 12" xfId="912" xr:uid="{00000000-0005-0000-0000-0000B9030000}"/>
    <cellStyle name="Normal 5 13" xfId="913" xr:uid="{00000000-0005-0000-0000-0000BA030000}"/>
    <cellStyle name="Normal 5 2" xfId="914" xr:uid="{00000000-0005-0000-0000-0000BB030000}"/>
    <cellStyle name="Normal 5 2 2 2" xfId="915" xr:uid="{00000000-0005-0000-0000-0000BC030000}"/>
    <cellStyle name="Normal 5 3" xfId="916" xr:uid="{00000000-0005-0000-0000-0000BD030000}"/>
    <cellStyle name="Normal 5 4" xfId="917" xr:uid="{00000000-0005-0000-0000-0000BE030000}"/>
    <cellStyle name="Normal 5 5" xfId="918" xr:uid="{00000000-0005-0000-0000-0000BF030000}"/>
    <cellStyle name="Normal 5 6" xfId="919" xr:uid="{00000000-0005-0000-0000-0000C0030000}"/>
    <cellStyle name="Normal 5 7" xfId="920" xr:uid="{00000000-0005-0000-0000-0000C1030000}"/>
    <cellStyle name="Normal 5 8" xfId="921" xr:uid="{00000000-0005-0000-0000-0000C2030000}"/>
    <cellStyle name="Normal 5 9" xfId="922" xr:uid="{00000000-0005-0000-0000-0000C3030000}"/>
    <cellStyle name="Normal 6" xfId="923" xr:uid="{00000000-0005-0000-0000-0000C4030000}"/>
    <cellStyle name="Normal 6 2" xfId="924" xr:uid="{00000000-0005-0000-0000-0000C5030000}"/>
    <cellStyle name="Normal 6 3" xfId="925" xr:uid="{00000000-0005-0000-0000-0000C6030000}"/>
    <cellStyle name="Normal 6_The Gateway Gondia Valuation No 6-Vicon Measurements Backups" xfId="926" xr:uid="{00000000-0005-0000-0000-0000C7030000}"/>
    <cellStyle name="Normal 64" xfId="1250" xr:uid="{00000000-0005-0000-0000-0000C8030000}"/>
    <cellStyle name="Normal 64 4" xfId="1266" xr:uid="{00000000-0005-0000-0000-0000C9030000}"/>
    <cellStyle name="Normal 7" xfId="927" xr:uid="{00000000-0005-0000-0000-0000CA030000}"/>
    <cellStyle name="Normal 7 2" xfId="928" xr:uid="{00000000-0005-0000-0000-0000CB030000}"/>
    <cellStyle name="Normal 7 2 2" xfId="1276" xr:uid="{00000000-0005-0000-0000-0000CC030000}"/>
    <cellStyle name="Normal 7 3" xfId="2" xr:uid="{00000000-0005-0000-0000-0000CD030000}"/>
    <cellStyle name="Normal 7 3 2" xfId="929" xr:uid="{00000000-0005-0000-0000-0000CE030000}"/>
    <cellStyle name="Normal 7 4" xfId="930" xr:uid="{00000000-0005-0000-0000-0000CF030000}"/>
    <cellStyle name="Normal 8" xfId="931" xr:uid="{00000000-0005-0000-0000-0000D0030000}"/>
    <cellStyle name="Normal 8 10" xfId="932" xr:uid="{00000000-0005-0000-0000-0000D1030000}"/>
    <cellStyle name="Normal 8 11" xfId="933" xr:uid="{00000000-0005-0000-0000-0000D2030000}"/>
    <cellStyle name="Normal 8 12" xfId="934" xr:uid="{00000000-0005-0000-0000-0000D3030000}"/>
    <cellStyle name="Normal 8 13" xfId="935" xr:uid="{00000000-0005-0000-0000-0000D4030000}"/>
    <cellStyle name="Normal 8 2" xfId="936" xr:uid="{00000000-0005-0000-0000-0000D5030000}"/>
    <cellStyle name="Normal 8 2 10" xfId="1278" xr:uid="{00000000-0005-0000-0000-0000D6030000}"/>
    <cellStyle name="Normal 8 3" xfId="937" xr:uid="{00000000-0005-0000-0000-0000D7030000}"/>
    <cellStyle name="Normal 8 4" xfId="938" xr:uid="{00000000-0005-0000-0000-0000D8030000}"/>
    <cellStyle name="Normal 8 5" xfId="939" xr:uid="{00000000-0005-0000-0000-0000D9030000}"/>
    <cellStyle name="Normal 8 6" xfId="940" xr:uid="{00000000-0005-0000-0000-0000DA030000}"/>
    <cellStyle name="Normal 8 7" xfId="941" xr:uid="{00000000-0005-0000-0000-0000DB030000}"/>
    <cellStyle name="Normal 8 8" xfId="942" xr:uid="{00000000-0005-0000-0000-0000DC030000}"/>
    <cellStyle name="Normal 8 9" xfId="943" xr:uid="{00000000-0005-0000-0000-0000DD030000}"/>
    <cellStyle name="Normal 9" xfId="944" xr:uid="{00000000-0005-0000-0000-0000DE030000}"/>
    <cellStyle name="Normal 9 10" xfId="945" xr:uid="{00000000-0005-0000-0000-0000DF030000}"/>
    <cellStyle name="Normal 9 11" xfId="946" xr:uid="{00000000-0005-0000-0000-0000E0030000}"/>
    <cellStyle name="Normal 9 12" xfId="947" xr:uid="{00000000-0005-0000-0000-0000E1030000}"/>
    <cellStyle name="Normal 9 13" xfId="948" xr:uid="{00000000-0005-0000-0000-0000E2030000}"/>
    <cellStyle name="Normal 9 14" xfId="949" xr:uid="{00000000-0005-0000-0000-0000E3030000}"/>
    <cellStyle name="Normal 9 2" xfId="950" xr:uid="{00000000-0005-0000-0000-0000E4030000}"/>
    <cellStyle name="Normal 9 2 9" xfId="1281" xr:uid="{00000000-0005-0000-0000-0000E5030000}"/>
    <cellStyle name="Normal 9 3" xfId="951" xr:uid="{00000000-0005-0000-0000-0000E6030000}"/>
    <cellStyle name="Normal 9 4" xfId="952" xr:uid="{00000000-0005-0000-0000-0000E7030000}"/>
    <cellStyle name="Normal 9 5" xfId="953" xr:uid="{00000000-0005-0000-0000-0000E8030000}"/>
    <cellStyle name="Normal 9 6" xfId="954" xr:uid="{00000000-0005-0000-0000-0000E9030000}"/>
    <cellStyle name="Normal 9 7" xfId="955" xr:uid="{00000000-0005-0000-0000-0000EA030000}"/>
    <cellStyle name="Normal 9 8" xfId="956" xr:uid="{00000000-0005-0000-0000-0000EB030000}"/>
    <cellStyle name="Normal 9 9" xfId="957" xr:uid="{00000000-0005-0000-0000-0000EC030000}"/>
    <cellStyle name="Note 2" xfId="958" xr:uid="{00000000-0005-0000-0000-0000EF030000}"/>
    <cellStyle name="Note 2 2" xfId="959" xr:uid="{00000000-0005-0000-0000-0000F0030000}"/>
    <cellStyle name="Nr" xfId="960" xr:uid="{00000000-0005-0000-0000-0000F1030000}"/>
    <cellStyle name="OF COLUMN" xfId="961" xr:uid="{00000000-0005-0000-0000-0000F2030000}"/>
    <cellStyle name="Output 2" xfId="962" xr:uid="{00000000-0005-0000-0000-0000F3030000}"/>
    <cellStyle name="Output 2 2" xfId="963" xr:uid="{00000000-0005-0000-0000-0000F4030000}"/>
    <cellStyle name="paint" xfId="964" xr:uid="{00000000-0005-0000-0000-0000F5030000}"/>
    <cellStyle name="Percent" xfId="1297" builtinId="5"/>
    <cellStyle name="Percent [0]" xfId="965" xr:uid="{00000000-0005-0000-0000-0000F7030000}"/>
    <cellStyle name="Percent [0] 10" xfId="966" xr:uid="{00000000-0005-0000-0000-0000F8030000}"/>
    <cellStyle name="Percent [0] 2" xfId="967" xr:uid="{00000000-0005-0000-0000-0000F9030000}"/>
    <cellStyle name="Percent [0] 3" xfId="968" xr:uid="{00000000-0005-0000-0000-0000FA030000}"/>
    <cellStyle name="Percent [0] 4" xfId="969" xr:uid="{00000000-0005-0000-0000-0000FB030000}"/>
    <cellStyle name="Percent [0] 5" xfId="970" xr:uid="{00000000-0005-0000-0000-0000FC030000}"/>
    <cellStyle name="Percent [0] 6" xfId="971" xr:uid="{00000000-0005-0000-0000-0000FD030000}"/>
    <cellStyle name="Percent [0] 7" xfId="972" xr:uid="{00000000-0005-0000-0000-0000FE030000}"/>
    <cellStyle name="Percent [0] 8" xfId="973" xr:uid="{00000000-0005-0000-0000-0000FF030000}"/>
    <cellStyle name="Percent [0] 9" xfId="974" xr:uid="{00000000-0005-0000-0000-000000040000}"/>
    <cellStyle name="Percent [00]" xfId="975" xr:uid="{00000000-0005-0000-0000-000001040000}"/>
    <cellStyle name="Percent [00] 10" xfId="976" xr:uid="{00000000-0005-0000-0000-000002040000}"/>
    <cellStyle name="Percent [00] 11" xfId="977" xr:uid="{00000000-0005-0000-0000-000003040000}"/>
    <cellStyle name="Percent [00] 2" xfId="978" xr:uid="{00000000-0005-0000-0000-000004040000}"/>
    <cellStyle name="Percent [00] 2 2" xfId="979" xr:uid="{00000000-0005-0000-0000-000005040000}"/>
    <cellStyle name="Percent [00] 3" xfId="980" xr:uid="{00000000-0005-0000-0000-000006040000}"/>
    <cellStyle name="Percent [00] 3 2" xfId="981" xr:uid="{00000000-0005-0000-0000-000007040000}"/>
    <cellStyle name="Percent [00] 4" xfId="982" xr:uid="{00000000-0005-0000-0000-000008040000}"/>
    <cellStyle name="Percent [00] 5" xfId="983" xr:uid="{00000000-0005-0000-0000-000009040000}"/>
    <cellStyle name="Percent [00] 6" xfId="984" xr:uid="{00000000-0005-0000-0000-00000A040000}"/>
    <cellStyle name="Percent [00] 7" xfId="985" xr:uid="{00000000-0005-0000-0000-00000B040000}"/>
    <cellStyle name="Percent [00] 8" xfId="986" xr:uid="{00000000-0005-0000-0000-00000C040000}"/>
    <cellStyle name="Percent [00] 9" xfId="987" xr:uid="{00000000-0005-0000-0000-00000D040000}"/>
    <cellStyle name="Percent [2]" xfId="988" xr:uid="{00000000-0005-0000-0000-00000E040000}"/>
    <cellStyle name="Percent [2] 10" xfId="989" xr:uid="{00000000-0005-0000-0000-00000F040000}"/>
    <cellStyle name="Percent [2] 11" xfId="990" xr:uid="{00000000-0005-0000-0000-000010040000}"/>
    <cellStyle name="Percent [2] 2" xfId="991" xr:uid="{00000000-0005-0000-0000-000011040000}"/>
    <cellStyle name="Percent [2] 2 2" xfId="992" xr:uid="{00000000-0005-0000-0000-000012040000}"/>
    <cellStyle name="Percent [2] 3" xfId="993" xr:uid="{00000000-0005-0000-0000-000013040000}"/>
    <cellStyle name="Percent [2] 3 2" xfId="994" xr:uid="{00000000-0005-0000-0000-000014040000}"/>
    <cellStyle name="Percent [2] 4" xfId="995" xr:uid="{00000000-0005-0000-0000-000015040000}"/>
    <cellStyle name="Percent [2] 5" xfId="996" xr:uid="{00000000-0005-0000-0000-000016040000}"/>
    <cellStyle name="Percent [2] 6" xfId="997" xr:uid="{00000000-0005-0000-0000-000017040000}"/>
    <cellStyle name="Percent [2] 7" xfId="998" xr:uid="{00000000-0005-0000-0000-000018040000}"/>
    <cellStyle name="Percent [2] 8" xfId="999" xr:uid="{00000000-0005-0000-0000-000019040000}"/>
    <cellStyle name="Percent [2] 9" xfId="1000" xr:uid="{00000000-0005-0000-0000-00001A040000}"/>
    <cellStyle name="Percent 10" xfId="1001" xr:uid="{00000000-0005-0000-0000-00001B040000}"/>
    <cellStyle name="Percent 2" xfId="47" xr:uid="{00000000-0005-0000-0000-00001C040000}"/>
    <cellStyle name="Percent 2 10" xfId="1002" xr:uid="{00000000-0005-0000-0000-00001D040000}"/>
    <cellStyle name="Percent 2 2" xfId="1003" xr:uid="{00000000-0005-0000-0000-00001E040000}"/>
    <cellStyle name="Percent 2 2 2" xfId="48" xr:uid="{00000000-0005-0000-0000-00001F040000}"/>
    <cellStyle name="Percent 2 3" xfId="1004" xr:uid="{00000000-0005-0000-0000-000020040000}"/>
    <cellStyle name="Percent 2 4" xfId="1005" xr:uid="{00000000-0005-0000-0000-000021040000}"/>
    <cellStyle name="Percent 2 5" xfId="1006" xr:uid="{00000000-0005-0000-0000-000022040000}"/>
    <cellStyle name="Percent 2 5 2" xfId="1007" xr:uid="{00000000-0005-0000-0000-000023040000}"/>
    <cellStyle name="Percent 3" xfId="1008" xr:uid="{00000000-0005-0000-0000-000024040000}"/>
    <cellStyle name="Percent 3 2" xfId="1009" xr:uid="{00000000-0005-0000-0000-000025040000}"/>
    <cellStyle name="Percent 3 3" xfId="1010" xr:uid="{00000000-0005-0000-0000-000026040000}"/>
    <cellStyle name="Percent 4" xfId="1011" xr:uid="{00000000-0005-0000-0000-000027040000}"/>
    <cellStyle name="Percent 4 2" xfId="1012" xr:uid="{00000000-0005-0000-0000-000028040000}"/>
    <cellStyle name="Percent 5" xfId="1013" xr:uid="{00000000-0005-0000-0000-000029040000}"/>
    <cellStyle name="Percent 6" xfId="1014" xr:uid="{00000000-0005-0000-0000-00002A040000}"/>
    <cellStyle name="Percent 7" xfId="1015" xr:uid="{00000000-0005-0000-0000-00002B040000}"/>
    <cellStyle name="Percent 8" xfId="1016" xr:uid="{00000000-0005-0000-0000-00002C040000}"/>
    <cellStyle name="Poneet Standard" xfId="1017" xr:uid="{00000000-0005-0000-0000-00002D040000}"/>
    <cellStyle name="Popis" xfId="1018" xr:uid="{00000000-0005-0000-0000-00002E040000}"/>
    <cellStyle name="PrePop Currency (0)" xfId="1019" xr:uid="{00000000-0005-0000-0000-00002F040000}"/>
    <cellStyle name="PrePop Currency (0) 10" xfId="1020" xr:uid="{00000000-0005-0000-0000-000030040000}"/>
    <cellStyle name="PrePop Currency (0) 11" xfId="1021" xr:uid="{00000000-0005-0000-0000-000031040000}"/>
    <cellStyle name="PrePop Currency (0) 2" xfId="1022" xr:uid="{00000000-0005-0000-0000-000032040000}"/>
    <cellStyle name="PrePop Currency (0) 2 2" xfId="1023" xr:uid="{00000000-0005-0000-0000-000033040000}"/>
    <cellStyle name="PrePop Currency (0) 3" xfId="1024" xr:uid="{00000000-0005-0000-0000-000034040000}"/>
    <cellStyle name="PrePop Currency (0) 3 2" xfId="1025" xr:uid="{00000000-0005-0000-0000-000035040000}"/>
    <cellStyle name="PrePop Currency (0) 4" xfId="1026" xr:uid="{00000000-0005-0000-0000-000036040000}"/>
    <cellStyle name="PrePop Currency (0) 5" xfId="1027" xr:uid="{00000000-0005-0000-0000-000037040000}"/>
    <cellStyle name="PrePop Currency (0) 6" xfId="1028" xr:uid="{00000000-0005-0000-0000-000038040000}"/>
    <cellStyle name="PrePop Currency (0) 7" xfId="1029" xr:uid="{00000000-0005-0000-0000-000039040000}"/>
    <cellStyle name="PrePop Currency (0) 8" xfId="1030" xr:uid="{00000000-0005-0000-0000-00003A040000}"/>
    <cellStyle name="PrePop Currency (0) 9" xfId="1031" xr:uid="{00000000-0005-0000-0000-00003B040000}"/>
    <cellStyle name="PrePop Currency (2)" xfId="1032" xr:uid="{00000000-0005-0000-0000-00003C040000}"/>
    <cellStyle name="PrePop Units (0)" xfId="1033" xr:uid="{00000000-0005-0000-0000-00003D040000}"/>
    <cellStyle name="PrePop Units (0) 10" xfId="1034" xr:uid="{00000000-0005-0000-0000-00003E040000}"/>
    <cellStyle name="PrePop Units (0) 11" xfId="1035" xr:uid="{00000000-0005-0000-0000-00003F040000}"/>
    <cellStyle name="PrePop Units (0) 2" xfId="1036" xr:uid="{00000000-0005-0000-0000-000040040000}"/>
    <cellStyle name="PrePop Units (0) 2 2" xfId="1037" xr:uid="{00000000-0005-0000-0000-000041040000}"/>
    <cellStyle name="PrePop Units (0) 3" xfId="1038" xr:uid="{00000000-0005-0000-0000-000042040000}"/>
    <cellStyle name="PrePop Units (0) 3 2" xfId="1039" xr:uid="{00000000-0005-0000-0000-000043040000}"/>
    <cellStyle name="PrePop Units (0) 4" xfId="1040" xr:uid="{00000000-0005-0000-0000-000044040000}"/>
    <cellStyle name="PrePop Units (0) 5" xfId="1041" xr:uid="{00000000-0005-0000-0000-000045040000}"/>
    <cellStyle name="PrePop Units (0) 6" xfId="1042" xr:uid="{00000000-0005-0000-0000-000046040000}"/>
    <cellStyle name="PrePop Units (0) 7" xfId="1043" xr:uid="{00000000-0005-0000-0000-000047040000}"/>
    <cellStyle name="PrePop Units (0) 8" xfId="1044" xr:uid="{00000000-0005-0000-0000-000048040000}"/>
    <cellStyle name="PrePop Units (0) 9" xfId="1045" xr:uid="{00000000-0005-0000-0000-000049040000}"/>
    <cellStyle name="PrePop Units (1)" xfId="1046" xr:uid="{00000000-0005-0000-0000-00004A040000}"/>
    <cellStyle name="PrePop Units (1) 10" xfId="1047" xr:uid="{00000000-0005-0000-0000-00004B040000}"/>
    <cellStyle name="PrePop Units (1) 11" xfId="1048" xr:uid="{00000000-0005-0000-0000-00004C040000}"/>
    <cellStyle name="PrePop Units (1) 2" xfId="1049" xr:uid="{00000000-0005-0000-0000-00004D040000}"/>
    <cellStyle name="PrePop Units (1) 2 2" xfId="1050" xr:uid="{00000000-0005-0000-0000-00004E040000}"/>
    <cellStyle name="PrePop Units (1) 3" xfId="1051" xr:uid="{00000000-0005-0000-0000-00004F040000}"/>
    <cellStyle name="PrePop Units (1) 3 2" xfId="1052" xr:uid="{00000000-0005-0000-0000-000050040000}"/>
    <cellStyle name="PrePop Units (1) 4" xfId="1053" xr:uid="{00000000-0005-0000-0000-000051040000}"/>
    <cellStyle name="PrePop Units (1) 5" xfId="1054" xr:uid="{00000000-0005-0000-0000-000052040000}"/>
    <cellStyle name="PrePop Units (1) 6" xfId="1055" xr:uid="{00000000-0005-0000-0000-000053040000}"/>
    <cellStyle name="PrePop Units (1) 7" xfId="1056" xr:uid="{00000000-0005-0000-0000-000054040000}"/>
    <cellStyle name="PrePop Units (1) 8" xfId="1057" xr:uid="{00000000-0005-0000-0000-000055040000}"/>
    <cellStyle name="PrePop Units (1) 9" xfId="1058" xr:uid="{00000000-0005-0000-0000-000056040000}"/>
    <cellStyle name="PrePop Units (2)" xfId="1059" xr:uid="{00000000-0005-0000-0000-000057040000}"/>
    <cellStyle name="Projections" xfId="1060" xr:uid="{00000000-0005-0000-0000-000058040000}"/>
    <cellStyle name="Projections;0" xfId="1061" xr:uid="{00000000-0005-0000-0000-000059040000}"/>
    <cellStyle name="Projections;C" xfId="1062" xr:uid="{00000000-0005-0000-0000-00005A040000}"/>
    <cellStyle name="Projections_artek98" xfId="1063" xr:uid="{00000000-0005-0000-0000-00005B040000}"/>
    <cellStyle name="PSChar" xfId="1064" xr:uid="{00000000-0005-0000-0000-00005C040000}"/>
    <cellStyle name="PSDec" xfId="1065" xr:uid="{00000000-0005-0000-0000-00005D040000}"/>
    <cellStyle name="Rate" xfId="1066" xr:uid="{00000000-0005-0000-0000-00005E040000}"/>
    <cellStyle name="RateBold" xfId="1067" xr:uid="{00000000-0005-0000-0000-00005F040000}"/>
    <cellStyle name="Ratios" xfId="1068" xr:uid="{00000000-0005-0000-0000-000060040000}"/>
    <cellStyle name="RDB1" xfId="1069" xr:uid="{00000000-0005-0000-0000-000061040000}"/>
    <cellStyle name="Red" xfId="1070" xr:uid="{00000000-0005-0000-0000-000062040000}"/>
    <cellStyle name="Reset  - Style7" xfId="1071" xr:uid="{00000000-0005-0000-0000-000063040000}"/>
    <cellStyle name="RevList" xfId="1072" xr:uid="{00000000-0005-0000-0000-000064040000}"/>
    <cellStyle name="Rupees" xfId="1073" xr:uid="{00000000-0005-0000-0000-000065040000}"/>
    <cellStyle name="sebi" xfId="1074" xr:uid="{00000000-0005-0000-0000-000066040000}"/>
    <cellStyle name="Section Title" xfId="1075" xr:uid="{00000000-0005-0000-0000-000067040000}"/>
    <cellStyle name="Shaded_ " xfId="1076" xr:uid="{00000000-0005-0000-0000-000068040000}"/>
    <cellStyle name="Sledovaný hypertextový odkaz" xfId="1077" xr:uid="{00000000-0005-0000-0000-000069040000}"/>
    <cellStyle name="Standard_aktuell" xfId="1078" xr:uid="{00000000-0005-0000-0000-00006A040000}"/>
    <cellStyle name="STYL1 - Style1" xfId="1079" xr:uid="{00000000-0005-0000-0000-00006B040000}"/>
    <cellStyle name="Style 1" xfId="23" xr:uid="{00000000-0005-0000-0000-00006C040000}"/>
    <cellStyle name="Style 1 2" xfId="1080" xr:uid="{00000000-0005-0000-0000-00006D040000}"/>
    <cellStyle name="SubDescription" xfId="1081" xr:uid="{00000000-0005-0000-0000-00006E040000}"/>
    <cellStyle name="subhead" xfId="1082" xr:uid="{00000000-0005-0000-0000-00006F040000}"/>
    <cellStyle name="Subtitle" xfId="1083" xr:uid="{00000000-0005-0000-0000-000070040000}"/>
    <cellStyle name="Subtotal" xfId="1084" xr:uid="{00000000-0005-0000-0000-000071040000}"/>
    <cellStyle name="sum" xfId="1085" xr:uid="{00000000-0005-0000-0000-000072040000}"/>
    <cellStyle name="sum8" xfId="1086" xr:uid="{00000000-0005-0000-0000-000073040000}"/>
    <cellStyle name="Summary_back" xfId="1087" xr:uid="{00000000-0005-0000-0000-000074040000}"/>
    <cellStyle name="SWT-Number" xfId="1088" xr:uid="{00000000-0005-0000-0000-000075040000}"/>
    <cellStyle name="SWT-Title" xfId="1089" xr:uid="{00000000-0005-0000-0000-000076040000}"/>
    <cellStyle name="SWT-Unprotect" xfId="1090" xr:uid="{00000000-0005-0000-0000-000077040000}"/>
    <cellStyle name="Table  - Style6" xfId="1091" xr:uid="{00000000-0005-0000-0000-000078040000}"/>
    <cellStyle name="Text" xfId="1092" xr:uid="{00000000-0005-0000-0000-000079040000}"/>
    <cellStyle name="Text Indent A" xfId="1093" xr:uid="{00000000-0005-0000-0000-00007A040000}"/>
    <cellStyle name="Text Indent B" xfId="1094" xr:uid="{00000000-0005-0000-0000-00007B040000}"/>
    <cellStyle name="Text Indent B 10" xfId="1095" xr:uid="{00000000-0005-0000-0000-00007C040000}"/>
    <cellStyle name="Text Indent B 11" xfId="1096" xr:uid="{00000000-0005-0000-0000-00007D040000}"/>
    <cellStyle name="Text Indent B 2" xfId="1097" xr:uid="{00000000-0005-0000-0000-00007E040000}"/>
    <cellStyle name="Text Indent B 2 2" xfId="1098" xr:uid="{00000000-0005-0000-0000-00007F040000}"/>
    <cellStyle name="Text Indent B 3" xfId="1099" xr:uid="{00000000-0005-0000-0000-000080040000}"/>
    <cellStyle name="Text Indent B 3 2" xfId="1100" xr:uid="{00000000-0005-0000-0000-000081040000}"/>
    <cellStyle name="Text Indent B 4" xfId="1101" xr:uid="{00000000-0005-0000-0000-000082040000}"/>
    <cellStyle name="Text Indent B 5" xfId="1102" xr:uid="{00000000-0005-0000-0000-000083040000}"/>
    <cellStyle name="Text Indent B 6" xfId="1103" xr:uid="{00000000-0005-0000-0000-000084040000}"/>
    <cellStyle name="Text Indent B 7" xfId="1104" xr:uid="{00000000-0005-0000-0000-000085040000}"/>
    <cellStyle name="Text Indent B 8" xfId="1105" xr:uid="{00000000-0005-0000-0000-000086040000}"/>
    <cellStyle name="Text Indent B 9" xfId="1106" xr:uid="{00000000-0005-0000-0000-000087040000}"/>
    <cellStyle name="Text Indent C" xfId="1107" xr:uid="{00000000-0005-0000-0000-000088040000}"/>
    <cellStyle name="Text Indent C 10" xfId="1108" xr:uid="{00000000-0005-0000-0000-000089040000}"/>
    <cellStyle name="Text Indent C 11" xfId="1109" xr:uid="{00000000-0005-0000-0000-00008A040000}"/>
    <cellStyle name="Text Indent C 2" xfId="1110" xr:uid="{00000000-0005-0000-0000-00008B040000}"/>
    <cellStyle name="Text Indent C 2 2" xfId="1111" xr:uid="{00000000-0005-0000-0000-00008C040000}"/>
    <cellStyle name="Text Indent C 3" xfId="1112" xr:uid="{00000000-0005-0000-0000-00008D040000}"/>
    <cellStyle name="Text Indent C 3 2" xfId="1113" xr:uid="{00000000-0005-0000-0000-00008E040000}"/>
    <cellStyle name="Text Indent C 4" xfId="1114" xr:uid="{00000000-0005-0000-0000-00008F040000}"/>
    <cellStyle name="Text Indent C 5" xfId="1115" xr:uid="{00000000-0005-0000-0000-000090040000}"/>
    <cellStyle name="Text Indent C 6" xfId="1116" xr:uid="{00000000-0005-0000-0000-000091040000}"/>
    <cellStyle name="Text Indent C 7" xfId="1117" xr:uid="{00000000-0005-0000-0000-000092040000}"/>
    <cellStyle name="Text Indent C 8" xfId="1118" xr:uid="{00000000-0005-0000-0000-000093040000}"/>
    <cellStyle name="Text Indent C 9" xfId="1119" xr:uid="{00000000-0005-0000-0000-000094040000}"/>
    <cellStyle name="Times New Roman" xfId="1120" xr:uid="{00000000-0005-0000-0000-000095040000}"/>
    <cellStyle name="Title  - Style1" xfId="1121" xr:uid="{00000000-0005-0000-0000-000096040000}"/>
    <cellStyle name="Title 2" xfId="1122" xr:uid="{00000000-0005-0000-0000-000097040000}"/>
    <cellStyle name="Title 2 2" xfId="1123" xr:uid="{00000000-0005-0000-0000-000098040000}"/>
    <cellStyle name="Title Row" xfId="1124" xr:uid="{00000000-0005-0000-0000-000099040000}"/>
    <cellStyle name="Title1" xfId="1125" xr:uid="{00000000-0005-0000-0000-00009A040000}"/>
    <cellStyle name="Title2" xfId="1126" xr:uid="{00000000-0005-0000-0000-00009B040000}"/>
    <cellStyle name="Title3" xfId="1127" xr:uid="{00000000-0005-0000-0000-00009C040000}"/>
    <cellStyle name="topbot" xfId="1128" xr:uid="{00000000-0005-0000-0000-00009D040000}"/>
    <cellStyle name="Total 2" xfId="1129" xr:uid="{00000000-0005-0000-0000-00009E040000}"/>
    <cellStyle name="Total 2 2" xfId="1130" xr:uid="{00000000-0005-0000-0000-00009F040000}"/>
    <cellStyle name="Total 2 3" xfId="1131" xr:uid="{00000000-0005-0000-0000-0000A0040000}"/>
    <cellStyle name="Total 2 4" xfId="1132" xr:uid="{00000000-0005-0000-0000-0000A1040000}"/>
    <cellStyle name="Total 2 5" xfId="1133" xr:uid="{00000000-0005-0000-0000-0000A2040000}"/>
    <cellStyle name="Total 2 6" xfId="1134" xr:uid="{00000000-0005-0000-0000-0000A3040000}"/>
    <cellStyle name="Total 3" xfId="1135" xr:uid="{00000000-0005-0000-0000-0000A4040000}"/>
    <cellStyle name="Total 3 2" xfId="1136" xr:uid="{00000000-0005-0000-0000-0000A5040000}"/>
    <cellStyle name="Total 3 3" xfId="1137" xr:uid="{00000000-0005-0000-0000-0000A6040000}"/>
    <cellStyle name="Total 3 4" xfId="1138" xr:uid="{00000000-0005-0000-0000-0000A7040000}"/>
    <cellStyle name="Total 3 5" xfId="1139" xr:uid="{00000000-0005-0000-0000-0000A8040000}"/>
    <cellStyle name="Total 4" xfId="1140" xr:uid="{00000000-0005-0000-0000-0000A9040000}"/>
    <cellStyle name="Total 4 2" xfId="1141" xr:uid="{00000000-0005-0000-0000-0000AA040000}"/>
    <cellStyle name="Total 4 3" xfId="1142" xr:uid="{00000000-0005-0000-0000-0000AB040000}"/>
    <cellStyle name="Total 4 4" xfId="1143" xr:uid="{00000000-0005-0000-0000-0000AC040000}"/>
    <cellStyle name="Total 4 5" xfId="1144" xr:uid="{00000000-0005-0000-0000-0000AD040000}"/>
    <cellStyle name="Total 5" xfId="1145" xr:uid="{00000000-0005-0000-0000-0000AE040000}"/>
    <cellStyle name="Total 5 2" xfId="1146" xr:uid="{00000000-0005-0000-0000-0000AF040000}"/>
    <cellStyle name="Total 6" xfId="1147" xr:uid="{00000000-0005-0000-0000-0000B0040000}"/>
    <cellStyle name="Total 6 2" xfId="1148" xr:uid="{00000000-0005-0000-0000-0000B1040000}"/>
    <cellStyle name="Total 7" xfId="1149" xr:uid="{00000000-0005-0000-0000-0000B2040000}"/>
    <cellStyle name="Total 7 2" xfId="1150" xr:uid="{00000000-0005-0000-0000-0000B3040000}"/>
    <cellStyle name="totalbold" xfId="1151" xr:uid="{00000000-0005-0000-0000-0000B4040000}"/>
    <cellStyle name="Totals" xfId="1152" xr:uid="{00000000-0005-0000-0000-0000B5040000}"/>
    <cellStyle name="TotCol - Style5" xfId="1153" xr:uid="{00000000-0005-0000-0000-0000B6040000}"/>
    <cellStyle name="TotRow - Style4" xfId="1154" xr:uid="{00000000-0005-0000-0000-0000B7040000}"/>
    <cellStyle name="Tusental (0)_pldt" xfId="1155" xr:uid="{00000000-0005-0000-0000-0000B8040000}"/>
    <cellStyle name="Tusental_pldt" xfId="1156" xr:uid="{00000000-0005-0000-0000-0000B9040000}"/>
    <cellStyle name="uni" xfId="1157" xr:uid="{00000000-0005-0000-0000-0000BA040000}"/>
    <cellStyle name="Unit" xfId="1158" xr:uid="{00000000-0005-0000-0000-0000BB040000}"/>
    <cellStyle name="Unshaded_ " xfId="1159" xr:uid="{00000000-0005-0000-0000-0000BC040000}"/>
    <cellStyle name="v" xfId="1160" xr:uid="{00000000-0005-0000-0000-0000BD040000}"/>
    <cellStyle name="v_Blank formats annexures -  Cost plus" xfId="1161" xr:uid="{00000000-0005-0000-0000-0000BE040000}"/>
    <cellStyle name="v_Blank formats annexures -  Cost plus_L&amp;M" xfId="1162" xr:uid="{00000000-0005-0000-0000-0000BF040000}"/>
    <cellStyle name="v_Blank formats annexures -  Cost plus_SPCL Submission - Rates to be reviewed-1" xfId="1163" xr:uid="{00000000-0005-0000-0000-0000C0040000}"/>
    <cellStyle name="v_Costing - ITC Main Revised Qty- 11.01_ ITC Main" xfId="1164" xr:uid="{00000000-0005-0000-0000-0000C1040000}"/>
    <cellStyle name="v_Costing - ITC Main Revised Qty- 11.01_ ITC Main_L&amp;M" xfId="1165" xr:uid="{00000000-0005-0000-0000-0000C2040000}"/>
    <cellStyle name="v_Costing - ITC Main Revised Qty- 11.01_ ITC Main_SPCL Submission - Rates to be reviewed-1" xfId="1166" xr:uid="{00000000-0005-0000-0000-0000C3040000}"/>
    <cellStyle name="v_Costing - MBD Books-20.12" xfId="1167" xr:uid="{00000000-0005-0000-0000-0000C4040000}"/>
    <cellStyle name="v_Costing - MBD Books-20.12_L&amp;M" xfId="1168" xr:uid="{00000000-0005-0000-0000-0000C5040000}"/>
    <cellStyle name="v_Costing - MBD Books-20.12_SPCL Submission - Rates to be reviewed-1" xfId="1169" xr:uid="{00000000-0005-0000-0000-0000C6040000}"/>
    <cellStyle name="v_Costing - RIL" xfId="1170" xr:uid="{00000000-0005-0000-0000-0000C7040000}"/>
    <cellStyle name="v_Costing - RIL_L&amp;M" xfId="1171" xr:uid="{00000000-0005-0000-0000-0000C8040000}"/>
    <cellStyle name="v_Costing - RIL_SPCL Submission - Rates to be reviewed-1" xfId="1172" xr:uid="{00000000-0005-0000-0000-0000C9040000}"/>
    <cellStyle name="v_Costing _TATA MOTORS 06.03" xfId="1173" xr:uid="{00000000-0005-0000-0000-0000CA040000}"/>
    <cellStyle name="v_Costing _TATA MOTORS 06.03_L&amp;M" xfId="1174" xr:uid="{00000000-0005-0000-0000-0000CB040000}"/>
    <cellStyle name="v_Costing _TATA MOTORS 06.03_SPCL Submission - Rates to be reviewed-1" xfId="1175" xr:uid="{00000000-0005-0000-0000-0000CC040000}"/>
    <cellStyle name="v_Costing -Tata Motors, lucknow Revised 2.02" xfId="1176" xr:uid="{00000000-0005-0000-0000-0000CD040000}"/>
    <cellStyle name="v_Costing -Tata Motors, lucknow Revised 2.02_L&amp;M" xfId="1177" xr:uid="{00000000-0005-0000-0000-0000CE040000}"/>
    <cellStyle name="v_Costing -Tata Motors, lucknow Revised 2.02_SPCL Submission - Rates to be reviewed-1" xfId="1178" xr:uid="{00000000-0005-0000-0000-0000CF040000}"/>
    <cellStyle name="v_Costing_Hero Honda_Haridwar" xfId="1179" xr:uid="{00000000-0005-0000-0000-0000D0040000}"/>
    <cellStyle name="v_Costing_Hero Honda_Haridwar_L&amp;M" xfId="1180" xr:uid="{00000000-0005-0000-0000-0000D1040000}"/>
    <cellStyle name="v_Costing_Hero Honda_Haridwar_SPCL Submission - Rates to be reviewed-1" xfId="1181" xr:uid="{00000000-0005-0000-0000-0000D2040000}"/>
    <cellStyle name="v_Costing_Indian Chancery_4.06.06" xfId="1182" xr:uid="{00000000-0005-0000-0000-0000D3040000}"/>
    <cellStyle name="v_Costing_Indian Chancery_4.06.06_L&amp;M" xfId="1183" xr:uid="{00000000-0005-0000-0000-0000D4040000}"/>
    <cellStyle name="v_Costing_Indian Chancery_4.06.06_SPCL Submission - Rates to be reviewed-1" xfId="1184" xr:uid="{00000000-0005-0000-0000-0000D5040000}"/>
    <cellStyle name="v_Costing_Inst. Bld-Emirates Group-Noida-13.06.06" xfId="1185" xr:uid="{00000000-0005-0000-0000-0000D6040000}"/>
    <cellStyle name="v_Costing_Inst. Bld-Emirates Group-Noida-13.06.06_L&amp;M" xfId="1186" xr:uid="{00000000-0005-0000-0000-0000D7040000}"/>
    <cellStyle name="v_Costing_Inst. Bld-Emirates Group-Noida-13.06.06_SPCL Submission - Rates to be reviewed-1" xfId="1187" xr:uid="{00000000-0005-0000-0000-0000D8040000}"/>
    <cellStyle name="v_DLF Agrrement _ Formats _10A" xfId="1188" xr:uid="{00000000-0005-0000-0000-0000D9040000}"/>
    <cellStyle name="v_DLF Agrrement _ Formats _10A_L&amp;M" xfId="1189" xr:uid="{00000000-0005-0000-0000-0000DA040000}"/>
    <cellStyle name="v_DLF Agrrement _ Formats _10A_SPCL Submission - Rates to be reviewed-1" xfId="1190" xr:uid="{00000000-0005-0000-0000-0000DB040000}"/>
    <cellStyle name="v_DLF Cyber Tower _02.06.05 l" xfId="1191" xr:uid="{00000000-0005-0000-0000-0000DC040000}"/>
    <cellStyle name="v_DLF Cyber Tower _02.06.05 l_L&amp;M" xfId="1192" xr:uid="{00000000-0005-0000-0000-0000DD040000}"/>
    <cellStyle name="v_DLF Cyber Tower _02.06.05 l_SPCL Submission - Rates to be reviewed-1" xfId="1193" xr:uid="{00000000-0005-0000-0000-0000DE040000}"/>
    <cellStyle name="v_Final  Assum CLUB HOUSE-Finishes-Bhuvana 04.11.11" xfId="1194" xr:uid="{00000000-0005-0000-0000-0000DF040000}"/>
    <cellStyle name="v_Final Offer-con" xfId="1195" xr:uid="{00000000-0005-0000-0000-0000E0040000}"/>
    <cellStyle name="v_Final Offer-con_SPCL Submission - Rates to be reviewed-1" xfId="1196" xr:uid="{00000000-0005-0000-0000-0000E1040000}"/>
    <cellStyle name="v_IVY Costing -10.12.05_Control Budjet" xfId="1197" xr:uid="{00000000-0005-0000-0000-0000E2040000}"/>
    <cellStyle name="v_IVY Costing -10.12.05_Control Budjet_L&amp;M" xfId="1198" xr:uid="{00000000-0005-0000-0000-0000E3040000}"/>
    <cellStyle name="v_IVY Costing -10.12.05_Control Budjet_SPCL Submission - Rates to be reviewed-1" xfId="1199" xr:uid="{00000000-0005-0000-0000-0000E4040000}"/>
    <cellStyle name="v_IVY Costing -10.12.05_Final Submitted" xfId="1200" xr:uid="{00000000-0005-0000-0000-0000E5040000}"/>
    <cellStyle name="v_IVY Costing -10.12.05_Final Submitted_L&amp;M" xfId="1201" xr:uid="{00000000-0005-0000-0000-0000E6040000}"/>
    <cellStyle name="v_IVY Costing -10.12.05_Final Submitted_SPCL Submission - Rates to be reviewed-1" xfId="1202" xr:uid="{00000000-0005-0000-0000-0000E7040000}"/>
    <cellStyle name="v_JCB_Cash Flow" xfId="1203" xr:uid="{00000000-0005-0000-0000-0000E8040000}"/>
    <cellStyle name="v_JCB_Cash Flow_L&amp;M" xfId="1204" xr:uid="{00000000-0005-0000-0000-0000E9040000}"/>
    <cellStyle name="v_JCB_Cash Flow_SPCL Submission - Rates to be reviewed-1" xfId="1205" xr:uid="{00000000-0005-0000-0000-0000EA040000}"/>
    <cellStyle name="v_JNS Costing _ 18.01.09 with Tribhuwan  _ cashFlow" xfId="1206" xr:uid="{00000000-0005-0000-0000-0000EB040000}"/>
    <cellStyle name="v_JNS Costing _ 18.01.09 with Tribhuwan  _ cashFlow_L&amp;M" xfId="1207" xr:uid="{00000000-0005-0000-0000-0000EC040000}"/>
    <cellStyle name="v_JNS Costing _ 18.01.09 with Tribhuwan  _ cashFlow_SPCL Submission - Rates to be reviewed-1" xfId="1208" xr:uid="{00000000-0005-0000-0000-0000ED040000}"/>
    <cellStyle name="v_L&amp;M" xfId="1209" xr:uid="{00000000-0005-0000-0000-0000EE040000}"/>
    <cellStyle name="v_PSE IVY- from site &amp; Correction by tender sell" xfId="1210" xr:uid="{00000000-0005-0000-0000-0000EF040000}"/>
    <cellStyle name="v_PSE IVY- from site &amp; Correction by tender sell_L&amp;M" xfId="1211" xr:uid="{00000000-0005-0000-0000-0000F0040000}"/>
    <cellStyle name="v_PSE IVY- from site &amp; Correction by tender sell_SPCL Submission - Rates to be reviewed-1" xfId="1212" xr:uid="{00000000-0005-0000-0000-0000F1040000}"/>
    <cellStyle name="v_Sheet1" xfId="1213" xr:uid="{00000000-0005-0000-0000-0000F2040000}"/>
    <cellStyle name="v_Sheet1_L&amp;M" xfId="1214" xr:uid="{00000000-0005-0000-0000-0000F3040000}"/>
    <cellStyle name="v_Sheet1_SPCL Submission - Rates to be reviewed-1" xfId="1215" xr:uid="{00000000-0005-0000-0000-0000F4040000}"/>
    <cellStyle name="v_Submitted_27.10.05" xfId="1216" xr:uid="{00000000-0005-0000-0000-0000F5040000}"/>
    <cellStyle name="v_Submitted_27.10.05_L&amp;M" xfId="1217" xr:uid="{00000000-0005-0000-0000-0000F6040000}"/>
    <cellStyle name="v_Submitted_27.10.05_SPCL Submission - Rates to be reviewed-1" xfId="1218" xr:uid="{00000000-0005-0000-0000-0000F7040000}"/>
    <cellStyle name="v_Take off List-Block C" xfId="1219" xr:uid="{00000000-0005-0000-0000-0000F8040000}"/>
    <cellStyle name="v_Tower1-External Finishes-02112011-Bhuvana" xfId="1220" xr:uid="{00000000-0005-0000-0000-0000F9040000}"/>
    <cellStyle name="Valuta (0)_pldt" xfId="1221" xr:uid="{00000000-0005-0000-0000-0000FA040000}"/>
    <cellStyle name="Valuta_pldt" xfId="1222" xr:uid="{00000000-0005-0000-0000-0000FB040000}"/>
    <cellStyle name="Währung [0]_RESULTS" xfId="1223" xr:uid="{00000000-0005-0000-0000-0000FC040000}"/>
    <cellStyle name="Währung_RESULTS" xfId="1224" xr:uid="{00000000-0005-0000-0000-0000FD040000}"/>
    <cellStyle name="Warning Text 2" xfId="1225" xr:uid="{00000000-0005-0000-0000-0000FE040000}"/>
    <cellStyle name="Warning Text 2 2" xfId="1226" xr:uid="{00000000-0005-0000-0000-0000FF040000}"/>
    <cellStyle name="YesNo" xfId="1227" xr:uid="{00000000-0005-0000-0000-000000050000}"/>
    <cellStyle name="ハイパーリンク" xfId="1228" xr:uid="{00000000-0005-0000-0000-000001050000}"/>
    <cellStyle name="똿뗦먛귟 [0.00]_PRODUCT DETAIL Q1" xfId="1229" xr:uid="{00000000-0005-0000-0000-000002050000}"/>
    <cellStyle name="똿뗦먛귟_PRODUCT DETAIL Q1" xfId="1230" xr:uid="{00000000-0005-0000-0000-000003050000}"/>
    <cellStyle name="믅됞 [0.00]_PRODUCT DETAIL Q1" xfId="1231" xr:uid="{00000000-0005-0000-0000-000004050000}"/>
    <cellStyle name="믅됞_PRODUCT DETAIL Q1" xfId="1232" xr:uid="{00000000-0005-0000-0000-000005050000}"/>
    <cellStyle name="백분율_95" xfId="1233" xr:uid="{00000000-0005-0000-0000-000006050000}"/>
    <cellStyle name="뷭?_BOOKSHIP" xfId="1234" xr:uid="{00000000-0005-0000-0000-000007050000}"/>
    <cellStyle name="콤마 [0]_1.24분기 평가표 " xfId="1235" xr:uid="{00000000-0005-0000-0000-000008050000}"/>
    <cellStyle name="콤마_1.24분기 평가표 " xfId="1236" xr:uid="{00000000-0005-0000-0000-000009050000}"/>
    <cellStyle name="통화 [0]_1.24분기 평가표 " xfId="1237" xr:uid="{00000000-0005-0000-0000-00000A050000}"/>
    <cellStyle name="통화_1.24분기 평가표 " xfId="1238" xr:uid="{00000000-0005-0000-0000-00000B050000}"/>
    <cellStyle name="표준_(정보부문)월별인원계획" xfId="1239" xr:uid="{00000000-0005-0000-0000-00000C050000}"/>
    <cellStyle name="常规_geotextile cost" xfId="1240" xr:uid="{00000000-0005-0000-0000-00000D050000}"/>
    <cellStyle name="桁区切り [0.00]_laroux" xfId="1241" xr:uid="{00000000-0005-0000-0000-00000E050000}"/>
    <cellStyle name="桁区切り_COST (3)" xfId="1242" xr:uid="{00000000-0005-0000-0000-00000F050000}"/>
    <cellStyle name="標準_94物件" xfId="1243" xr:uid="{00000000-0005-0000-0000-000010050000}"/>
    <cellStyle name="表示済みのハイパーリンク" xfId="1244" xr:uid="{00000000-0005-0000-0000-000011050000}"/>
    <cellStyle name="通貨 [0.00]_laroux" xfId="1245" xr:uid="{00000000-0005-0000-0000-000012050000}"/>
    <cellStyle name="通貨_laroux" xfId="1246" xr:uid="{00000000-0005-0000-0000-00001305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16666</xdr:colOff>
      <xdr:row>1</xdr:row>
      <xdr:rowOff>9525</xdr:rowOff>
    </xdr:from>
    <xdr:to>
      <xdr:col>0</xdr:col>
      <xdr:colOff>1167286</xdr:colOff>
      <xdr:row>4</xdr:row>
      <xdr:rowOff>95250</xdr:rowOff>
    </xdr:to>
    <xdr:pic>
      <xdr:nvPicPr>
        <xdr:cNvPr id="2" name="Picture 4" descr="Image result for salarpuria sattva logo">
          <a:extLst>
            <a:ext uri="{FF2B5EF4-FFF2-40B4-BE49-F238E27FC236}">
              <a16:creationId xmlns:a16="http://schemas.microsoft.com/office/drawing/2014/main" id="{62DAF1B8-51D2-4A89-994F-1B76511390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666" y="212725"/>
          <a:ext cx="115062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368300</xdr:colOff>
      <xdr:row>1</xdr:row>
      <xdr:rowOff>50800</xdr:rowOff>
    </xdr:from>
    <xdr:to>
      <xdr:col>6</xdr:col>
      <xdr:colOff>659641</xdr:colOff>
      <xdr:row>5</xdr:row>
      <xdr:rowOff>58469</xdr:rowOff>
    </xdr:to>
    <xdr:pic>
      <xdr:nvPicPr>
        <xdr:cNvPr id="3" name="Picture 2">
          <a:extLst>
            <a:ext uri="{FF2B5EF4-FFF2-40B4-BE49-F238E27FC236}">
              <a16:creationId xmlns:a16="http://schemas.microsoft.com/office/drawing/2014/main" id="{0CBE917F-F200-4F48-9151-873A0CC0ADD5}"/>
            </a:ext>
          </a:extLst>
        </xdr:cNvPr>
        <xdr:cNvPicPr>
          <a:picLocks noChangeAspect="1"/>
        </xdr:cNvPicPr>
      </xdr:nvPicPr>
      <xdr:blipFill rotWithShape="1">
        <a:blip xmlns:r="http://schemas.openxmlformats.org/officeDocument/2006/relationships" r:embed="rId1" cstate="print"/>
        <a:srcRect l="62758" t="14286" r="4905" b="45502"/>
        <a:stretch/>
      </xdr:blipFill>
      <xdr:spPr>
        <a:xfrm>
          <a:off x="7664450" y="241300"/>
          <a:ext cx="1558166" cy="769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368300</xdr:colOff>
      <xdr:row>1</xdr:row>
      <xdr:rowOff>50800</xdr:rowOff>
    </xdr:from>
    <xdr:to>
      <xdr:col>7</xdr:col>
      <xdr:colOff>643076</xdr:colOff>
      <xdr:row>5</xdr:row>
      <xdr:rowOff>58469</xdr:rowOff>
    </xdr:to>
    <xdr:pic>
      <xdr:nvPicPr>
        <xdr:cNvPr id="2" name="Picture 1">
          <a:extLst>
            <a:ext uri="{FF2B5EF4-FFF2-40B4-BE49-F238E27FC236}">
              <a16:creationId xmlns:a16="http://schemas.microsoft.com/office/drawing/2014/main" id="{285659E8-2C01-47AC-83D1-4EBE008B3431}"/>
            </a:ext>
          </a:extLst>
        </xdr:cNvPr>
        <xdr:cNvPicPr>
          <a:picLocks noChangeAspect="1"/>
        </xdr:cNvPicPr>
      </xdr:nvPicPr>
      <xdr:blipFill rotWithShape="1">
        <a:blip xmlns:r="http://schemas.openxmlformats.org/officeDocument/2006/relationships" r:embed="rId1" cstate="print"/>
        <a:srcRect l="62758" t="14286" r="4905" b="45502"/>
        <a:stretch/>
      </xdr:blipFill>
      <xdr:spPr>
        <a:xfrm>
          <a:off x="7045325" y="98425"/>
          <a:ext cx="1560651" cy="7696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524996</xdr:colOff>
      <xdr:row>2</xdr:row>
      <xdr:rowOff>29299</xdr:rowOff>
    </xdr:from>
    <xdr:to>
      <xdr:col>7</xdr:col>
      <xdr:colOff>410334</xdr:colOff>
      <xdr:row>5</xdr:row>
      <xdr:rowOff>30257</xdr:rowOff>
    </xdr:to>
    <xdr:pic>
      <xdr:nvPicPr>
        <xdr:cNvPr id="2" name="Picture 1">
          <a:extLst>
            <a:ext uri="{FF2B5EF4-FFF2-40B4-BE49-F238E27FC236}">
              <a16:creationId xmlns:a16="http://schemas.microsoft.com/office/drawing/2014/main" id="{55834013-664E-46B6-88BA-BA8934CC3F74}"/>
            </a:ext>
          </a:extLst>
        </xdr:cNvPr>
        <xdr:cNvPicPr>
          <a:picLocks noChangeAspect="1"/>
        </xdr:cNvPicPr>
      </xdr:nvPicPr>
      <xdr:blipFill rotWithShape="1">
        <a:blip xmlns:r="http://schemas.openxmlformats.org/officeDocument/2006/relationships" r:embed="rId1" cstate="print"/>
        <a:srcRect l="62758" t="14286" r="4905" b="45502"/>
        <a:stretch/>
      </xdr:blipFill>
      <xdr:spPr>
        <a:xfrm>
          <a:off x="8346702" y="410299"/>
          <a:ext cx="1151603" cy="5724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818109</xdr:colOff>
      <xdr:row>3</xdr:row>
      <xdr:rowOff>207819</xdr:rowOff>
    </xdr:from>
    <xdr:to>
      <xdr:col>13</xdr:col>
      <xdr:colOff>689869</xdr:colOff>
      <xdr:row>6</xdr:row>
      <xdr:rowOff>138545</xdr:rowOff>
    </xdr:to>
    <xdr:pic>
      <xdr:nvPicPr>
        <xdr:cNvPr id="2" name="Picture 1">
          <a:extLst>
            <a:ext uri="{FF2B5EF4-FFF2-40B4-BE49-F238E27FC236}">
              <a16:creationId xmlns:a16="http://schemas.microsoft.com/office/drawing/2014/main" id="{6CFE1F3D-4F8F-4D88-9DD4-5BE0B999CA28}"/>
            </a:ext>
          </a:extLst>
        </xdr:cNvPr>
        <xdr:cNvPicPr>
          <a:picLocks noChangeAspect="1"/>
        </xdr:cNvPicPr>
      </xdr:nvPicPr>
      <xdr:blipFill rotWithShape="1">
        <a:blip xmlns:r="http://schemas.openxmlformats.org/officeDocument/2006/relationships" r:embed="rId1" cstate="print"/>
        <a:srcRect l="62758" t="14286" r="4905" b="45502"/>
        <a:stretch/>
      </xdr:blipFill>
      <xdr:spPr>
        <a:xfrm>
          <a:off x="24145700" y="1108364"/>
          <a:ext cx="1638214" cy="8139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9525</xdr:colOff>
      <xdr:row>2</xdr:row>
      <xdr:rowOff>171450</xdr:rowOff>
    </xdr:from>
    <xdr:to>
      <xdr:col>9</xdr:col>
      <xdr:colOff>1191632</xdr:colOff>
      <xdr:row>6</xdr:row>
      <xdr:rowOff>103094</xdr:rowOff>
    </xdr:to>
    <xdr:pic>
      <xdr:nvPicPr>
        <xdr:cNvPr id="2" name="Picture 1">
          <a:extLst>
            <a:ext uri="{FF2B5EF4-FFF2-40B4-BE49-F238E27FC236}">
              <a16:creationId xmlns:a16="http://schemas.microsoft.com/office/drawing/2014/main" id="{04DF0E4C-A0C6-45CF-B178-2AB11D6D08A5}"/>
            </a:ext>
          </a:extLst>
        </xdr:cNvPr>
        <xdr:cNvPicPr>
          <a:picLocks noChangeAspect="1"/>
        </xdr:cNvPicPr>
      </xdr:nvPicPr>
      <xdr:blipFill>
        <a:blip xmlns:r="http://schemas.openxmlformats.org/officeDocument/2006/relationships" r:embed="rId1"/>
        <a:stretch>
          <a:fillRect/>
        </a:stretch>
      </xdr:blipFill>
      <xdr:spPr>
        <a:xfrm>
          <a:off x="10877550" y="552450"/>
          <a:ext cx="1182107" cy="6936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114300</xdr:colOff>
      <xdr:row>5</xdr:row>
      <xdr:rowOff>85725</xdr:rowOff>
    </xdr:from>
    <xdr:to>
      <xdr:col>7</xdr:col>
      <xdr:colOff>124739</xdr:colOff>
      <xdr:row>5</xdr:row>
      <xdr:rowOff>85725</xdr:rowOff>
    </xdr:to>
    <xdr:cxnSp macro="">
      <xdr:nvCxnSpPr>
        <xdr:cNvPr id="24" name="Straight Connector 23">
          <a:extLst>
            <a:ext uri="{FF2B5EF4-FFF2-40B4-BE49-F238E27FC236}">
              <a16:creationId xmlns:a16="http://schemas.microsoft.com/office/drawing/2014/main" id="{FE5ED2AE-6DAA-4761-9B97-FA7AD5B9D49D}"/>
            </a:ext>
          </a:extLst>
        </xdr:cNvPr>
        <xdr:cNvCxnSpPr/>
      </xdr:nvCxnSpPr>
      <xdr:spPr>
        <a:xfrm>
          <a:off x="4714875" y="10410825"/>
          <a:ext cx="1077239"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7</xdr:row>
      <xdr:rowOff>104775</xdr:rowOff>
    </xdr:from>
    <xdr:to>
      <xdr:col>7</xdr:col>
      <xdr:colOff>124739</xdr:colOff>
      <xdr:row>7</xdr:row>
      <xdr:rowOff>104775</xdr:rowOff>
    </xdr:to>
    <xdr:cxnSp macro="">
      <xdr:nvCxnSpPr>
        <xdr:cNvPr id="25" name="Straight Connector 24">
          <a:extLst>
            <a:ext uri="{FF2B5EF4-FFF2-40B4-BE49-F238E27FC236}">
              <a16:creationId xmlns:a16="http://schemas.microsoft.com/office/drawing/2014/main" id="{FDA6AF7F-9F94-4894-815C-20B52AEE65EF}"/>
            </a:ext>
          </a:extLst>
        </xdr:cNvPr>
        <xdr:cNvCxnSpPr/>
      </xdr:nvCxnSpPr>
      <xdr:spPr>
        <a:xfrm>
          <a:off x="4714875" y="10753725"/>
          <a:ext cx="1077239"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12</xdr:row>
      <xdr:rowOff>85725</xdr:rowOff>
    </xdr:from>
    <xdr:to>
      <xdr:col>7</xdr:col>
      <xdr:colOff>124739</xdr:colOff>
      <xdr:row>12</xdr:row>
      <xdr:rowOff>85725</xdr:rowOff>
    </xdr:to>
    <xdr:cxnSp macro="">
      <xdr:nvCxnSpPr>
        <xdr:cNvPr id="2" name="Straight Connector 1">
          <a:extLst>
            <a:ext uri="{FF2B5EF4-FFF2-40B4-BE49-F238E27FC236}">
              <a16:creationId xmlns:a16="http://schemas.microsoft.com/office/drawing/2014/main" id="{023A7477-A0EA-4925-815E-182AA1FAEE09}"/>
            </a:ext>
          </a:extLst>
        </xdr:cNvPr>
        <xdr:cNvCxnSpPr/>
      </xdr:nvCxnSpPr>
      <xdr:spPr>
        <a:xfrm>
          <a:off x="4867275" y="2228850"/>
          <a:ext cx="1677314"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14</xdr:row>
      <xdr:rowOff>104775</xdr:rowOff>
    </xdr:from>
    <xdr:to>
      <xdr:col>7</xdr:col>
      <xdr:colOff>124739</xdr:colOff>
      <xdr:row>14</xdr:row>
      <xdr:rowOff>104775</xdr:rowOff>
    </xdr:to>
    <xdr:cxnSp macro="">
      <xdr:nvCxnSpPr>
        <xdr:cNvPr id="3" name="Straight Connector 2">
          <a:extLst>
            <a:ext uri="{FF2B5EF4-FFF2-40B4-BE49-F238E27FC236}">
              <a16:creationId xmlns:a16="http://schemas.microsoft.com/office/drawing/2014/main" id="{81480FDE-AE3E-4541-B699-F6DE547BACD2}"/>
            </a:ext>
          </a:extLst>
        </xdr:cNvPr>
        <xdr:cNvCxnSpPr/>
      </xdr:nvCxnSpPr>
      <xdr:spPr>
        <a:xfrm>
          <a:off x="4867275" y="2724150"/>
          <a:ext cx="1677314"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19</xdr:row>
      <xdr:rowOff>85725</xdr:rowOff>
    </xdr:from>
    <xdr:to>
      <xdr:col>7</xdr:col>
      <xdr:colOff>124739</xdr:colOff>
      <xdr:row>19</xdr:row>
      <xdr:rowOff>85725</xdr:rowOff>
    </xdr:to>
    <xdr:cxnSp macro="">
      <xdr:nvCxnSpPr>
        <xdr:cNvPr id="6" name="Straight Connector 5">
          <a:extLst>
            <a:ext uri="{FF2B5EF4-FFF2-40B4-BE49-F238E27FC236}">
              <a16:creationId xmlns:a16="http://schemas.microsoft.com/office/drawing/2014/main" id="{24B39416-7EC6-40A4-A872-EA81591A36D9}"/>
            </a:ext>
          </a:extLst>
        </xdr:cNvPr>
        <xdr:cNvCxnSpPr/>
      </xdr:nvCxnSpPr>
      <xdr:spPr>
        <a:xfrm>
          <a:off x="4876800" y="3977368"/>
          <a:ext cx="1792975"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21</xdr:row>
      <xdr:rowOff>104775</xdr:rowOff>
    </xdr:from>
    <xdr:to>
      <xdr:col>7</xdr:col>
      <xdr:colOff>124739</xdr:colOff>
      <xdr:row>21</xdr:row>
      <xdr:rowOff>104775</xdr:rowOff>
    </xdr:to>
    <xdr:cxnSp macro="">
      <xdr:nvCxnSpPr>
        <xdr:cNvPr id="7" name="Straight Connector 6">
          <a:extLst>
            <a:ext uri="{FF2B5EF4-FFF2-40B4-BE49-F238E27FC236}">
              <a16:creationId xmlns:a16="http://schemas.microsoft.com/office/drawing/2014/main" id="{ACBC7702-F2E0-48E7-A1D5-7D1084B19678}"/>
            </a:ext>
          </a:extLst>
        </xdr:cNvPr>
        <xdr:cNvCxnSpPr/>
      </xdr:nvCxnSpPr>
      <xdr:spPr>
        <a:xfrm>
          <a:off x="4876800" y="4486275"/>
          <a:ext cx="1792975"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25</xdr:row>
      <xdr:rowOff>85725</xdr:rowOff>
    </xdr:from>
    <xdr:to>
      <xdr:col>7</xdr:col>
      <xdr:colOff>124739</xdr:colOff>
      <xdr:row>25</xdr:row>
      <xdr:rowOff>85725</xdr:rowOff>
    </xdr:to>
    <xdr:cxnSp macro="">
      <xdr:nvCxnSpPr>
        <xdr:cNvPr id="8" name="Straight Connector 7">
          <a:extLst>
            <a:ext uri="{FF2B5EF4-FFF2-40B4-BE49-F238E27FC236}">
              <a16:creationId xmlns:a16="http://schemas.microsoft.com/office/drawing/2014/main" id="{A7182D2B-78E0-44F0-A4ED-DCE43AB22512}"/>
            </a:ext>
          </a:extLst>
        </xdr:cNvPr>
        <xdr:cNvCxnSpPr/>
      </xdr:nvCxnSpPr>
      <xdr:spPr>
        <a:xfrm>
          <a:off x="4876800" y="5610225"/>
          <a:ext cx="1792975"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27</xdr:row>
      <xdr:rowOff>104775</xdr:rowOff>
    </xdr:from>
    <xdr:to>
      <xdr:col>7</xdr:col>
      <xdr:colOff>124739</xdr:colOff>
      <xdr:row>27</xdr:row>
      <xdr:rowOff>104775</xdr:rowOff>
    </xdr:to>
    <xdr:cxnSp macro="">
      <xdr:nvCxnSpPr>
        <xdr:cNvPr id="9" name="Straight Connector 8">
          <a:extLst>
            <a:ext uri="{FF2B5EF4-FFF2-40B4-BE49-F238E27FC236}">
              <a16:creationId xmlns:a16="http://schemas.microsoft.com/office/drawing/2014/main" id="{87BFE232-A4B5-48B8-B96E-FA849BBA32FF}"/>
            </a:ext>
          </a:extLst>
        </xdr:cNvPr>
        <xdr:cNvCxnSpPr/>
      </xdr:nvCxnSpPr>
      <xdr:spPr>
        <a:xfrm>
          <a:off x="4876800" y="6119132"/>
          <a:ext cx="1792975"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30</xdr:row>
      <xdr:rowOff>85725</xdr:rowOff>
    </xdr:from>
    <xdr:to>
      <xdr:col>7</xdr:col>
      <xdr:colOff>124739</xdr:colOff>
      <xdr:row>30</xdr:row>
      <xdr:rowOff>85725</xdr:rowOff>
    </xdr:to>
    <xdr:cxnSp macro="">
      <xdr:nvCxnSpPr>
        <xdr:cNvPr id="10" name="Straight Connector 9">
          <a:extLst>
            <a:ext uri="{FF2B5EF4-FFF2-40B4-BE49-F238E27FC236}">
              <a16:creationId xmlns:a16="http://schemas.microsoft.com/office/drawing/2014/main" id="{7000921B-55E5-4311-8038-C3FB00FE55A9}"/>
            </a:ext>
          </a:extLst>
        </xdr:cNvPr>
        <xdr:cNvCxnSpPr/>
      </xdr:nvCxnSpPr>
      <xdr:spPr>
        <a:xfrm>
          <a:off x="6333565" y="6383431"/>
          <a:ext cx="1310321"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32</xdr:row>
      <xdr:rowOff>104775</xdr:rowOff>
    </xdr:from>
    <xdr:to>
      <xdr:col>7</xdr:col>
      <xdr:colOff>124739</xdr:colOff>
      <xdr:row>32</xdr:row>
      <xdr:rowOff>104775</xdr:rowOff>
    </xdr:to>
    <xdr:cxnSp macro="">
      <xdr:nvCxnSpPr>
        <xdr:cNvPr id="11" name="Straight Connector 10">
          <a:extLst>
            <a:ext uri="{FF2B5EF4-FFF2-40B4-BE49-F238E27FC236}">
              <a16:creationId xmlns:a16="http://schemas.microsoft.com/office/drawing/2014/main" id="{AB71FC0A-183A-4F39-B40A-832474D10DAF}"/>
            </a:ext>
          </a:extLst>
        </xdr:cNvPr>
        <xdr:cNvCxnSpPr/>
      </xdr:nvCxnSpPr>
      <xdr:spPr>
        <a:xfrm>
          <a:off x="6333565" y="6873128"/>
          <a:ext cx="1310321"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36</xdr:row>
      <xdr:rowOff>85725</xdr:rowOff>
    </xdr:from>
    <xdr:to>
      <xdr:col>7</xdr:col>
      <xdr:colOff>124739</xdr:colOff>
      <xdr:row>36</xdr:row>
      <xdr:rowOff>85725</xdr:rowOff>
    </xdr:to>
    <xdr:cxnSp macro="">
      <xdr:nvCxnSpPr>
        <xdr:cNvPr id="14" name="Straight Connector 13">
          <a:extLst>
            <a:ext uri="{FF2B5EF4-FFF2-40B4-BE49-F238E27FC236}">
              <a16:creationId xmlns:a16="http://schemas.microsoft.com/office/drawing/2014/main" id="{0BD79613-1567-4A52-9910-C4F3F4C7E63F}"/>
            </a:ext>
          </a:extLst>
        </xdr:cNvPr>
        <xdr:cNvCxnSpPr/>
      </xdr:nvCxnSpPr>
      <xdr:spPr>
        <a:xfrm>
          <a:off x="6333565" y="7324725"/>
          <a:ext cx="1310321"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38</xdr:row>
      <xdr:rowOff>104775</xdr:rowOff>
    </xdr:from>
    <xdr:to>
      <xdr:col>7</xdr:col>
      <xdr:colOff>124739</xdr:colOff>
      <xdr:row>38</xdr:row>
      <xdr:rowOff>104775</xdr:rowOff>
    </xdr:to>
    <xdr:cxnSp macro="">
      <xdr:nvCxnSpPr>
        <xdr:cNvPr id="15" name="Straight Connector 14">
          <a:extLst>
            <a:ext uri="{FF2B5EF4-FFF2-40B4-BE49-F238E27FC236}">
              <a16:creationId xmlns:a16="http://schemas.microsoft.com/office/drawing/2014/main" id="{99D049DB-6A95-4405-B792-919732C0B50D}"/>
            </a:ext>
          </a:extLst>
        </xdr:cNvPr>
        <xdr:cNvCxnSpPr/>
      </xdr:nvCxnSpPr>
      <xdr:spPr>
        <a:xfrm>
          <a:off x="6333565" y="7814422"/>
          <a:ext cx="1310321"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43</xdr:row>
      <xdr:rowOff>85725</xdr:rowOff>
    </xdr:from>
    <xdr:to>
      <xdr:col>7</xdr:col>
      <xdr:colOff>124739</xdr:colOff>
      <xdr:row>43</xdr:row>
      <xdr:rowOff>85725</xdr:rowOff>
    </xdr:to>
    <xdr:cxnSp macro="">
      <xdr:nvCxnSpPr>
        <xdr:cNvPr id="16" name="Straight Connector 15">
          <a:extLst>
            <a:ext uri="{FF2B5EF4-FFF2-40B4-BE49-F238E27FC236}">
              <a16:creationId xmlns:a16="http://schemas.microsoft.com/office/drawing/2014/main" id="{D5EA8234-17AA-4733-8C1A-27F675B8EC2C}"/>
            </a:ext>
          </a:extLst>
        </xdr:cNvPr>
        <xdr:cNvCxnSpPr/>
      </xdr:nvCxnSpPr>
      <xdr:spPr>
        <a:xfrm>
          <a:off x="6346371" y="3242582"/>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61</xdr:row>
      <xdr:rowOff>104775</xdr:rowOff>
    </xdr:from>
    <xdr:to>
      <xdr:col>7</xdr:col>
      <xdr:colOff>124739</xdr:colOff>
      <xdr:row>61</xdr:row>
      <xdr:rowOff>104775</xdr:rowOff>
    </xdr:to>
    <xdr:cxnSp macro="">
      <xdr:nvCxnSpPr>
        <xdr:cNvPr id="17" name="Straight Connector 16">
          <a:extLst>
            <a:ext uri="{FF2B5EF4-FFF2-40B4-BE49-F238E27FC236}">
              <a16:creationId xmlns:a16="http://schemas.microsoft.com/office/drawing/2014/main" id="{38196C12-3364-47A9-97F3-6ACFE65888AF}"/>
            </a:ext>
          </a:extLst>
        </xdr:cNvPr>
        <xdr:cNvCxnSpPr/>
      </xdr:nvCxnSpPr>
      <xdr:spPr>
        <a:xfrm>
          <a:off x="6346371" y="3724275"/>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24</xdr:col>
      <xdr:colOff>435429</xdr:colOff>
      <xdr:row>33</xdr:row>
      <xdr:rowOff>122465</xdr:rowOff>
    </xdr:from>
    <xdr:to>
      <xdr:col>33</xdr:col>
      <xdr:colOff>267616</xdr:colOff>
      <xdr:row>54</xdr:row>
      <xdr:rowOff>23612</xdr:rowOff>
    </xdr:to>
    <xdr:pic>
      <xdr:nvPicPr>
        <xdr:cNvPr id="5" name="Picture 4">
          <a:extLst>
            <a:ext uri="{FF2B5EF4-FFF2-40B4-BE49-F238E27FC236}">
              <a16:creationId xmlns:a16="http://schemas.microsoft.com/office/drawing/2014/main" id="{CC3F6A7E-26C1-4758-8029-A9941AC6D7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0608" y="8150679"/>
          <a:ext cx="6554115" cy="3439005"/>
        </a:xfrm>
        <a:prstGeom prst="rect">
          <a:avLst/>
        </a:prstGeom>
      </xdr:spPr>
    </xdr:pic>
    <xdr:clientData/>
  </xdr:twoCellAnchor>
  <xdr:twoCellAnchor>
    <xdr:from>
      <xdr:col>4</xdr:col>
      <xdr:colOff>114300</xdr:colOff>
      <xdr:row>46</xdr:row>
      <xdr:rowOff>85725</xdr:rowOff>
    </xdr:from>
    <xdr:to>
      <xdr:col>7</xdr:col>
      <xdr:colOff>124739</xdr:colOff>
      <xdr:row>46</xdr:row>
      <xdr:rowOff>85725</xdr:rowOff>
    </xdr:to>
    <xdr:cxnSp macro="">
      <xdr:nvCxnSpPr>
        <xdr:cNvPr id="18" name="Straight Connector 17">
          <a:extLst>
            <a:ext uri="{FF2B5EF4-FFF2-40B4-BE49-F238E27FC236}">
              <a16:creationId xmlns:a16="http://schemas.microsoft.com/office/drawing/2014/main" id="{6EFBCE18-45DA-4D08-9202-4D231C737AD7}"/>
            </a:ext>
          </a:extLst>
        </xdr:cNvPr>
        <xdr:cNvCxnSpPr/>
      </xdr:nvCxnSpPr>
      <xdr:spPr>
        <a:xfrm>
          <a:off x="6346371" y="10454368"/>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49</xdr:row>
      <xdr:rowOff>85725</xdr:rowOff>
    </xdr:from>
    <xdr:to>
      <xdr:col>7</xdr:col>
      <xdr:colOff>124739</xdr:colOff>
      <xdr:row>49</xdr:row>
      <xdr:rowOff>85725</xdr:rowOff>
    </xdr:to>
    <xdr:cxnSp macro="">
      <xdr:nvCxnSpPr>
        <xdr:cNvPr id="19" name="Straight Connector 18">
          <a:extLst>
            <a:ext uri="{FF2B5EF4-FFF2-40B4-BE49-F238E27FC236}">
              <a16:creationId xmlns:a16="http://schemas.microsoft.com/office/drawing/2014/main" id="{B90FA682-3E37-4D45-8C3E-AD184E18DB4E}"/>
            </a:ext>
          </a:extLst>
        </xdr:cNvPr>
        <xdr:cNvCxnSpPr/>
      </xdr:nvCxnSpPr>
      <xdr:spPr>
        <a:xfrm>
          <a:off x="6346371" y="10454368"/>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52</xdr:row>
      <xdr:rowOff>85725</xdr:rowOff>
    </xdr:from>
    <xdr:to>
      <xdr:col>7</xdr:col>
      <xdr:colOff>124739</xdr:colOff>
      <xdr:row>52</xdr:row>
      <xdr:rowOff>85725</xdr:rowOff>
    </xdr:to>
    <xdr:cxnSp macro="">
      <xdr:nvCxnSpPr>
        <xdr:cNvPr id="20" name="Straight Connector 19">
          <a:extLst>
            <a:ext uri="{FF2B5EF4-FFF2-40B4-BE49-F238E27FC236}">
              <a16:creationId xmlns:a16="http://schemas.microsoft.com/office/drawing/2014/main" id="{791D1243-7392-46B9-B8B0-C192721B3F15}"/>
            </a:ext>
          </a:extLst>
        </xdr:cNvPr>
        <xdr:cNvCxnSpPr/>
      </xdr:nvCxnSpPr>
      <xdr:spPr>
        <a:xfrm>
          <a:off x="6346371" y="11923939"/>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55</xdr:row>
      <xdr:rowOff>85725</xdr:rowOff>
    </xdr:from>
    <xdr:to>
      <xdr:col>7</xdr:col>
      <xdr:colOff>124739</xdr:colOff>
      <xdr:row>55</xdr:row>
      <xdr:rowOff>85725</xdr:rowOff>
    </xdr:to>
    <xdr:cxnSp macro="">
      <xdr:nvCxnSpPr>
        <xdr:cNvPr id="21" name="Straight Connector 20">
          <a:extLst>
            <a:ext uri="{FF2B5EF4-FFF2-40B4-BE49-F238E27FC236}">
              <a16:creationId xmlns:a16="http://schemas.microsoft.com/office/drawing/2014/main" id="{019942E6-D747-4288-8ED1-DA63D57F866D}"/>
            </a:ext>
          </a:extLst>
        </xdr:cNvPr>
        <xdr:cNvCxnSpPr/>
      </xdr:nvCxnSpPr>
      <xdr:spPr>
        <a:xfrm>
          <a:off x="6346371" y="11923939"/>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114300</xdr:colOff>
      <xdr:row>58</xdr:row>
      <xdr:rowOff>85725</xdr:rowOff>
    </xdr:from>
    <xdr:to>
      <xdr:col>7</xdr:col>
      <xdr:colOff>124739</xdr:colOff>
      <xdr:row>58</xdr:row>
      <xdr:rowOff>85725</xdr:rowOff>
    </xdr:to>
    <xdr:cxnSp macro="">
      <xdr:nvCxnSpPr>
        <xdr:cNvPr id="22" name="Straight Connector 21">
          <a:extLst>
            <a:ext uri="{FF2B5EF4-FFF2-40B4-BE49-F238E27FC236}">
              <a16:creationId xmlns:a16="http://schemas.microsoft.com/office/drawing/2014/main" id="{2450C474-FAAA-4E2F-B763-504540829EC9}"/>
            </a:ext>
          </a:extLst>
        </xdr:cNvPr>
        <xdr:cNvCxnSpPr/>
      </xdr:nvCxnSpPr>
      <xdr:spPr>
        <a:xfrm>
          <a:off x="6346371" y="13393511"/>
          <a:ext cx="1330332" cy="0"/>
        </a:xfrm>
        <a:prstGeom prst="line">
          <a:avLst/>
        </a:prstGeom>
        <a:ln w="28575" cap="flat" cmpd="sng">
          <a:solidFill>
            <a:schemeClr val="tx1"/>
          </a:solidFill>
          <a:prstDash val="solid"/>
        </a:ln>
        <a:effectLst>
          <a:glow rad="139700">
            <a:srgbClr val="0070C0">
              <a:alpha val="40000"/>
            </a:srgbClr>
          </a:glow>
          <a:innerShdw blurRad="114300">
            <a:schemeClr val="tx1"/>
          </a:innerShdw>
          <a:reflection blurRad="6350" stA="50000" endA="300" endPos="55000" dir="5400000" sy="-100000" algn="bl" rotWithShape="0"/>
        </a:effectLst>
      </xdr:spPr>
      <xdr:style>
        <a:lnRef idx="2">
          <a:schemeClr val="dk1"/>
        </a:lnRef>
        <a:fillRef idx="0">
          <a:schemeClr val="dk1"/>
        </a:fillRef>
        <a:effectRef idx="1">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agathi/RUDRESH%20M%20K/Sattva%20City/RA%20BILL-03%20SUBMISSION%20COPY/SATTVA%20CITY%20-%20PRAGATHI%20LANDSCAPERS%20-%20RA%20BILL-03%20upda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GATHI/RUDRESH/Sattva%20City/SATTVA%20CITY%20NT%20MEASUREMNETS/SATTCA%20CITY-NT%20WO%20NO%204300006116%20DETAILS-15-07-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GATHI/RUDRESH/Sattva%20City/RA%20BILL-05%20CERTIFIED%20COPY/SATTVA%20CITY%20-%20PRAGATHI%20LANDSCAPERS%20-%20RA%20BILL-05%20CUMMULA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Tracker"/>
      <sheetName val="Checklist"/>
      <sheetName val="Summary "/>
      <sheetName val="PRAG SUM"/>
      <sheetName val="Abstract "/>
      <sheetName val="M BOOK"/>
      <sheetName val="BBS"/>
      <sheetName val="NT"/>
      <sheetName val="DCS"/>
      <sheetName val="RECON"/>
      <sheetName val="RLS"/>
      <sheetName val="ISSUE BACKUP"/>
      <sheetName val="Recovery details"/>
      <sheetName val="Sheet1"/>
    </sheetNames>
    <sheetDataSet>
      <sheetData sheetId="0"/>
      <sheetData sheetId="1"/>
      <sheetData sheetId="2"/>
      <sheetData sheetId="3"/>
      <sheetData sheetId="4">
        <row r="39">
          <cell r="G39">
            <v>19856638.919000003</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RONOLOGY"/>
      <sheetName val="ABSTRACT"/>
      <sheetName val="RATE ANALYSIS"/>
      <sheetName val="MBOOK"/>
    </sheetNames>
    <sheetDataSet>
      <sheetData sheetId="0"/>
      <sheetData sheetId="1">
        <row r="13">
          <cell r="B13" t="str">
            <v>NT-04</v>
          </cell>
          <cell r="C13" t="str">
            <v>Supply and fixing of 25mm thick separation board of silplex capell HD-100 Soft board with 12mm dia dowell bars and 20mm PVC pipe with closed end filled with Grease with all material , labour and lead and lift complete as per specification.</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Tracker"/>
      <sheetName val="Checklist"/>
      <sheetName val="PRAG SUMMURY "/>
      <sheetName val="PRAG SUM"/>
      <sheetName val="Summary "/>
      <sheetName val="PRAG SUMMURY"/>
      <sheetName val="Abstract "/>
      <sheetName val="NT MEAS"/>
      <sheetName val="M BOOK"/>
      <sheetName val="BBS"/>
      <sheetName val="DC S "/>
      <sheetName val="NT"/>
      <sheetName val="DCS"/>
      <sheetName val="RECON"/>
      <sheetName val="ISSUE DETAILS"/>
      <sheetName val="RLS"/>
      <sheetName val="ISSUE BACKUP"/>
      <sheetName val="Recovery details"/>
      <sheetName val="Hold Amount Details"/>
      <sheetName val="Pragathi RMC Details"/>
    </sheetNames>
    <sheetDataSet>
      <sheetData sheetId="0" refreshError="1"/>
      <sheetData sheetId="1" refreshError="1"/>
      <sheetData sheetId="2" refreshError="1"/>
      <sheetData sheetId="3" refreshError="1"/>
      <sheetData sheetId="4" refreshError="1"/>
      <sheetData sheetId="5" refreshError="1"/>
      <sheetData sheetId="6">
        <row r="38">
          <cell r="J38">
            <v>602.99415401999988</v>
          </cell>
        </row>
      </sheetData>
      <sheetData sheetId="7">
        <row r="21">
          <cell r="I21">
            <v>267.45679999999999</v>
          </cell>
        </row>
      </sheetData>
      <sheetData sheetId="8">
        <row r="97">
          <cell r="I97">
            <v>1108.1807999999999</v>
          </cell>
        </row>
        <row r="131">
          <cell r="I131">
            <v>1165.0394999999999</v>
          </cell>
        </row>
        <row r="197">
          <cell r="K197">
            <v>199.38895187</v>
          </cell>
        </row>
        <row r="270">
          <cell r="K270">
            <v>771.56950950000009</v>
          </cell>
          <cell r="L270">
            <v>1064.8501831000001</v>
          </cell>
        </row>
      </sheetData>
      <sheetData sheetId="9">
        <row r="70">
          <cell r="O70">
            <v>11.597467985555559</v>
          </cell>
        </row>
      </sheetData>
      <sheetData sheetId="10" refreshError="1"/>
      <sheetData sheetId="11">
        <row r="28">
          <cell r="I28">
            <v>99.915139799999992</v>
          </cell>
        </row>
      </sheetData>
      <sheetData sheetId="12" refreshError="1"/>
      <sheetData sheetId="13" refreshError="1"/>
      <sheetData sheetId="14" refreshError="1"/>
      <sheetData sheetId="15" refreshError="1"/>
      <sheetData sheetId="16">
        <row r="68">
          <cell r="G68" t="str">
            <v>CUM</v>
          </cell>
        </row>
      </sheetData>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6"/>
  <sheetViews>
    <sheetView view="pageBreakPreview" topLeftCell="A4" zoomScale="85" zoomScaleNormal="85" zoomScaleSheetLayoutView="85" workbookViewId="0">
      <selection activeCell="B7" sqref="B7"/>
    </sheetView>
  </sheetViews>
  <sheetFormatPr defaultColWidth="9.140625" defaultRowHeight="14.25"/>
  <cols>
    <col min="1" max="1" width="16.85546875" style="217" bestFit="1" customWidth="1"/>
    <col min="2" max="2" width="53.85546875" style="208" customWidth="1"/>
    <col min="3" max="3" width="16.42578125" style="216" customWidth="1"/>
    <col min="4" max="4" width="13.28515625" style="217" customWidth="1"/>
    <col min="5" max="5" width="23.5703125" style="208" bestFit="1" customWidth="1"/>
    <col min="6" max="16384" width="9.140625" style="208"/>
  </cols>
  <sheetData>
    <row r="1" spans="1:7" ht="21.95" customHeight="1">
      <c r="A1" s="203" t="s">
        <v>266</v>
      </c>
      <c r="B1" s="204" t="s">
        <v>267</v>
      </c>
      <c r="C1" s="205"/>
      <c r="D1" s="206" t="s">
        <v>268</v>
      </c>
      <c r="E1" s="207" t="s">
        <v>631</v>
      </c>
    </row>
    <row r="2" spans="1:7" ht="21.95" customHeight="1">
      <c r="A2" s="209" t="s">
        <v>269</v>
      </c>
      <c r="B2" s="210" t="s">
        <v>270</v>
      </c>
      <c r="C2" s="210"/>
      <c r="D2" s="210"/>
      <c r="E2" s="211"/>
      <c r="F2" s="210"/>
      <c r="G2" s="210"/>
    </row>
    <row r="3" spans="1:7" ht="21.95" customHeight="1">
      <c r="A3" s="209" t="s">
        <v>271</v>
      </c>
      <c r="B3" s="212" t="s">
        <v>272</v>
      </c>
      <c r="C3" s="210"/>
      <c r="D3" s="210"/>
      <c r="E3" s="211"/>
      <c r="F3" s="210"/>
      <c r="G3" s="210"/>
    </row>
    <row r="4" spans="1:7" ht="21.95" customHeight="1">
      <c r="A4" s="209" t="s">
        <v>273</v>
      </c>
      <c r="B4" s="210" t="s">
        <v>632</v>
      </c>
      <c r="C4" s="210"/>
      <c r="D4" s="210"/>
      <c r="E4" s="211"/>
      <c r="F4" s="210"/>
      <c r="G4" s="210"/>
    </row>
    <row r="5" spans="1:7" ht="22.5" customHeight="1">
      <c r="A5" s="213" t="s">
        <v>274</v>
      </c>
      <c r="B5" s="210" t="s">
        <v>275</v>
      </c>
      <c r="C5" s="210"/>
      <c r="D5" s="210"/>
      <c r="E5" s="211"/>
      <c r="F5" s="210"/>
      <c r="G5" s="210"/>
    </row>
    <row r="6" spans="1:7" ht="21.95" customHeight="1">
      <c r="A6" s="209" t="s">
        <v>276</v>
      </c>
      <c r="B6" s="210" t="s">
        <v>635</v>
      </c>
      <c r="C6" s="210"/>
      <c r="D6" s="210"/>
      <c r="E6" s="211"/>
      <c r="F6" s="210"/>
      <c r="G6" s="210"/>
    </row>
    <row r="7" spans="1:7" ht="21.95" customHeight="1">
      <c r="A7" s="209" t="s">
        <v>277</v>
      </c>
      <c r="B7" s="210" t="s">
        <v>608</v>
      </c>
      <c r="C7" s="210"/>
      <c r="D7" s="210"/>
      <c r="E7" s="211"/>
      <c r="F7" s="210"/>
      <c r="G7" s="210"/>
    </row>
    <row r="8" spans="1:7" ht="21.95" customHeight="1">
      <c r="A8" s="214"/>
      <c r="B8" s="215"/>
      <c r="E8" s="218"/>
    </row>
    <row r="9" spans="1:7" ht="22.5" customHeight="1">
      <c r="A9" s="794" t="s">
        <v>278</v>
      </c>
      <c r="B9" s="795"/>
      <c r="C9" s="795"/>
      <c r="D9" s="795"/>
      <c r="E9" s="796"/>
    </row>
    <row r="10" spans="1:7" ht="36" customHeight="1">
      <c r="A10" s="219" t="s">
        <v>279</v>
      </c>
      <c r="B10" s="220" t="s">
        <v>280</v>
      </c>
      <c r="C10" s="220" t="s">
        <v>281</v>
      </c>
      <c r="D10" s="219" t="s">
        <v>282</v>
      </c>
      <c r="E10" s="220" t="s">
        <v>283</v>
      </c>
    </row>
    <row r="11" spans="1:7" ht="15" customHeight="1">
      <c r="A11" s="221"/>
      <c r="B11" s="222"/>
      <c r="C11" s="223"/>
      <c r="D11" s="224"/>
      <c r="E11" s="225"/>
    </row>
    <row r="12" spans="1:7" ht="24.95" customHeight="1">
      <c r="A12" s="226" t="s">
        <v>3</v>
      </c>
      <c r="B12" s="227" t="s">
        <v>284</v>
      </c>
      <c r="C12" s="228"/>
      <c r="D12" s="228"/>
      <c r="E12" s="229"/>
    </row>
    <row r="13" spans="1:7" ht="25.5" customHeight="1">
      <c r="A13" s="230">
        <v>1</v>
      </c>
      <c r="B13" s="231" t="s">
        <v>285</v>
      </c>
      <c r="C13" s="232" t="s">
        <v>609</v>
      </c>
      <c r="D13" s="228"/>
      <c r="E13" s="229"/>
    </row>
    <row r="14" spans="1:7" ht="24.95" customHeight="1">
      <c r="A14" s="230">
        <v>2</v>
      </c>
      <c r="B14" s="231" t="s">
        <v>286</v>
      </c>
      <c r="C14" s="232" t="s">
        <v>630</v>
      </c>
      <c r="D14" s="228"/>
      <c r="E14" s="233"/>
    </row>
    <row r="15" spans="1:7" ht="24.95" customHeight="1">
      <c r="A15" s="230">
        <v>3</v>
      </c>
      <c r="B15" s="231" t="s">
        <v>287</v>
      </c>
      <c r="C15" s="232" t="s">
        <v>630</v>
      </c>
      <c r="D15" s="228"/>
      <c r="E15" s="229"/>
    </row>
    <row r="16" spans="1:7" ht="24.95" customHeight="1">
      <c r="A16" s="230">
        <v>4</v>
      </c>
      <c r="B16" s="234" t="s">
        <v>288</v>
      </c>
      <c r="C16" s="232"/>
      <c r="D16" s="228"/>
      <c r="E16" s="229"/>
    </row>
    <row r="17" spans="1:5" ht="31.5" customHeight="1">
      <c r="A17" s="230">
        <v>5</v>
      </c>
      <c r="B17" s="231" t="s">
        <v>289</v>
      </c>
      <c r="C17" s="232"/>
      <c r="D17" s="228"/>
      <c r="E17" s="233"/>
    </row>
    <row r="18" spans="1:5" ht="24.95" customHeight="1">
      <c r="A18" s="230">
        <v>6</v>
      </c>
      <c r="B18" s="234" t="s">
        <v>290</v>
      </c>
      <c r="C18" s="232"/>
      <c r="D18" s="228"/>
      <c r="E18" s="229"/>
    </row>
    <row r="19" spans="1:5" ht="23.45" customHeight="1">
      <c r="A19" s="230">
        <v>7</v>
      </c>
      <c r="B19" s="231" t="s">
        <v>291</v>
      </c>
      <c r="C19" s="235"/>
      <c r="D19" s="228"/>
      <c r="E19" s="233"/>
    </row>
    <row r="20" spans="1:5" ht="24.95" customHeight="1">
      <c r="A20" s="230">
        <v>8</v>
      </c>
      <c r="B20" s="234" t="s">
        <v>292</v>
      </c>
      <c r="C20" s="232"/>
      <c r="D20" s="228"/>
      <c r="E20" s="229"/>
    </row>
    <row r="21" spans="1:5" ht="24.95" customHeight="1">
      <c r="A21" s="230">
        <v>9</v>
      </c>
      <c r="B21" s="231" t="s">
        <v>293</v>
      </c>
      <c r="C21" s="232"/>
      <c r="D21" s="228"/>
      <c r="E21" s="229"/>
    </row>
    <row r="22" spans="1:5" ht="24.95" customHeight="1">
      <c r="A22" s="230">
        <v>10</v>
      </c>
      <c r="B22" s="234" t="s">
        <v>294</v>
      </c>
      <c r="C22" s="232" t="str">
        <f>E1</f>
        <v xml:space="preserve"> 21.07.2025</v>
      </c>
      <c r="D22" s="228"/>
      <c r="E22" s="229"/>
    </row>
    <row r="23" spans="1:5" ht="24.95" customHeight="1">
      <c r="A23" s="230"/>
      <c r="B23" s="231"/>
      <c r="C23" s="228"/>
      <c r="D23" s="228"/>
      <c r="E23" s="229"/>
    </row>
    <row r="24" spans="1:5" ht="24.95" customHeight="1">
      <c r="A24" s="226" t="s">
        <v>4</v>
      </c>
      <c r="B24" s="227" t="s">
        <v>295</v>
      </c>
      <c r="C24" s="228"/>
      <c r="D24" s="228"/>
      <c r="E24" s="229"/>
    </row>
    <row r="25" spans="1:5" ht="24.95" customHeight="1">
      <c r="A25" s="230">
        <v>1</v>
      </c>
      <c r="B25" s="231" t="s">
        <v>296</v>
      </c>
      <c r="C25" s="232"/>
      <c r="D25" s="228"/>
      <c r="E25" s="229"/>
    </row>
    <row r="26" spans="1:5" ht="24.95" customHeight="1">
      <c r="A26" s="230">
        <v>2</v>
      </c>
      <c r="B26" s="231" t="s">
        <v>297</v>
      </c>
      <c r="C26" s="232"/>
      <c r="D26" s="228"/>
      <c r="E26" s="229"/>
    </row>
    <row r="27" spans="1:5" ht="24.95" customHeight="1">
      <c r="A27" s="230">
        <v>3</v>
      </c>
      <c r="B27" s="231" t="s">
        <v>298</v>
      </c>
      <c r="C27" s="232"/>
      <c r="D27" s="228"/>
      <c r="E27" s="229"/>
    </row>
    <row r="28" spans="1:5" ht="24.95" customHeight="1">
      <c r="A28" s="230">
        <v>4</v>
      </c>
      <c r="B28" s="231" t="s">
        <v>299</v>
      </c>
      <c r="C28" s="232"/>
      <c r="D28" s="228"/>
      <c r="E28" s="229"/>
    </row>
    <row r="29" spans="1:5" ht="24.95" customHeight="1">
      <c r="A29" s="230">
        <v>5</v>
      </c>
      <c r="B29" s="231" t="s">
        <v>300</v>
      </c>
      <c r="C29" s="232"/>
      <c r="D29" s="228"/>
      <c r="E29" s="229"/>
    </row>
    <row r="30" spans="1:5" ht="24.95" customHeight="1">
      <c r="A30" s="230">
        <v>6</v>
      </c>
      <c r="B30" s="231" t="s">
        <v>301</v>
      </c>
      <c r="C30" s="232"/>
      <c r="D30" s="228"/>
      <c r="E30" s="229"/>
    </row>
    <row r="31" spans="1:5" ht="24.95" customHeight="1">
      <c r="A31" s="230">
        <v>7</v>
      </c>
      <c r="B31" s="231" t="s">
        <v>302</v>
      </c>
      <c r="C31" s="232"/>
      <c r="D31" s="228"/>
      <c r="E31" s="229"/>
    </row>
    <row r="32" spans="1:5" ht="24.95" customHeight="1">
      <c r="A32" s="230">
        <v>8</v>
      </c>
      <c r="B32" s="231" t="s">
        <v>303</v>
      </c>
      <c r="C32" s="232"/>
      <c r="D32" s="228"/>
      <c r="E32" s="229"/>
    </row>
    <row r="33" spans="1:5" ht="24.95" customHeight="1">
      <c r="A33" s="230">
        <v>9</v>
      </c>
      <c r="B33" s="231" t="s">
        <v>304</v>
      </c>
      <c r="C33" s="232"/>
      <c r="D33" s="228"/>
      <c r="E33" s="229"/>
    </row>
    <row r="34" spans="1:5" ht="24.95" customHeight="1">
      <c r="A34" s="230"/>
      <c r="B34" s="231"/>
      <c r="C34" s="232"/>
      <c r="D34" s="228"/>
      <c r="E34" s="229"/>
    </row>
    <row r="35" spans="1:5" ht="24.95" customHeight="1">
      <c r="A35" s="226" t="s">
        <v>305</v>
      </c>
      <c r="B35" s="227" t="s">
        <v>306</v>
      </c>
      <c r="C35" s="228"/>
      <c r="D35" s="228"/>
      <c r="E35" s="229"/>
    </row>
    <row r="36" spans="1:5" ht="24.95" customHeight="1">
      <c r="A36" s="230">
        <v>1</v>
      </c>
      <c r="B36" s="231" t="s">
        <v>307</v>
      </c>
      <c r="C36" s="232"/>
      <c r="D36" s="228"/>
      <c r="E36" s="229"/>
    </row>
    <row r="37" spans="1:5" ht="24.95" customHeight="1">
      <c r="A37" s="236">
        <v>2</v>
      </c>
      <c r="B37" s="237" t="s">
        <v>308</v>
      </c>
      <c r="C37" s="238"/>
      <c r="D37" s="239"/>
      <c r="E37" s="240"/>
    </row>
    <row r="38" spans="1:5" ht="24.95" customHeight="1">
      <c r="A38" s="241"/>
      <c r="B38" s="215"/>
      <c r="C38" s="242"/>
      <c r="D38" s="216"/>
      <c r="E38" s="243"/>
    </row>
    <row r="39" spans="1:5" ht="24.95" customHeight="1">
      <c r="A39" s="209" t="s">
        <v>309</v>
      </c>
      <c r="B39" s="244" t="str">
        <f>B3</f>
        <v>: 4300006116</v>
      </c>
      <c r="D39" s="244"/>
      <c r="E39" s="245"/>
    </row>
    <row r="40" spans="1:5" ht="24.95" customHeight="1">
      <c r="A40" s="209" t="s">
        <v>310</v>
      </c>
      <c r="B40" s="244" t="s">
        <v>311</v>
      </c>
      <c r="E40" s="218"/>
    </row>
    <row r="41" spans="1:5" ht="24.95" customHeight="1">
      <c r="A41" s="209" t="s">
        <v>312</v>
      </c>
      <c r="B41" s="244" t="s">
        <v>311</v>
      </c>
      <c r="E41" s="218"/>
    </row>
    <row r="42" spans="1:5" ht="24.95" customHeight="1">
      <c r="A42" s="246" t="s">
        <v>277</v>
      </c>
      <c r="B42" s="247" t="str">
        <f>B7</f>
        <v>: 07.05.2025 to 04.07.2025</v>
      </c>
      <c r="C42" s="248"/>
      <c r="D42" s="249"/>
      <c r="E42" s="250"/>
    </row>
    <row r="43" spans="1:5" ht="24.95" customHeight="1"/>
    <row r="44" spans="1:5" ht="24.95" customHeight="1"/>
    <row r="45" spans="1:5" ht="24.95" customHeight="1"/>
    <row r="46" spans="1:5" ht="24.95" customHeight="1">
      <c r="B46" s="251"/>
      <c r="C46" s="252"/>
      <c r="D46" s="251"/>
    </row>
    <row r="47" spans="1:5" ht="24.95" customHeight="1">
      <c r="B47" s="251"/>
      <c r="C47" s="251"/>
      <c r="D47" s="251"/>
    </row>
    <row r="56" spans="2:2">
      <c r="B56" s="208" t="s">
        <v>313</v>
      </c>
    </row>
  </sheetData>
  <mergeCells count="1">
    <mergeCell ref="A9:E9"/>
  </mergeCells>
  <phoneticPr fontId="160" type="noConversion"/>
  <printOptions horizontalCentered="1"/>
  <pageMargins left="0.51181102362204722" right="0.51181102362204722" top="0.55118110236220474" bottom="0.55118110236220474" header="0.31496062992125984" footer="0.31496062992125984"/>
  <pageSetup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68"/>
  <sheetViews>
    <sheetView view="pageBreakPreview" zoomScale="85" zoomScaleNormal="85" zoomScaleSheetLayoutView="85" workbookViewId="0">
      <selection activeCell="J6" sqref="J6"/>
    </sheetView>
  </sheetViews>
  <sheetFormatPr defaultColWidth="9.140625" defaultRowHeight="15"/>
  <cols>
    <col min="1" max="1" width="16.85546875" style="255" customWidth="1"/>
    <col min="2" max="2" width="54.5703125" style="255" customWidth="1"/>
    <col min="3" max="3" width="20.140625" style="255" customWidth="1"/>
    <col min="4" max="4" width="31.28515625" style="255" customWidth="1"/>
    <col min="5" max="16384" width="9.140625" style="255"/>
  </cols>
  <sheetData>
    <row r="1" spans="1:5" ht="15.75" thickBot="1">
      <c r="A1" s="253"/>
      <c r="B1" s="254"/>
      <c r="C1" s="254"/>
      <c r="D1" s="254"/>
    </row>
    <row r="2" spans="1:5" ht="20.25">
      <c r="A2" s="799" t="s">
        <v>314</v>
      </c>
      <c r="B2" s="800"/>
      <c r="C2" s="800"/>
      <c r="D2" s="801"/>
    </row>
    <row r="3" spans="1:5" ht="15.75" thickBot="1">
      <c r="A3" s="256" t="s">
        <v>315</v>
      </c>
      <c r="B3" s="257"/>
      <c r="C3" s="258" t="str">
        <f>'Bill Tracker'!E1</f>
        <v xml:space="preserve"> 21.07.2025</v>
      </c>
      <c r="D3" s="259" t="s">
        <v>316</v>
      </c>
    </row>
    <row r="4" spans="1:5" ht="18">
      <c r="A4" s="802" t="s">
        <v>317</v>
      </c>
      <c r="B4" s="803"/>
      <c r="C4" s="803"/>
      <c r="D4" s="804"/>
    </row>
    <row r="5" spans="1:5">
      <c r="A5" s="260"/>
      <c r="B5" s="261"/>
      <c r="C5" s="261"/>
      <c r="D5" s="262"/>
    </row>
    <row r="6" spans="1:5">
      <c r="A6" s="805" t="s">
        <v>318</v>
      </c>
      <c r="B6" s="806"/>
      <c r="C6" s="807"/>
      <c r="D6" s="808"/>
    </row>
    <row r="7" spans="1:5">
      <c r="A7" s="263" t="str">
        <f>'Bill Tracker'!D1</f>
        <v>Date:</v>
      </c>
      <c r="B7" s="263" t="str">
        <f>'Bill Tracker'!E1</f>
        <v xml:space="preserve"> 21.07.2025</v>
      </c>
      <c r="C7" s="797"/>
      <c r="D7" s="798"/>
    </row>
    <row r="8" spans="1:5">
      <c r="A8" s="809" t="s">
        <v>319</v>
      </c>
      <c r="B8" s="810"/>
      <c r="C8" s="797"/>
      <c r="D8" s="798"/>
    </row>
    <row r="9" spans="1:5">
      <c r="A9" s="263" t="s">
        <v>320</v>
      </c>
      <c r="B9" s="263" t="s">
        <v>267</v>
      </c>
      <c r="C9" s="797"/>
      <c r="D9" s="798"/>
    </row>
    <row r="10" spans="1:5">
      <c r="A10" s="264" t="s">
        <v>321</v>
      </c>
      <c r="B10" s="265" t="s">
        <v>322</v>
      </c>
      <c r="C10" s="797"/>
      <c r="D10" s="798"/>
      <c r="E10" s="266"/>
    </row>
    <row r="11" spans="1:5">
      <c r="A11" s="267" t="s">
        <v>323</v>
      </c>
      <c r="B11" s="268" t="s">
        <v>324</v>
      </c>
      <c r="C11" s="269" t="s">
        <v>325</v>
      </c>
      <c r="D11" s="270" t="s">
        <v>143</v>
      </c>
    </row>
    <row r="12" spans="1:5">
      <c r="A12" s="271" t="s">
        <v>3</v>
      </c>
      <c r="B12" s="272" t="s">
        <v>326</v>
      </c>
      <c r="C12" s="273"/>
      <c r="D12" s="274"/>
    </row>
    <row r="13" spans="1:5" ht="15.75">
      <c r="A13" s="275">
        <v>1</v>
      </c>
      <c r="B13" s="276" t="s">
        <v>327</v>
      </c>
      <c r="C13" s="277" t="s">
        <v>328</v>
      </c>
      <c r="D13" s="274"/>
    </row>
    <row r="14" spans="1:5">
      <c r="A14" s="275"/>
      <c r="B14" s="278" t="s">
        <v>329</v>
      </c>
      <c r="C14" s="279"/>
      <c r="D14" s="274"/>
    </row>
    <row r="15" spans="1:5" ht="15.75">
      <c r="A15" s="275">
        <v>2</v>
      </c>
      <c r="B15" s="276" t="s">
        <v>330</v>
      </c>
      <c r="C15" s="277" t="s">
        <v>328</v>
      </c>
      <c r="D15" s="280"/>
    </row>
    <row r="16" spans="1:5" ht="24">
      <c r="A16" s="275">
        <f t="shared" ref="A16:A21" si="0">A15+1</f>
        <v>3</v>
      </c>
      <c r="B16" s="281" t="s">
        <v>331</v>
      </c>
      <c r="C16" s="277" t="s">
        <v>328</v>
      </c>
      <c r="D16" s="280"/>
    </row>
    <row r="17" spans="1:4">
      <c r="A17" s="275">
        <f t="shared" si="0"/>
        <v>4</v>
      </c>
      <c r="B17" s="281" t="s">
        <v>332</v>
      </c>
      <c r="C17" s="282" t="s">
        <v>333</v>
      </c>
      <c r="D17" s="280"/>
    </row>
    <row r="18" spans="1:4">
      <c r="A18" s="275">
        <f t="shared" si="0"/>
        <v>5</v>
      </c>
      <c r="B18" s="281" t="s">
        <v>334</v>
      </c>
      <c r="C18" s="282" t="s">
        <v>333</v>
      </c>
      <c r="D18" s="280"/>
    </row>
    <row r="19" spans="1:4">
      <c r="A19" s="275">
        <f t="shared" si="0"/>
        <v>6</v>
      </c>
      <c r="B19" s="276" t="s">
        <v>335</v>
      </c>
      <c r="C19" s="282" t="s">
        <v>333</v>
      </c>
      <c r="D19" s="280"/>
    </row>
    <row r="20" spans="1:4" ht="15.75">
      <c r="A20" s="275">
        <f t="shared" si="0"/>
        <v>7</v>
      </c>
      <c r="B20" s="276" t="s">
        <v>336</v>
      </c>
      <c r="C20" s="277" t="s">
        <v>328</v>
      </c>
      <c r="D20" s="274"/>
    </row>
    <row r="21" spans="1:4">
      <c r="A21" s="275">
        <f t="shared" si="0"/>
        <v>8</v>
      </c>
      <c r="B21" s="283" t="s">
        <v>337</v>
      </c>
      <c r="C21" s="279" t="s">
        <v>338</v>
      </c>
      <c r="D21" s="280"/>
    </row>
    <row r="22" spans="1:4">
      <c r="A22" s="275"/>
      <c r="B22" s="284" t="s">
        <v>339</v>
      </c>
      <c r="C22" s="279"/>
      <c r="D22" s="274"/>
    </row>
    <row r="23" spans="1:4">
      <c r="A23" s="275">
        <v>9</v>
      </c>
      <c r="B23" s="276" t="s">
        <v>340</v>
      </c>
      <c r="C23" s="279"/>
      <c r="D23" s="274"/>
    </row>
    <row r="24" spans="1:4">
      <c r="A24" s="275">
        <f t="shared" ref="A24:A28" si="1">A23+1</f>
        <v>10</v>
      </c>
      <c r="B24" s="285" t="s">
        <v>341</v>
      </c>
      <c r="C24" s="279"/>
      <c r="D24" s="274"/>
    </row>
    <row r="25" spans="1:4">
      <c r="A25" s="275">
        <f t="shared" si="1"/>
        <v>11</v>
      </c>
      <c r="B25" s="276" t="s">
        <v>342</v>
      </c>
      <c r="C25" s="279"/>
      <c r="D25" s="274"/>
    </row>
    <row r="26" spans="1:4">
      <c r="A26" s="275">
        <f t="shared" si="1"/>
        <v>12</v>
      </c>
      <c r="B26" s="283" t="s">
        <v>343</v>
      </c>
      <c r="C26" s="279"/>
      <c r="D26" s="274"/>
    </row>
    <row r="27" spans="1:4">
      <c r="A27" s="275">
        <f t="shared" si="1"/>
        <v>13</v>
      </c>
      <c r="B27" s="283" t="s">
        <v>344</v>
      </c>
      <c r="C27" s="279"/>
      <c r="D27" s="274"/>
    </row>
    <row r="28" spans="1:4">
      <c r="A28" s="275">
        <f t="shared" si="1"/>
        <v>14</v>
      </c>
      <c r="B28" s="283" t="s">
        <v>345</v>
      </c>
      <c r="C28" s="279"/>
      <c r="D28" s="274"/>
    </row>
    <row r="29" spans="1:4">
      <c r="A29" s="275">
        <v>15</v>
      </c>
      <c r="B29" s="283" t="s">
        <v>346</v>
      </c>
      <c r="C29" s="279"/>
      <c r="D29" s="274"/>
    </row>
    <row r="30" spans="1:4">
      <c r="A30" s="275"/>
      <c r="B30" s="283"/>
      <c r="C30" s="279"/>
      <c r="D30" s="274"/>
    </row>
    <row r="31" spans="1:4">
      <c r="A31" s="275" t="s">
        <v>4</v>
      </c>
      <c r="B31" s="286" t="s">
        <v>347</v>
      </c>
      <c r="C31" s="279"/>
      <c r="D31" s="274"/>
    </row>
    <row r="32" spans="1:4">
      <c r="A32" s="275">
        <v>1</v>
      </c>
      <c r="B32" s="278" t="s">
        <v>329</v>
      </c>
      <c r="C32" s="279"/>
      <c r="D32" s="274"/>
    </row>
    <row r="33" spans="1:4" ht="15.75">
      <c r="A33" s="275">
        <v>2</v>
      </c>
      <c r="B33" s="285" t="s">
        <v>348</v>
      </c>
      <c r="C33" s="277" t="s">
        <v>328</v>
      </c>
      <c r="D33" s="280"/>
    </row>
    <row r="34" spans="1:4">
      <c r="A34" s="275">
        <v>3</v>
      </c>
      <c r="B34" s="285" t="s">
        <v>341</v>
      </c>
      <c r="C34" s="279" t="s">
        <v>333</v>
      </c>
      <c r="D34" s="280"/>
    </row>
    <row r="35" spans="1:4">
      <c r="A35" s="275">
        <v>4</v>
      </c>
      <c r="B35" s="285" t="s">
        <v>349</v>
      </c>
      <c r="C35" s="287" t="s">
        <v>333</v>
      </c>
      <c r="D35" s="280"/>
    </row>
    <row r="36" spans="1:4">
      <c r="A36" s="275">
        <v>5</v>
      </c>
      <c r="B36" s="285" t="s">
        <v>350</v>
      </c>
      <c r="C36" s="287" t="s">
        <v>333</v>
      </c>
      <c r="D36" s="280"/>
    </row>
    <row r="37" spans="1:4">
      <c r="A37" s="275">
        <v>6</v>
      </c>
      <c r="B37" s="288" t="s">
        <v>351</v>
      </c>
      <c r="C37" s="287" t="s">
        <v>333</v>
      </c>
      <c r="D37" s="280"/>
    </row>
    <row r="38" spans="1:4">
      <c r="A38" s="275">
        <v>7</v>
      </c>
      <c r="B38" s="281" t="s">
        <v>352</v>
      </c>
      <c r="C38" s="279" t="s">
        <v>333</v>
      </c>
      <c r="D38" s="280"/>
    </row>
    <row r="39" spans="1:4">
      <c r="A39" s="275">
        <v>8</v>
      </c>
      <c r="B39" s="281" t="s">
        <v>353</v>
      </c>
      <c r="C39" s="279" t="s">
        <v>333</v>
      </c>
      <c r="D39" s="280"/>
    </row>
    <row r="40" spans="1:4">
      <c r="A40" s="275">
        <v>9</v>
      </c>
      <c r="B40" s="281" t="s">
        <v>354</v>
      </c>
      <c r="C40" s="279" t="s">
        <v>333</v>
      </c>
      <c r="D40" s="280"/>
    </row>
    <row r="41" spans="1:4">
      <c r="A41" s="275"/>
      <c r="B41" s="284" t="s">
        <v>339</v>
      </c>
      <c r="C41" s="279"/>
      <c r="D41" s="280"/>
    </row>
    <row r="42" spans="1:4">
      <c r="A42" s="289">
        <v>1</v>
      </c>
      <c r="B42" s="285" t="s">
        <v>355</v>
      </c>
      <c r="C42" s="290"/>
      <c r="D42" s="280"/>
    </row>
    <row r="43" spans="1:4">
      <c r="A43" s="289">
        <v>2</v>
      </c>
      <c r="B43" s="285" t="s">
        <v>356</v>
      </c>
      <c r="C43" s="290"/>
      <c r="D43" s="280"/>
    </row>
    <row r="44" spans="1:4">
      <c r="A44" s="289">
        <v>3</v>
      </c>
      <c r="B44" s="285" t="s">
        <v>357</v>
      </c>
      <c r="C44" s="290"/>
      <c r="D44" s="280"/>
    </row>
    <row r="45" spans="1:4">
      <c r="A45" s="289">
        <v>4</v>
      </c>
      <c r="B45" s="281" t="s">
        <v>358</v>
      </c>
      <c r="C45" s="290"/>
      <c r="D45" s="280"/>
    </row>
    <row r="46" spans="1:4">
      <c r="A46" s="289">
        <v>5</v>
      </c>
      <c r="B46" s="281" t="s">
        <v>359</v>
      </c>
      <c r="C46" s="290"/>
      <c r="D46" s="280"/>
    </row>
    <row r="47" spans="1:4">
      <c r="A47" s="289">
        <v>6</v>
      </c>
      <c r="B47" s="281" t="s">
        <v>360</v>
      </c>
      <c r="C47" s="290"/>
      <c r="D47" s="280"/>
    </row>
    <row r="48" spans="1:4">
      <c r="A48" s="289">
        <v>7</v>
      </c>
      <c r="B48" s="281" t="s">
        <v>361</v>
      </c>
      <c r="C48" s="290"/>
      <c r="D48" s="280"/>
    </row>
    <row r="49" spans="1:4">
      <c r="A49" s="289">
        <v>8</v>
      </c>
      <c r="B49" s="281" t="s">
        <v>362</v>
      </c>
      <c r="C49" s="290"/>
      <c r="D49" s="280"/>
    </row>
    <row r="50" spans="1:4">
      <c r="A50" s="289"/>
      <c r="B50" s="281"/>
      <c r="C50" s="290"/>
      <c r="D50" s="280"/>
    </row>
    <row r="51" spans="1:4">
      <c r="A51" s="271" t="s">
        <v>305</v>
      </c>
      <c r="B51" s="291" t="s">
        <v>363</v>
      </c>
      <c r="C51" s="290"/>
      <c r="D51" s="280"/>
    </row>
    <row r="52" spans="1:4">
      <c r="A52" s="271"/>
      <c r="B52" s="278" t="s">
        <v>329</v>
      </c>
      <c r="C52" s="290"/>
      <c r="D52" s="280"/>
    </row>
    <row r="53" spans="1:4">
      <c r="A53" s="275">
        <v>1</v>
      </c>
      <c r="B53" s="281" t="s">
        <v>364</v>
      </c>
      <c r="C53" s="290" t="s">
        <v>333</v>
      </c>
      <c r="D53" s="280"/>
    </row>
    <row r="54" spans="1:4">
      <c r="A54" s="275">
        <v>2</v>
      </c>
      <c r="B54" s="281" t="s">
        <v>365</v>
      </c>
      <c r="C54" s="290" t="s">
        <v>333</v>
      </c>
      <c r="D54" s="280"/>
    </row>
    <row r="55" spans="1:4">
      <c r="A55" s="275">
        <v>3</v>
      </c>
      <c r="B55" s="281" t="s">
        <v>366</v>
      </c>
      <c r="C55" s="290" t="s">
        <v>333</v>
      </c>
      <c r="D55" s="292"/>
    </row>
    <row r="56" spans="1:4">
      <c r="A56" s="275">
        <v>4</v>
      </c>
      <c r="B56" s="281" t="s">
        <v>367</v>
      </c>
      <c r="C56" s="290" t="s">
        <v>333</v>
      </c>
      <c r="D56" s="280"/>
    </row>
    <row r="57" spans="1:4">
      <c r="A57" s="275"/>
      <c r="B57" s="281"/>
      <c r="C57" s="290"/>
      <c r="D57" s="292"/>
    </row>
    <row r="58" spans="1:4">
      <c r="A58" s="271" t="s">
        <v>31</v>
      </c>
      <c r="B58" s="291" t="s">
        <v>368</v>
      </c>
      <c r="C58" s="290"/>
      <c r="D58" s="292"/>
    </row>
    <row r="59" spans="1:4">
      <c r="A59" s="271"/>
      <c r="B59" s="291" t="s">
        <v>369</v>
      </c>
      <c r="C59" s="290"/>
      <c r="D59" s="292"/>
    </row>
    <row r="60" spans="1:4">
      <c r="A60" s="275">
        <v>1</v>
      </c>
      <c r="B60" s="281" t="s">
        <v>370</v>
      </c>
      <c r="C60" s="290"/>
      <c r="D60" s="292"/>
    </row>
    <row r="61" spans="1:4">
      <c r="A61" s="275">
        <v>2</v>
      </c>
      <c r="B61" s="281" t="s">
        <v>371</v>
      </c>
      <c r="C61" s="290"/>
      <c r="D61" s="292"/>
    </row>
    <row r="62" spans="1:4">
      <c r="A62" s="275">
        <v>3</v>
      </c>
      <c r="B62" s="281" t="s">
        <v>372</v>
      </c>
      <c r="C62" s="290"/>
      <c r="D62" s="292"/>
    </row>
    <row r="63" spans="1:4">
      <c r="A63" s="293" t="s">
        <v>373</v>
      </c>
      <c r="B63" s="291" t="s">
        <v>374</v>
      </c>
      <c r="C63" s="290"/>
      <c r="D63" s="292"/>
    </row>
    <row r="64" spans="1:4">
      <c r="A64" s="294"/>
      <c r="B64" s="295" t="s">
        <v>375</v>
      </c>
      <c r="C64" s="295" t="s">
        <v>376</v>
      </c>
      <c r="D64" s="296" t="s">
        <v>377</v>
      </c>
    </row>
    <row r="65" spans="1:4">
      <c r="A65" s="297" t="s">
        <v>378</v>
      </c>
      <c r="B65" s="298" t="s">
        <v>379</v>
      </c>
      <c r="C65" s="299" t="s">
        <v>380</v>
      </c>
      <c r="D65" s="300"/>
    </row>
    <row r="66" spans="1:4">
      <c r="A66" s="297" t="s">
        <v>381</v>
      </c>
      <c r="B66" s="298"/>
      <c r="C66" s="298"/>
      <c r="D66" s="300"/>
    </row>
    <row r="67" spans="1:4">
      <c r="A67" s="301"/>
      <c r="B67" s="302"/>
      <c r="C67" s="303"/>
      <c r="D67" s="304"/>
    </row>
    <row r="68" spans="1:4" ht="15.75" thickBot="1">
      <c r="A68" s="305"/>
      <c r="B68" s="306" t="s">
        <v>382</v>
      </c>
      <c r="C68" s="306"/>
      <c r="D68" s="307"/>
    </row>
  </sheetData>
  <mergeCells count="9">
    <mergeCell ref="C9:D9"/>
    <mergeCell ref="C10:D10"/>
    <mergeCell ref="A2:D2"/>
    <mergeCell ref="A4:D4"/>
    <mergeCell ref="A6:B6"/>
    <mergeCell ref="C6:D6"/>
    <mergeCell ref="C7:D7"/>
    <mergeCell ref="A8:B8"/>
    <mergeCell ref="C8:D8"/>
  </mergeCells>
  <pageMargins left="0.7" right="0.31" top="0.75" bottom="0.3"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15"/>
  <sheetViews>
    <sheetView view="pageBreakPreview" zoomScaleSheetLayoutView="100" workbookViewId="0">
      <selection activeCell="E14" sqref="E14"/>
    </sheetView>
  </sheetViews>
  <sheetFormatPr defaultColWidth="9.140625" defaultRowHeight="14.25"/>
  <cols>
    <col min="1" max="1" width="9" style="522" bestFit="1" customWidth="1"/>
    <col min="2" max="2" width="50" style="522" customWidth="1"/>
    <col min="3" max="3" width="17.7109375" style="522" bestFit="1" customWidth="1"/>
    <col min="4" max="5" width="14.7109375" style="522" bestFit="1" customWidth="1"/>
    <col min="6" max="6" width="19" style="522" bestFit="1" customWidth="1"/>
    <col min="7" max="7" width="13.42578125" style="522" bestFit="1" customWidth="1"/>
    <col min="8" max="16384" width="9.140625" style="522"/>
  </cols>
  <sheetData>
    <row r="1" spans="1:7" ht="15" thickBot="1"/>
    <row r="2" spans="1:7" ht="15">
      <c r="A2" s="814" t="s">
        <v>18</v>
      </c>
      <c r="B2" s="815"/>
      <c r="C2" s="523"/>
      <c r="D2" s="524"/>
      <c r="E2" s="524"/>
      <c r="F2" s="524"/>
      <c r="G2" s="525"/>
    </row>
    <row r="3" spans="1:7" ht="15" customHeight="1">
      <c r="A3" s="816" t="s">
        <v>19</v>
      </c>
      <c r="B3" s="817"/>
      <c r="C3" s="526"/>
      <c r="D3" s="527"/>
      <c r="E3" s="527"/>
      <c r="F3" s="527"/>
      <c r="G3" s="528"/>
    </row>
    <row r="4" spans="1:7" ht="15">
      <c r="A4" s="816" t="s">
        <v>15</v>
      </c>
      <c r="B4" s="817"/>
      <c r="C4" s="526"/>
      <c r="D4" s="527"/>
      <c r="E4" s="527"/>
      <c r="F4" s="527"/>
      <c r="G4" s="528"/>
    </row>
    <row r="5" spans="1:7" ht="15">
      <c r="A5" s="816" t="s">
        <v>124</v>
      </c>
      <c r="B5" s="817"/>
      <c r="C5" s="526"/>
      <c r="D5" s="527"/>
      <c r="E5" s="527"/>
      <c r="F5" s="527"/>
      <c r="G5" s="528"/>
    </row>
    <row r="6" spans="1:7" ht="15">
      <c r="A6" s="816" t="s">
        <v>17</v>
      </c>
      <c r="B6" s="817"/>
      <c r="C6" s="526"/>
      <c r="D6" s="527" t="s">
        <v>554</v>
      </c>
      <c r="E6" s="527"/>
      <c r="F6" s="527"/>
      <c r="G6" s="528"/>
    </row>
    <row r="7" spans="1:7" ht="15">
      <c r="A7" s="811"/>
      <c r="B7" s="812"/>
      <c r="C7" s="812"/>
      <c r="D7" s="812"/>
      <c r="E7" s="812"/>
      <c r="F7" s="812" t="s">
        <v>600</v>
      </c>
      <c r="G7" s="813"/>
    </row>
    <row r="8" spans="1:7" ht="15">
      <c r="A8" s="20" t="s">
        <v>9</v>
      </c>
      <c r="B8" s="21" t="s">
        <v>10</v>
      </c>
      <c r="C8" s="22" t="s">
        <v>11</v>
      </c>
      <c r="D8" s="21" t="s">
        <v>6</v>
      </c>
      <c r="E8" s="21" t="s">
        <v>12</v>
      </c>
      <c r="F8" s="22" t="s">
        <v>7</v>
      </c>
      <c r="G8" s="23" t="s">
        <v>2</v>
      </c>
    </row>
    <row r="9" spans="1:7" ht="15">
      <c r="A9" s="321"/>
      <c r="B9" s="322"/>
      <c r="C9" s="323"/>
      <c r="D9" s="322"/>
      <c r="E9" s="322"/>
      <c r="F9" s="323"/>
      <c r="G9" s="324"/>
    </row>
    <row r="10" spans="1:7" ht="15">
      <c r="A10" s="529">
        <v>1</v>
      </c>
      <c r="B10" s="530" t="s">
        <v>5</v>
      </c>
      <c r="C10" s="530">
        <v>19856638.919000003</v>
      </c>
      <c r="D10" s="530">
        <f>'Abstract '!K50</f>
        <v>0</v>
      </c>
      <c r="E10" s="530">
        <f>F10-D10</f>
        <v>632733.43660359993</v>
      </c>
      <c r="F10" s="530">
        <f>'Abstract '!M50</f>
        <v>632733.43660359993</v>
      </c>
      <c r="G10" s="531"/>
    </row>
    <row r="11" spans="1:7" ht="15">
      <c r="A11" s="529"/>
      <c r="B11" s="530"/>
      <c r="C11" s="530"/>
      <c r="D11" s="530"/>
      <c r="E11" s="530"/>
      <c r="F11" s="530"/>
      <c r="G11" s="531"/>
    </row>
    <row r="12" spans="1:7" ht="15">
      <c r="A12" s="532"/>
      <c r="B12" s="533" t="s">
        <v>16</v>
      </c>
      <c r="C12" s="533">
        <f>SUM(C10)</f>
        <v>19856638.919000003</v>
      </c>
      <c r="D12" s="533">
        <f>SUM(D10)</f>
        <v>0</v>
      </c>
      <c r="E12" s="533">
        <f>SUM(E10)</f>
        <v>632733.43660359993</v>
      </c>
      <c r="F12" s="533">
        <f>SUM(F10)</f>
        <v>632733.43660359993</v>
      </c>
      <c r="G12" s="534"/>
    </row>
    <row r="13" spans="1:7" ht="15">
      <c r="A13" s="529"/>
      <c r="B13" s="530" t="s">
        <v>13</v>
      </c>
      <c r="C13" s="530">
        <f>C12*18%</f>
        <v>3574195.0054200003</v>
      </c>
      <c r="D13" s="530">
        <f>D12*18%</f>
        <v>0</v>
      </c>
      <c r="E13" s="530">
        <f>E12*18%</f>
        <v>113892.01858864799</v>
      </c>
      <c r="F13" s="530">
        <f t="shared" ref="F13" si="0">F12*18%</f>
        <v>113892.01858864799</v>
      </c>
      <c r="G13" s="531"/>
    </row>
    <row r="14" spans="1:7" ht="15">
      <c r="A14" s="532"/>
      <c r="B14" s="533" t="s">
        <v>14</v>
      </c>
      <c r="C14" s="533">
        <f>C12+C13</f>
        <v>23430833.924420003</v>
      </c>
      <c r="D14" s="533">
        <f>D12+D13</f>
        <v>0</v>
      </c>
      <c r="E14" s="533">
        <f>E12+E13</f>
        <v>746625.45519224787</v>
      </c>
      <c r="F14" s="533">
        <f>F12+F13</f>
        <v>746625.45519224787</v>
      </c>
      <c r="G14" s="534"/>
    </row>
    <row r="15" spans="1:7" ht="15.75" thickBot="1">
      <c r="A15" s="535"/>
      <c r="B15" s="536"/>
      <c r="C15" s="536"/>
      <c r="D15" s="536"/>
      <c r="E15" s="536"/>
      <c r="F15" s="536"/>
      <c r="G15" s="537"/>
    </row>
  </sheetData>
  <mergeCells count="7">
    <mergeCell ref="A7:E7"/>
    <mergeCell ref="F7:G7"/>
    <mergeCell ref="A2:B2"/>
    <mergeCell ref="A3:B3"/>
    <mergeCell ref="A4:B4"/>
    <mergeCell ref="A5:B5"/>
    <mergeCell ref="A6:B6"/>
  </mergeCells>
  <printOptions horizontalCentered="1"/>
  <pageMargins left="0.31496062992125984" right="0.31496062992125984" top="0.35433070866141736" bottom="0.35433070866141736" header="0.31496062992125984" footer="0.31496062992125984"/>
  <pageSetup paperSize="9" orientation="landscape" r:id="rId1"/>
  <headerFooter>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1:H15"/>
  <sheetViews>
    <sheetView workbookViewId="0">
      <selection activeCell="F14" sqref="F14"/>
    </sheetView>
  </sheetViews>
  <sheetFormatPr defaultColWidth="9.140625" defaultRowHeight="14.25"/>
  <cols>
    <col min="1" max="1" width="0.42578125" style="1" customWidth="1"/>
    <col min="2" max="2" width="10.28515625" style="1" customWidth="1"/>
    <col min="3" max="3" width="42.28515625" style="1" customWidth="1"/>
    <col min="4" max="4" width="20.85546875" style="1" bestFit="1" customWidth="1"/>
    <col min="5" max="5" width="18.7109375" style="1" bestFit="1" customWidth="1"/>
    <col min="6" max="6" width="18.28515625" style="1" bestFit="1" customWidth="1"/>
    <col min="7" max="7" width="19.28515625" style="1" customWidth="1"/>
    <col min="8" max="8" width="13.42578125" style="1" bestFit="1" customWidth="1"/>
    <col min="9" max="16384" width="9.140625" style="1"/>
  </cols>
  <sheetData>
    <row r="1" spans="2:8" ht="15" thickBot="1"/>
    <row r="2" spans="2:8" ht="15">
      <c r="B2" s="2" t="s">
        <v>18</v>
      </c>
      <c r="C2" s="3"/>
      <c r="D2" s="3"/>
      <c r="E2" s="4"/>
      <c r="F2" s="4"/>
      <c r="G2" s="4"/>
      <c r="H2" s="5"/>
    </row>
    <row r="3" spans="2:8" ht="15" customHeight="1">
      <c r="B3" s="6" t="s">
        <v>19</v>
      </c>
      <c r="C3" s="7"/>
      <c r="D3" s="8"/>
      <c r="E3" s="9"/>
      <c r="F3" s="9"/>
      <c r="G3" s="9"/>
      <c r="H3" s="10"/>
    </row>
    <row r="4" spans="2:8" ht="15">
      <c r="B4" s="6" t="s">
        <v>15</v>
      </c>
      <c r="C4" s="8"/>
      <c r="D4" s="8"/>
      <c r="E4" s="9"/>
      <c r="F4" s="9"/>
      <c r="G4" s="9"/>
      <c r="H4" s="10"/>
    </row>
    <row r="5" spans="2:8" ht="15">
      <c r="B5" s="6" t="s">
        <v>124</v>
      </c>
      <c r="C5" s="8"/>
      <c r="D5" s="8"/>
      <c r="E5" s="9"/>
      <c r="F5" s="9"/>
      <c r="G5" s="9"/>
      <c r="H5" s="10"/>
    </row>
    <row r="6" spans="2:8" ht="15">
      <c r="B6" s="6" t="s">
        <v>17</v>
      </c>
      <c r="C6" s="8"/>
      <c r="D6" s="8"/>
      <c r="E6" s="9" t="s">
        <v>426</v>
      </c>
      <c r="F6" s="9"/>
      <c r="G6" s="9"/>
      <c r="H6" s="10"/>
    </row>
    <row r="7" spans="2:8" ht="15">
      <c r="B7" s="818"/>
      <c r="C7" s="819"/>
      <c r="D7" s="819"/>
      <c r="E7" s="819"/>
      <c r="F7" s="819"/>
      <c r="G7" s="819" t="s">
        <v>453</v>
      </c>
      <c r="H7" s="820"/>
    </row>
    <row r="8" spans="2:8" ht="15">
      <c r="B8" s="20" t="s">
        <v>9</v>
      </c>
      <c r="C8" s="21" t="s">
        <v>10</v>
      </c>
      <c r="D8" s="22" t="s">
        <v>11</v>
      </c>
      <c r="E8" s="21" t="s">
        <v>6</v>
      </c>
      <c r="F8" s="21" t="s">
        <v>12</v>
      </c>
      <c r="G8" s="22" t="s">
        <v>7</v>
      </c>
      <c r="H8" s="23" t="s">
        <v>2</v>
      </c>
    </row>
    <row r="9" spans="2:8" ht="15">
      <c r="B9" s="321"/>
      <c r="C9" s="322"/>
      <c r="D9" s="323"/>
      <c r="E9" s="322"/>
      <c r="F9" s="322"/>
      <c r="G9" s="323"/>
      <c r="H9" s="324"/>
    </row>
    <row r="10" spans="2:8" ht="15">
      <c r="B10" s="11">
        <v>1</v>
      </c>
      <c r="C10" s="12" t="s">
        <v>5</v>
      </c>
      <c r="D10" s="12">
        <f>'Abstract '!G50</f>
        <v>589247.24</v>
      </c>
      <c r="E10" s="12">
        <f>'Abstract '!K50</f>
        <v>0</v>
      </c>
      <c r="F10" s="12">
        <f>'Abstract '!L50</f>
        <v>632733.43660359993</v>
      </c>
      <c r="G10" s="12">
        <f>'Abstract '!M50</f>
        <v>632733.43660359993</v>
      </c>
      <c r="H10" s="13"/>
    </row>
    <row r="11" spans="2:8" ht="15">
      <c r="B11" s="11"/>
      <c r="C11" s="12"/>
      <c r="D11" s="12"/>
      <c r="E11" s="12"/>
      <c r="F11" s="12"/>
      <c r="G11" s="12"/>
      <c r="H11" s="13"/>
    </row>
    <row r="12" spans="2:8" ht="15">
      <c r="B12" s="14"/>
      <c r="C12" s="15" t="s">
        <v>16</v>
      </c>
      <c r="D12" s="15">
        <f>SUM(D10)</f>
        <v>589247.24</v>
      </c>
      <c r="E12" s="15">
        <f>SUM(E10)</f>
        <v>0</v>
      </c>
      <c r="F12" s="15">
        <f>SUM(F10)</f>
        <v>632733.43660359993</v>
      </c>
      <c r="G12" s="15">
        <f>SUM(G10)</f>
        <v>632733.43660359993</v>
      </c>
      <c r="H12" s="16"/>
    </row>
    <row r="13" spans="2:8" ht="15">
      <c r="B13" s="11"/>
      <c r="C13" s="12" t="s">
        <v>13</v>
      </c>
      <c r="D13" s="12">
        <f>D12*18%</f>
        <v>106064.50319999999</v>
      </c>
      <c r="E13" s="12">
        <f>E12*18%</f>
        <v>0</v>
      </c>
      <c r="F13" s="12">
        <f>F12*18%</f>
        <v>113892.01858864799</v>
      </c>
      <c r="G13" s="12">
        <f t="shared" ref="G13" si="0">G12*18%</f>
        <v>113892.01858864799</v>
      </c>
      <c r="H13" s="13"/>
    </row>
    <row r="14" spans="2:8" ht="15">
      <c r="B14" s="14"/>
      <c r="C14" s="15" t="s">
        <v>14</v>
      </c>
      <c r="D14" s="15">
        <f>D12+D13</f>
        <v>695311.74320000003</v>
      </c>
      <c r="E14" s="15">
        <f>E12+E13</f>
        <v>0</v>
      </c>
      <c r="F14" s="15">
        <f>F12+F13</f>
        <v>746625.45519224787</v>
      </c>
      <c r="G14" s="15">
        <f>G12+G13</f>
        <v>746625.45519224787</v>
      </c>
      <c r="H14" s="16"/>
    </row>
    <row r="15" spans="2:8" ht="15.75" thickBot="1">
      <c r="B15" s="17"/>
      <c r="C15" s="18"/>
      <c r="D15" s="18"/>
      <c r="E15" s="18"/>
      <c r="F15" s="18"/>
      <c r="G15" s="18"/>
      <c r="H15" s="19"/>
    </row>
  </sheetData>
  <mergeCells count="2">
    <mergeCell ref="B7:F7"/>
    <mergeCell ref="G7:H7"/>
  </mergeCells>
  <printOptions horizontalCentered="1"/>
  <pageMargins left="0.31496062992125984" right="0.31496062992125984" top="0.35433070866141736" bottom="0.35433070866141736" header="0" footer="0"/>
  <pageSetup paperSize="9" scale="98" orientation="landscape" r:id="rId1"/>
  <headerFooter>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08E6-2001-4682-BFCB-EC16FB3CEC12}">
  <sheetPr>
    <pageSetUpPr fitToPage="1"/>
  </sheetPr>
  <dimension ref="B1:H17"/>
  <sheetViews>
    <sheetView view="pageBreakPreview" zoomScale="85" zoomScaleNormal="100" zoomScaleSheetLayoutView="85" workbookViewId="0">
      <selection activeCell="E18" sqref="E18"/>
    </sheetView>
  </sheetViews>
  <sheetFormatPr defaultColWidth="9.140625" defaultRowHeight="14.25"/>
  <cols>
    <col min="1" max="1" width="9.140625" style="522"/>
    <col min="2" max="2" width="9" style="522" bestFit="1" customWidth="1"/>
    <col min="3" max="3" width="50" style="522" customWidth="1"/>
    <col min="4" max="4" width="17.7109375" style="522" bestFit="1" customWidth="1"/>
    <col min="5" max="5" width="16.5703125" style="522" bestFit="1" customWidth="1"/>
    <col min="6" max="6" width="14.7109375" style="522" bestFit="1" customWidth="1"/>
    <col min="7" max="7" width="19" style="522" bestFit="1" customWidth="1"/>
    <col min="8" max="8" width="13.42578125" style="522" bestFit="1" customWidth="1"/>
    <col min="9" max="16384" width="9.140625" style="522"/>
  </cols>
  <sheetData>
    <row r="1" spans="2:8" ht="15" thickBot="1"/>
    <row r="2" spans="2:8" ht="15">
      <c r="B2" s="814" t="s">
        <v>18</v>
      </c>
      <c r="C2" s="815"/>
      <c r="D2" s="523"/>
      <c r="E2" s="524"/>
      <c r="F2" s="524"/>
      <c r="G2" s="524"/>
      <c r="H2" s="525"/>
    </row>
    <row r="3" spans="2:8" ht="15" customHeight="1">
      <c r="B3" s="816" t="s">
        <v>19</v>
      </c>
      <c r="C3" s="817"/>
      <c r="D3" s="526"/>
      <c r="E3" s="527"/>
      <c r="F3" s="527"/>
      <c r="G3" s="527"/>
      <c r="H3" s="528"/>
    </row>
    <row r="4" spans="2:8" ht="15">
      <c r="B4" s="816" t="s">
        <v>15</v>
      </c>
      <c r="C4" s="817"/>
      <c r="D4" s="526"/>
      <c r="E4" s="527"/>
      <c r="F4" s="527"/>
      <c r="G4" s="527"/>
      <c r="H4" s="528"/>
    </row>
    <row r="5" spans="2:8" ht="15">
      <c r="B5" s="816" t="s">
        <v>124</v>
      </c>
      <c r="C5" s="817"/>
      <c r="D5" s="526"/>
      <c r="E5" s="527"/>
      <c r="F5" s="527"/>
      <c r="G5" s="527"/>
      <c r="H5" s="528"/>
    </row>
    <row r="6" spans="2:8" ht="15">
      <c r="B6" s="816" t="s">
        <v>17</v>
      </c>
      <c r="C6" s="817"/>
      <c r="D6" s="526"/>
      <c r="E6" s="527" t="s">
        <v>658</v>
      </c>
      <c r="F6" s="527"/>
      <c r="G6" s="527"/>
      <c r="H6" s="528"/>
    </row>
    <row r="7" spans="2:8" ht="15">
      <c r="B7" s="811"/>
      <c r="C7" s="812"/>
      <c r="D7" s="812"/>
      <c r="E7" s="812"/>
      <c r="F7" s="812"/>
      <c r="G7" s="821" t="s">
        <v>655</v>
      </c>
      <c r="H7" s="822"/>
    </row>
    <row r="8" spans="2:8" ht="15">
      <c r="B8" s="20" t="s">
        <v>9</v>
      </c>
      <c r="C8" s="21" t="s">
        <v>10</v>
      </c>
      <c r="D8" s="22" t="s">
        <v>11</v>
      </c>
      <c r="E8" s="21" t="s">
        <v>6</v>
      </c>
      <c r="F8" s="21" t="s">
        <v>12</v>
      </c>
      <c r="G8" s="22" t="s">
        <v>7</v>
      </c>
      <c r="H8" s="23" t="s">
        <v>2</v>
      </c>
    </row>
    <row r="9" spans="2:8" ht="15">
      <c r="B9" s="321"/>
      <c r="C9" s="322"/>
      <c r="D9" s="323"/>
      <c r="E9" s="322"/>
      <c r="F9" s="322"/>
      <c r="G9" s="323"/>
      <c r="H9" s="324"/>
    </row>
    <row r="10" spans="2:8" ht="15">
      <c r="B10" s="529">
        <v>1</v>
      </c>
      <c r="C10" s="530" t="s">
        <v>5</v>
      </c>
      <c r="D10" s="754">
        <f>'[1]Abstract '!G39</f>
        <v>19856638.919000003</v>
      </c>
      <c r="E10" s="754">
        <f>'Abstract '!K39</f>
        <v>8162761.0845232923</v>
      </c>
      <c r="F10" s="754">
        <f>G10-E10</f>
        <v>996184.75395288877</v>
      </c>
      <c r="G10" s="754">
        <f>'Abstract '!M39</f>
        <v>9158945.838476181</v>
      </c>
      <c r="H10" s="531"/>
    </row>
    <row r="11" spans="2:8" ht="15">
      <c r="B11" s="529"/>
      <c r="C11" s="530"/>
      <c r="D11" s="754"/>
      <c r="E11" s="754"/>
      <c r="F11" s="754"/>
      <c r="G11" s="754"/>
      <c r="H11" s="531"/>
    </row>
    <row r="12" spans="2:8" ht="15">
      <c r="B12" s="529">
        <v>2</v>
      </c>
      <c r="C12" s="530" t="s">
        <v>653</v>
      </c>
      <c r="D12" s="754">
        <v>589247.24</v>
      </c>
      <c r="E12" s="754">
        <f>'Abstract '!K50</f>
        <v>0</v>
      </c>
      <c r="F12" s="754">
        <f>G12-E12</f>
        <v>632733.43660359993</v>
      </c>
      <c r="G12" s="754">
        <f>'Abstract '!M50</f>
        <v>632733.43660359993</v>
      </c>
      <c r="H12" s="531"/>
    </row>
    <row r="13" spans="2:8" ht="15">
      <c r="B13" s="529" t="s">
        <v>657</v>
      </c>
      <c r="C13" s="530"/>
      <c r="D13" s="754"/>
      <c r="E13" s="754"/>
      <c r="F13" s="754"/>
      <c r="G13" s="754"/>
      <c r="H13" s="531"/>
    </row>
    <row r="14" spans="2:8" ht="15">
      <c r="B14" s="532"/>
      <c r="C14" s="533" t="s">
        <v>16</v>
      </c>
      <c r="D14" s="755">
        <f>SUM(D10)</f>
        <v>19856638.919000003</v>
      </c>
      <c r="E14" s="755">
        <f>SUM(E10:E12)</f>
        <v>8162761.0845232923</v>
      </c>
      <c r="F14" s="755">
        <f>SUM(F10:F12)</f>
        <v>1628918.1905564887</v>
      </c>
      <c r="G14" s="755">
        <f>SUM(G10:G12)</f>
        <v>9791679.2750797812</v>
      </c>
      <c r="H14" s="534"/>
    </row>
    <row r="15" spans="2:8" ht="15">
      <c r="B15" s="529"/>
      <c r="C15" s="530" t="s">
        <v>13</v>
      </c>
      <c r="D15" s="754">
        <f>D14*18%</f>
        <v>3574195.0054200003</v>
      </c>
      <c r="E15" s="754">
        <f>E14*18%</f>
        <v>1469296.9952141927</v>
      </c>
      <c r="F15" s="754">
        <f>F14*18%</f>
        <v>293205.27430016798</v>
      </c>
      <c r="G15" s="754">
        <f t="shared" ref="G15" si="0">G14*18%</f>
        <v>1762502.2695143605</v>
      </c>
      <c r="H15" s="531"/>
    </row>
    <row r="16" spans="2:8" ht="15">
      <c r="B16" s="532"/>
      <c r="C16" s="533" t="s">
        <v>14</v>
      </c>
      <c r="D16" s="755">
        <f>D14+D15</f>
        <v>23430833.924420003</v>
      </c>
      <c r="E16" s="755">
        <f>E14+E15</f>
        <v>9632058.0797374845</v>
      </c>
      <c r="F16" s="755">
        <f>F14+F15</f>
        <v>1922123.4648566567</v>
      </c>
      <c r="G16" s="755">
        <f>G14+G15</f>
        <v>11554181.544594143</v>
      </c>
      <c r="H16" s="534"/>
    </row>
    <row r="17" spans="2:8" ht="15.75" thickBot="1">
      <c r="B17" s="535"/>
      <c r="C17" s="536"/>
      <c r="D17" s="536"/>
      <c r="E17" s="536"/>
      <c r="F17" s="536"/>
      <c r="G17" s="536"/>
      <c r="H17" s="537"/>
    </row>
  </sheetData>
  <mergeCells count="7">
    <mergeCell ref="G7:H7"/>
    <mergeCell ref="B2:C2"/>
    <mergeCell ref="B3:C3"/>
    <mergeCell ref="B4:C4"/>
    <mergeCell ref="B5:C5"/>
    <mergeCell ref="B6:C6"/>
    <mergeCell ref="B7:F7"/>
  </mergeCells>
  <printOptions horizontalCentered="1"/>
  <pageMargins left="0.31496062992125984" right="0.31496062992125984" top="0.55118110236220474" bottom="0.74803149606299213" header="0.31496062992125984" footer="0.31496062992125984"/>
  <pageSetup paperSize="9" orientation="landscape" r:id="rId1"/>
  <headerFooter>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S53"/>
  <sheetViews>
    <sheetView view="pageBreakPreview" topLeftCell="A4" zoomScale="55" zoomScaleNormal="55" zoomScaleSheetLayoutView="55" workbookViewId="0">
      <pane ySplit="7" topLeftCell="A11" activePane="bottomLeft" state="frozen"/>
      <selection activeCell="A4" sqref="A4"/>
      <selection pane="bottomLeft" activeCell="J33" sqref="J33"/>
    </sheetView>
  </sheetViews>
  <sheetFormatPr defaultColWidth="138.85546875" defaultRowHeight="15.75"/>
  <cols>
    <col min="1" max="1" width="27.85546875" style="607" bestFit="1" customWidth="1"/>
    <col min="2" max="2" width="120.42578125" style="607" customWidth="1"/>
    <col min="3" max="3" width="18" style="607" bestFit="1" customWidth="1"/>
    <col min="4" max="4" width="15.42578125" style="607" bestFit="1" customWidth="1"/>
    <col min="5" max="5" width="18.5703125" style="477" bestFit="1" customWidth="1"/>
    <col min="6" max="6" width="16.5703125" style="607" bestFit="1" customWidth="1"/>
    <col min="7" max="7" width="23.28515625" style="607" bestFit="1" customWidth="1"/>
    <col min="8" max="8" width="19.42578125" style="607" bestFit="1" customWidth="1"/>
    <col min="9" max="9" width="18.85546875" style="607" bestFit="1" customWidth="1"/>
    <col min="10" max="10" width="21.140625" style="607" bestFit="1" customWidth="1"/>
    <col min="11" max="11" width="26.5703125" style="607" bestFit="1" customWidth="1"/>
    <col min="12" max="12" width="23.7109375" style="607" bestFit="1" customWidth="1"/>
    <col min="13" max="13" width="26.5703125" style="607" bestFit="1" customWidth="1"/>
    <col min="14" max="14" width="15.7109375" style="607" bestFit="1" customWidth="1"/>
    <col min="15" max="15" width="18" style="607" bestFit="1" customWidth="1"/>
    <col min="16" max="18" width="138.85546875" style="607"/>
    <col min="19" max="19" width="14.85546875" style="607" bestFit="1" customWidth="1"/>
    <col min="20" max="16384" width="138.85546875" style="607"/>
  </cols>
  <sheetData>
    <row r="1" spans="1:17" s="589" customFormat="1" ht="23.25">
      <c r="A1" s="586" t="s">
        <v>266</v>
      </c>
      <c r="B1" s="587" t="str">
        <f>'Bill Tracker'!B1</f>
        <v>: Sattva City</v>
      </c>
      <c r="C1" s="588"/>
      <c r="D1" s="588"/>
      <c r="E1" s="779"/>
      <c r="F1" s="588"/>
      <c r="G1" s="588"/>
      <c r="H1" s="588"/>
      <c r="I1" s="588"/>
      <c r="J1" s="588"/>
      <c r="K1" s="588"/>
      <c r="L1" s="588"/>
      <c r="M1" s="588"/>
      <c r="N1" s="588"/>
    </row>
    <row r="2" spans="1:17" s="589" customFormat="1" ht="23.25">
      <c r="A2" s="586" t="s">
        <v>269</v>
      </c>
      <c r="B2" s="587" t="str">
        <f>'Bill Tracker'!B2</f>
        <v>: Pragathi Landscapers LLP</v>
      </c>
      <c r="C2" s="588"/>
      <c r="D2" s="588"/>
      <c r="E2" s="779"/>
      <c r="F2" s="588"/>
      <c r="G2" s="588"/>
      <c r="H2" s="588"/>
      <c r="I2" s="588"/>
      <c r="J2" s="588"/>
      <c r="K2" s="588"/>
      <c r="L2" s="588"/>
      <c r="M2" s="588"/>
      <c r="N2" s="588"/>
    </row>
    <row r="3" spans="1:17" s="589" customFormat="1" ht="24" thickBot="1">
      <c r="A3" s="611" t="s">
        <v>271</v>
      </c>
      <c r="B3" s="612" t="str">
        <f>'Bill Tracker'!B3</f>
        <v>: 4300006116</v>
      </c>
      <c r="C3" s="629"/>
      <c r="D3" s="630"/>
      <c r="E3" s="780"/>
      <c r="F3" s="630"/>
      <c r="G3" s="630"/>
      <c r="H3" s="630"/>
      <c r="I3" s="630"/>
      <c r="J3" s="630"/>
      <c r="K3" s="630"/>
      <c r="L3" s="630"/>
      <c r="M3" s="613"/>
      <c r="N3" s="613"/>
    </row>
    <row r="4" spans="1:17" s="589" customFormat="1" ht="23.25">
      <c r="A4" s="631" t="s">
        <v>273</v>
      </c>
      <c r="B4" s="632" t="str">
        <f>'Bill Tracker'!B4</f>
        <v>: Rs. 1,44,70,656.36/-</v>
      </c>
      <c r="C4" s="633"/>
      <c r="D4" s="634"/>
      <c r="E4" s="781"/>
      <c r="F4" s="634"/>
      <c r="G4" s="634"/>
      <c r="H4" s="634"/>
      <c r="I4" s="634"/>
      <c r="J4" s="634"/>
      <c r="K4" s="634"/>
      <c r="L4" s="634"/>
      <c r="M4" s="635"/>
      <c r="N4" s="636"/>
      <c r="O4" s="628"/>
    </row>
    <row r="5" spans="1:17" s="589" customFormat="1" ht="23.25">
      <c r="A5" s="637" t="s">
        <v>274</v>
      </c>
      <c r="B5" s="587" t="str">
        <f>'Bill Tracker'!B5</f>
        <v>: Landscape Works</v>
      </c>
      <c r="C5" s="590"/>
      <c r="D5" s="590"/>
      <c r="E5" s="782"/>
      <c r="F5" s="590"/>
      <c r="G5" s="590"/>
      <c r="H5" s="590"/>
      <c r="I5" s="590"/>
      <c r="J5" s="590"/>
      <c r="K5" s="590"/>
      <c r="L5" s="590"/>
      <c r="M5" s="588"/>
      <c r="N5" s="638"/>
      <c r="O5" s="628"/>
    </row>
    <row r="6" spans="1:17" s="589" customFormat="1" ht="23.25">
      <c r="A6" s="639" t="s">
        <v>276</v>
      </c>
      <c r="B6" s="591" t="str">
        <f>'Bill Tracker'!B6</f>
        <v>: 05</v>
      </c>
      <c r="C6" s="588"/>
      <c r="D6" s="588"/>
      <c r="E6" s="779"/>
      <c r="F6" s="588"/>
      <c r="G6" s="588"/>
      <c r="H6" s="588"/>
      <c r="I6" s="588"/>
      <c r="J6" s="588"/>
      <c r="K6" s="588"/>
      <c r="L6" s="588"/>
      <c r="M6" s="588"/>
      <c r="N6" s="638"/>
      <c r="O6" s="628"/>
    </row>
    <row r="7" spans="1:17" s="589" customFormat="1" ht="24" thickBot="1">
      <c r="A7" s="640" t="s">
        <v>277</v>
      </c>
      <c r="B7" s="641" t="str">
        <f>'Bill Tracker'!B7</f>
        <v>: 07.05.2025 to 04.07.2025</v>
      </c>
      <c r="C7" s="642"/>
      <c r="D7" s="642"/>
      <c r="E7" s="783"/>
      <c r="F7" s="642"/>
      <c r="G7" s="642"/>
      <c r="H7" s="642"/>
      <c r="I7" s="642"/>
      <c r="J7" s="642"/>
      <c r="K7" s="642"/>
      <c r="L7" s="642"/>
      <c r="M7" s="643"/>
      <c r="N7" s="644"/>
      <c r="O7" s="628"/>
    </row>
    <row r="8" spans="1:17" s="592" customFormat="1" ht="20.25">
      <c r="A8" s="823" t="s">
        <v>383</v>
      </c>
      <c r="B8" s="824"/>
      <c r="C8" s="824"/>
      <c r="D8" s="824"/>
      <c r="E8" s="824"/>
      <c r="F8" s="824"/>
      <c r="G8" s="824"/>
      <c r="H8" s="824"/>
      <c r="I8" s="824"/>
      <c r="J8" s="824"/>
      <c r="K8" s="824"/>
      <c r="L8" s="824"/>
      <c r="M8" s="824"/>
      <c r="N8" s="825"/>
      <c r="O8" s="609"/>
    </row>
    <row r="9" spans="1:17" s="592" customFormat="1" ht="20.25">
      <c r="A9" s="826" t="s">
        <v>384</v>
      </c>
      <c r="B9" s="827" t="s">
        <v>137</v>
      </c>
      <c r="C9" s="827" t="s">
        <v>385</v>
      </c>
      <c r="D9" s="827" t="s">
        <v>138</v>
      </c>
      <c r="E9" s="828" t="s">
        <v>386</v>
      </c>
      <c r="F9" s="827" t="s">
        <v>141</v>
      </c>
      <c r="G9" s="827" t="s">
        <v>387</v>
      </c>
      <c r="H9" s="829" t="s">
        <v>388</v>
      </c>
      <c r="I9" s="829"/>
      <c r="J9" s="829"/>
      <c r="K9" s="829" t="s">
        <v>387</v>
      </c>
      <c r="L9" s="829"/>
      <c r="M9" s="829"/>
      <c r="N9" s="617" t="s">
        <v>143</v>
      </c>
      <c r="O9" s="609"/>
    </row>
    <row r="10" spans="1:17" s="592" customFormat="1" ht="20.25">
      <c r="A10" s="826"/>
      <c r="B10" s="827"/>
      <c r="C10" s="827"/>
      <c r="D10" s="827"/>
      <c r="E10" s="828"/>
      <c r="F10" s="827"/>
      <c r="G10" s="827"/>
      <c r="H10" s="593" t="s">
        <v>389</v>
      </c>
      <c r="I10" s="593" t="s">
        <v>390</v>
      </c>
      <c r="J10" s="593" t="s">
        <v>391</v>
      </c>
      <c r="K10" s="593" t="s">
        <v>389</v>
      </c>
      <c r="L10" s="593" t="s">
        <v>390</v>
      </c>
      <c r="M10" s="593" t="s">
        <v>391</v>
      </c>
      <c r="N10" s="617"/>
      <c r="O10" s="609"/>
      <c r="Q10" s="594"/>
    </row>
    <row r="11" spans="1:17" s="592" customFormat="1" ht="20.25">
      <c r="A11" s="618">
        <v>10</v>
      </c>
      <c r="B11" s="595" t="s">
        <v>392</v>
      </c>
      <c r="C11" s="596"/>
      <c r="D11" s="597"/>
      <c r="E11" s="784"/>
      <c r="F11" s="597"/>
      <c r="G11" s="597"/>
      <c r="H11" s="598"/>
      <c r="I11" s="598"/>
      <c r="J11" s="598"/>
      <c r="K11" s="598"/>
      <c r="L11" s="598"/>
      <c r="M11" s="598"/>
      <c r="N11" s="619"/>
      <c r="O11" s="609"/>
      <c r="Q11" s="599"/>
    </row>
    <row r="12" spans="1:17" s="592" customFormat="1" ht="81">
      <c r="A12" s="620">
        <v>10</v>
      </c>
      <c r="B12" s="676" t="s">
        <v>393</v>
      </c>
      <c r="C12" s="600">
        <v>55008371</v>
      </c>
      <c r="D12" s="601" t="s">
        <v>20</v>
      </c>
      <c r="E12" s="602">
        <v>6230.1570000000002</v>
      </c>
      <c r="F12" s="601">
        <v>60</v>
      </c>
      <c r="G12" s="602">
        <f t="shared" ref="G12:G38" si="0">+E12*F12</f>
        <v>373809.42</v>
      </c>
      <c r="H12" s="603">
        <v>269.48732000000001</v>
      </c>
      <c r="I12" s="688">
        <f t="shared" ref="I12:I38" si="1">+J12-H12</f>
        <v>0</v>
      </c>
      <c r="J12" s="603">
        <f>'M BOOK'!I410</f>
        <v>269.48732000000001</v>
      </c>
      <c r="K12" s="604">
        <f t="shared" ref="K12:K38" si="2">+F12*H12</f>
        <v>16169.2392</v>
      </c>
      <c r="L12" s="689">
        <f t="shared" ref="L12:L38" si="3">+F12*I12</f>
        <v>0</v>
      </c>
      <c r="M12" s="604">
        <f t="shared" ref="M12:M38" si="4">+J12*F12</f>
        <v>16169.2392</v>
      </c>
      <c r="N12" s="621"/>
      <c r="O12" s="610">
        <f t="shared" ref="O12:O39" si="5">E12-J12</f>
        <v>5960.66968</v>
      </c>
    </row>
    <row r="13" spans="1:17" s="592" customFormat="1" ht="141.75">
      <c r="A13" s="620">
        <v>20</v>
      </c>
      <c r="B13" s="676" t="s">
        <v>394</v>
      </c>
      <c r="C13" s="600">
        <v>55007038</v>
      </c>
      <c r="D13" s="601" t="s">
        <v>21</v>
      </c>
      <c r="E13" s="602">
        <v>623.01599999999996</v>
      </c>
      <c r="F13" s="601">
        <v>4950</v>
      </c>
      <c r="G13" s="602">
        <f t="shared" si="0"/>
        <v>3083929.1999999997</v>
      </c>
      <c r="H13" s="603">
        <v>210.01479287000001</v>
      </c>
      <c r="I13" s="688">
        <f t="shared" si="1"/>
        <v>0</v>
      </c>
      <c r="J13" s="603">
        <f>'M BOOK'!I196</f>
        <v>210.01479287000001</v>
      </c>
      <c r="K13" s="604">
        <f t="shared" si="2"/>
        <v>1039573.2247065001</v>
      </c>
      <c r="L13" s="689">
        <f t="shared" si="3"/>
        <v>0</v>
      </c>
      <c r="M13" s="604">
        <f t="shared" si="4"/>
        <v>1039573.2247065001</v>
      </c>
      <c r="N13" s="621"/>
      <c r="O13" s="610">
        <f t="shared" si="5"/>
        <v>413.00120712999995</v>
      </c>
    </row>
    <row r="14" spans="1:17" s="592" customFormat="1" ht="162">
      <c r="A14" s="620">
        <v>30</v>
      </c>
      <c r="B14" s="676" t="s">
        <v>22</v>
      </c>
      <c r="C14" s="600">
        <v>65000300</v>
      </c>
      <c r="D14" s="601" t="s">
        <v>20</v>
      </c>
      <c r="E14" s="602">
        <v>225</v>
      </c>
      <c r="F14" s="601">
        <v>3230</v>
      </c>
      <c r="G14" s="602">
        <f t="shared" si="0"/>
        <v>726750</v>
      </c>
      <c r="H14" s="603">
        <v>211.5</v>
      </c>
      <c r="I14" s="688">
        <f t="shared" si="1"/>
        <v>0</v>
      </c>
      <c r="J14" s="603">
        <f>'M BOOK'!I355</f>
        <v>211.5</v>
      </c>
      <c r="K14" s="604">
        <f t="shared" si="2"/>
        <v>683145</v>
      </c>
      <c r="L14" s="689">
        <f t="shared" si="3"/>
        <v>0</v>
      </c>
      <c r="M14" s="604">
        <f t="shared" si="4"/>
        <v>683145</v>
      </c>
      <c r="N14" s="621"/>
      <c r="O14" s="610">
        <f t="shared" si="5"/>
        <v>13.5</v>
      </c>
      <c r="P14" s="605"/>
    </row>
    <row r="15" spans="1:17" s="592" customFormat="1" ht="60.75">
      <c r="A15" s="620">
        <v>40</v>
      </c>
      <c r="B15" s="676" t="s">
        <v>23</v>
      </c>
      <c r="C15" s="600">
        <v>65000300</v>
      </c>
      <c r="D15" s="601" t="s">
        <v>20</v>
      </c>
      <c r="E15" s="602">
        <v>1E-3</v>
      </c>
      <c r="F15" s="601">
        <v>3230</v>
      </c>
      <c r="G15" s="602">
        <f t="shared" si="0"/>
        <v>3.23</v>
      </c>
      <c r="H15" s="603"/>
      <c r="I15" s="688">
        <f t="shared" si="1"/>
        <v>0</v>
      </c>
      <c r="J15" s="603"/>
      <c r="K15" s="604">
        <f t="shared" si="2"/>
        <v>0</v>
      </c>
      <c r="L15" s="689">
        <f t="shared" si="3"/>
        <v>0</v>
      </c>
      <c r="M15" s="604">
        <f t="shared" si="4"/>
        <v>0</v>
      </c>
      <c r="N15" s="621"/>
      <c r="O15" s="610">
        <f t="shared" si="5"/>
        <v>1E-3</v>
      </c>
      <c r="P15" s="605"/>
    </row>
    <row r="16" spans="1:17" s="592" customFormat="1" ht="141.75">
      <c r="A16" s="620">
        <v>50</v>
      </c>
      <c r="B16" s="676" t="s">
        <v>420</v>
      </c>
      <c r="C16" s="600">
        <v>53003478</v>
      </c>
      <c r="D16" s="601" t="s">
        <v>24</v>
      </c>
      <c r="E16" s="602">
        <v>2318.5</v>
      </c>
      <c r="F16" s="601">
        <v>475</v>
      </c>
      <c r="G16" s="602">
        <f t="shared" si="0"/>
        <v>1101287.5</v>
      </c>
      <c r="H16" s="603">
        <v>1089.1807999999999</v>
      </c>
      <c r="I16" s="688">
        <f t="shared" si="1"/>
        <v>22.660000000000082</v>
      </c>
      <c r="J16" s="603">
        <f>'M BOOK'!I96</f>
        <v>1111.8407999999999</v>
      </c>
      <c r="K16" s="604">
        <f t="shared" si="2"/>
        <v>517360.87999999995</v>
      </c>
      <c r="L16" s="689">
        <f t="shared" si="3"/>
        <v>10763.500000000038</v>
      </c>
      <c r="M16" s="604">
        <f t="shared" si="4"/>
        <v>528124.38</v>
      </c>
      <c r="N16" s="621"/>
      <c r="O16" s="610">
        <f t="shared" si="5"/>
        <v>1206.6592000000001</v>
      </c>
      <c r="P16" s="605"/>
    </row>
    <row r="17" spans="1:19" s="592" customFormat="1" ht="141.75">
      <c r="A17" s="620">
        <v>60</v>
      </c>
      <c r="B17" s="676" t="s">
        <v>421</v>
      </c>
      <c r="C17" s="600">
        <v>53003479</v>
      </c>
      <c r="D17" s="601" t="s">
        <v>24</v>
      </c>
      <c r="E17" s="602">
        <v>1364.75</v>
      </c>
      <c r="F17" s="606">
        <v>450</v>
      </c>
      <c r="G17" s="602">
        <f t="shared" si="0"/>
        <v>614137.5</v>
      </c>
      <c r="H17" s="603">
        <v>1143.7394999999999</v>
      </c>
      <c r="I17" s="688">
        <f t="shared" si="1"/>
        <v>22.660000000000082</v>
      </c>
      <c r="J17" s="603">
        <f>'M BOOK'!I130</f>
        <v>1166.3995</v>
      </c>
      <c r="K17" s="604">
        <f t="shared" si="2"/>
        <v>514682.77499999997</v>
      </c>
      <c r="L17" s="689">
        <f t="shared" si="3"/>
        <v>10197.000000000036</v>
      </c>
      <c r="M17" s="604">
        <f t="shared" si="4"/>
        <v>524879.77500000002</v>
      </c>
      <c r="N17" s="621"/>
      <c r="O17" s="610">
        <f t="shared" si="5"/>
        <v>198.35050000000001</v>
      </c>
      <c r="P17" s="605"/>
      <c r="S17" s="592">
        <v>1292.24</v>
      </c>
    </row>
    <row r="18" spans="1:19" s="592" customFormat="1" ht="81">
      <c r="A18" s="620">
        <v>70</v>
      </c>
      <c r="B18" s="676" t="s">
        <v>395</v>
      </c>
      <c r="C18" s="600">
        <v>55003457</v>
      </c>
      <c r="D18" s="601" t="s">
        <v>25</v>
      </c>
      <c r="E18" s="602">
        <v>1E-3</v>
      </c>
      <c r="F18" s="606">
        <v>72</v>
      </c>
      <c r="G18" s="602">
        <f t="shared" si="0"/>
        <v>7.2000000000000008E-2</v>
      </c>
      <c r="H18" s="603"/>
      <c r="I18" s="688">
        <f t="shared" si="1"/>
        <v>0</v>
      </c>
      <c r="J18" s="603"/>
      <c r="K18" s="604">
        <f t="shared" si="2"/>
        <v>0</v>
      </c>
      <c r="L18" s="689">
        <f t="shared" si="3"/>
        <v>0</v>
      </c>
      <c r="M18" s="604">
        <f t="shared" si="4"/>
        <v>0</v>
      </c>
      <c r="N18" s="621"/>
      <c r="O18" s="610">
        <f t="shared" si="5"/>
        <v>1E-3</v>
      </c>
      <c r="P18" s="605"/>
    </row>
    <row r="19" spans="1:19" s="592" customFormat="1" ht="324">
      <c r="A19" s="620">
        <v>80</v>
      </c>
      <c r="B19" s="676" t="s">
        <v>396</v>
      </c>
      <c r="C19" s="600">
        <v>55007750</v>
      </c>
      <c r="D19" s="601" t="s">
        <v>20</v>
      </c>
      <c r="E19" s="602">
        <v>1E-3</v>
      </c>
      <c r="F19" s="606">
        <v>1065</v>
      </c>
      <c r="G19" s="602">
        <f t="shared" si="0"/>
        <v>1.0649999999999999</v>
      </c>
      <c r="H19" s="603">
        <v>0</v>
      </c>
      <c r="I19" s="688">
        <f t="shared" si="1"/>
        <v>0</v>
      </c>
      <c r="J19" s="603">
        <v>0</v>
      </c>
      <c r="K19" s="604">
        <f t="shared" si="2"/>
        <v>0</v>
      </c>
      <c r="L19" s="689">
        <f t="shared" si="3"/>
        <v>0</v>
      </c>
      <c r="M19" s="604">
        <f t="shared" si="4"/>
        <v>0</v>
      </c>
      <c r="N19" s="621"/>
      <c r="O19" s="610">
        <f t="shared" si="5"/>
        <v>1E-3</v>
      </c>
      <c r="P19" s="605"/>
    </row>
    <row r="20" spans="1:19" s="592" customFormat="1" ht="283.5">
      <c r="A20" s="620">
        <v>90</v>
      </c>
      <c r="B20" s="676" t="s">
        <v>397</v>
      </c>
      <c r="C20" s="600">
        <v>52000566</v>
      </c>
      <c r="D20" s="601" t="s">
        <v>20</v>
      </c>
      <c r="E20" s="602">
        <v>1E-3</v>
      </c>
      <c r="F20" s="606">
        <v>1136</v>
      </c>
      <c r="G20" s="665">
        <f t="shared" si="0"/>
        <v>1.1360000000000001</v>
      </c>
      <c r="H20" s="603"/>
      <c r="I20" s="688">
        <f t="shared" si="1"/>
        <v>0</v>
      </c>
      <c r="J20" s="603"/>
      <c r="K20" s="604">
        <f t="shared" si="2"/>
        <v>0</v>
      </c>
      <c r="L20" s="689">
        <f t="shared" si="3"/>
        <v>0</v>
      </c>
      <c r="M20" s="604">
        <f t="shared" si="4"/>
        <v>0</v>
      </c>
      <c r="N20" s="621"/>
      <c r="O20" s="610">
        <f t="shared" si="5"/>
        <v>1E-3</v>
      </c>
      <c r="P20" s="605"/>
    </row>
    <row r="21" spans="1:19" s="592" customFormat="1" ht="40.5">
      <c r="A21" s="620">
        <v>100</v>
      </c>
      <c r="B21" s="676" t="s">
        <v>398</v>
      </c>
      <c r="C21" s="600">
        <v>52000566</v>
      </c>
      <c r="D21" s="601" t="s">
        <v>20</v>
      </c>
      <c r="E21" s="602">
        <v>1E-3</v>
      </c>
      <c r="F21" s="606">
        <v>1136</v>
      </c>
      <c r="G21" s="602">
        <f t="shared" si="0"/>
        <v>1.1360000000000001</v>
      </c>
      <c r="H21" s="603"/>
      <c r="I21" s="688">
        <f t="shared" si="1"/>
        <v>0</v>
      </c>
      <c r="J21" s="603"/>
      <c r="K21" s="604">
        <f t="shared" si="2"/>
        <v>0</v>
      </c>
      <c r="L21" s="689">
        <f t="shared" si="3"/>
        <v>0</v>
      </c>
      <c r="M21" s="604">
        <f t="shared" si="4"/>
        <v>0</v>
      </c>
      <c r="N21" s="621"/>
      <c r="O21" s="610">
        <f t="shared" si="5"/>
        <v>1E-3</v>
      </c>
      <c r="P21" s="605"/>
    </row>
    <row r="22" spans="1:19" s="592" customFormat="1" ht="141.75">
      <c r="A22" s="620">
        <v>110</v>
      </c>
      <c r="B22" s="676" t="s">
        <v>399</v>
      </c>
      <c r="C22" s="600">
        <v>55005650</v>
      </c>
      <c r="D22" s="601" t="s">
        <v>24</v>
      </c>
      <c r="E22" s="602">
        <v>1E-3</v>
      </c>
      <c r="F22" s="606">
        <v>1080</v>
      </c>
      <c r="G22" s="602">
        <f t="shared" si="0"/>
        <v>1.08</v>
      </c>
      <c r="H22" s="603"/>
      <c r="I22" s="688">
        <f t="shared" si="1"/>
        <v>0</v>
      </c>
      <c r="J22" s="603"/>
      <c r="K22" s="604">
        <f t="shared" si="2"/>
        <v>0</v>
      </c>
      <c r="L22" s="689">
        <f t="shared" si="3"/>
        <v>0</v>
      </c>
      <c r="M22" s="604">
        <f t="shared" si="4"/>
        <v>0</v>
      </c>
      <c r="N22" s="621"/>
      <c r="O22" s="610">
        <f t="shared" si="5"/>
        <v>1E-3</v>
      </c>
      <c r="P22" s="605"/>
    </row>
    <row r="23" spans="1:19" s="592" customFormat="1" ht="60.75">
      <c r="A23" s="620">
        <v>120</v>
      </c>
      <c r="B23" s="676" t="s">
        <v>400</v>
      </c>
      <c r="C23" s="600">
        <v>55005650</v>
      </c>
      <c r="D23" s="601" t="s">
        <v>24</v>
      </c>
      <c r="E23" s="602">
        <v>1E-3</v>
      </c>
      <c r="F23" s="606">
        <v>1165</v>
      </c>
      <c r="G23" s="602">
        <f t="shared" si="0"/>
        <v>1.165</v>
      </c>
      <c r="H23" s="603"/>
      <c r="I23" s="688">
        <f t="shared" si="1"/>
        <v>0</v>
      </c>
      <c r="J23" s="603"/>
      <c r="K23" s="604">
        <f t="shared" si="2"/>
        <v>0</v>
      </c>
      <c r="L23" s="689">
        <f t="shared" si="3"/>
        <v>0</v>
      </c>
      <c r="M23" s="604">
        <f t="shared" si="4"/>
        <v>0</v>
      </c>
      <c r="N23" s="621"/>
      <c r="O23" s="610">
        <f t="shared" si="5"/>
        <v>1E-3</v>
      </c>
      <c r="P23" s="605"/>
    </row>
    <row r="24" spans="1:19" s="592" customFormat="1" ht="162">
      <c r="A24" s="620">
        <v>130</v>
      </c>
      <c r="B24" s="676" t="s">
        <v>401</v>
      </c>
      <c r="C24" s="600">
        <v>53003477</v>
      </c>
      <c r="D24" s="601" t="s">
        <v>20</v>
      </c>
      <c r="E24" s="602">
        <v>962.62800000000004</v>
      </c>
      <c r="F24" s="606">
        <v>410</v>
      </c>
      <c r="G24" s="602">
        <f t="shared" si="0"/>
        <v>394677.48000000004</v>
      </c>
      <c r="H24" s="603">
        <v>771.56950950000009</v>
      </c>
      <c r="I24" s="688">
        <f t="shared" si="1"/>
        <v>1066.5001831</v>
      </c>
      <c r="J24" s="603">
        <f>'M BOOK'!I268</f>
        <v>1838.0696926000001</v>
      </c>
      <c r="K24" s="604">
        <f t="shared" si="2"/>
        <v>316343.49889500003</v>
      </c>
      <c r="L24" s="689">
        <f t="shared" si="3"/>
        <v>437265.07507099997</v>
      </c>
      <c r="M24" s="604">
        <f t="shared" si="4"/>
        <v>753608.573966</v>
      </c>
      <c r="N24" s="621"/>
      <c r="O24" s="610">
        <f t="shared" si="5"/>
        <v>-875.44169260000001</v>
      </c>
      <c r="P24" s="605"/>
    </row>
    <row r="25" spans="1:19" s="592" customFormat="1" ht="41.25" customHeight="1">
      <c r="A25" s="620">
        <v>140</v>
      </c>
      <c r="B25" s="676" t="s">
        <v>402</v>
      </c>
      <c r="C25" s="600">
        <v>55004902</v>
      </c>
      <c r="D25" s="601" t="s">
        <v>20</v>
      </c>
      <c r="E25" s="602">
        <v>1E-3</v>
      </c>
      <c r="F25" s="606">
        <v>5800</v>
      </c>
      <c r="G25" s="602">
        <f t="shared" si="0"/>
        <v>5.8</v>
      </c>
      <c r="H25" s="603"/>
      <c r="I25" s="688">
        <f t="shared" si="1"/>
        <v>0</v>
      </c>
      <c r="J25" s="603"/>
      <c r="K25" s="604">
        <f t="shared" si="2"/>
        <v>0</v>
      </c>
      <c r="L25" s="689">
        <f t="shared" si="3"/>
        <v>0</v>
      </c>
      <c r="M25" s="604">
        <f t="shared" si="4"/>
        <v>0</v>
      </c>
      <c r="N25" s="621"/>
      <c r="O25" s="610">
        <f t="shared" si="5"/>
        <v>1E-3</v>
      </c>
      <c r="P25" s="605"/>
    </row>
    <row r="26" spans="1:19" s="592" customFormat="1" ht="40.5">
      <c r="A26" s="620">
        <v>150</v>
      </c>
      <c r="B26" s="676" t="s">
        <v>403</v>
      </c>
      <c r="C26" s="600">
        <v>55009607</v>
      </c>
      <c r="D26" s="601" t="s">
        <v>20</v>
      </c>
      <c r="E26" s="602">
        <v>1051.058</v>
      </c>
      <c r="F26" s="606">
        <v>115</v>
      </c>
      <c r="G26" s="602">
        <f t="shared" si="0"/>
        <v>120871.67</v>
      </c>
      <c r="H26" s="603">
        <v>2467.1710628999999</v>
      </c>
      <c r="I26" s="688">
        <f t="shared" si="1"/>
        <v>620.76991899999985</v>
      </c>
      <c r="J26" s="603">
        <f>'M BOOK'!I389</f>
        <v>3087.9409818999998</v>
      </c>
      <c r="K26" s="604">
        <f t="shared" si="2"/>
        <v>283724.67223349999</v>
      </c>
      <c r="L26" s="689">
        <f t="shared" si="3"/>
        <v>71388.540684999985</v>
      </c>
      <c r="M26" s="604">
        <f t="shared" si="4"/>
        <v>355113.21291849995</v>
      </c>
      <c r="N26" s="621"/>
      <c r="O26" s="610">
        <f t="shared" si="5"/>
        <v>-2036.8829818999998</v>
      </c>
      <c r="P26" s="605"/>
    </row>
    <row r="27" spans="1:19" s="592" customFormat="1" ht="40.5">
      <c r="A27" s="620">
        <v>160</v>
      </c>
      <c r="B27" s="676" t="s">
        <v>404</v>
      </c>
      <c r="C27" s="600">
        <v>55007653</v>
      </c>
      <c r="D27" s="601" t="s">
        <v>24</v>
      </c>
      <c r="E27" s="602">
        <v>210.8</v>
      </c>
      <c r="F27" s="606">
        <v>60</v>
      </c>
      <c r="G27" s="602">
        <f t="shared" si="0"/>
        <v>12648</v>
      </c>
      <c r="H27" s="603">
        <v>357.8</v>
      </c>
      <c r="I27" s="688">
        <f t="shared" si="1"/>
        <v>0</v>
      </c>
      <c r="J27" s="603">
        <f>'M BOOK'!I400</f>
        <v>357.8</v>
      </c>
      <c r="K27" s="604">
        <f t="shared" si="2"/>
        <v>21468</v>
      </c>
      <c r="L27" s="689">
        <f t="shared" si="3"/>
        <v>0</v>
      </c>
      <c r="M27" s="604">
        <f t="shared" si="4"/>
        <v>21468</v>
      </c>
      <c r="N27" s="621"/>
      <c r="O27" s="610">
        <f t="shared" si="5"/>
        <v>-147</v>
      </c>
      <c r="P27" s="605"/>
    </row>
    <row r="28" spans="1:19" s="592" customFormat="1" ht="20.25">
      <c r="A28" s="618">
        <v>20</v>
      </c>
      <c r="B28" s="595" t="s">
        <v>106</v>
      </c>
      <c r="C28" s="596"/>
      <c r="D28" s="597"/>
      <c r="E28" s="784"/>
      <c r="F28" s="597"/>
      <c r="G28" s="597"/>
      <c r="H28" s="597"/>
      <c r="I28" s="597"/>
      <c r="J28" s="597"/>
      <c r="K28" s="597"/>
      <c r="L28" s="687"/>
      <c r="M28" s="597"/>
      <c r="N28" s="622"/>
      <c r="O28" s="610">
        <f t="shared" si="5"/>
        <v>0</v>
      </c>
      <c r="Q28" s="599"/>
    </row>
    <row r="29" spans="1:19" s="592" customFormat="1" ht="182.25">
      <c r="A29" s="620">
        <v>10</v>
      </c>
      <c r="B29" s="676" t="s">
        <v>405</v>
      </c>
      <c r="C29" s="600">
        <v>55007561</v>
      </c>
      <c r="D29" s="601" t="s">
        <v>21</v>
      </c>
      <c r="E29" s="602">
        <v>1654.8230000000001</v>
      </c>
      <c r="F29" s="606">
        <v>2050</v>
      </c>
      <c r="G29" s="602">
        <f t="shared" si="0"/>
        <v>3392387.1500000004</v>
      </c>
      <c r="H29" s="603">
        <v>939.12610004500004</v>
      </c>
      <c r="I29" s="688">
        <f t="shared" si="1"/>
        <v>3.9111184800000274</v>
      </c>
      <c r="J29" s="603">
        <f>'M BOOK'!I69</f>
        <v>943.03721852500007</v>
      </c>
      <c r="K29" s="604">
        <f t="shared" si="2"/>
        <v>1925208.5050922502</v>
      </c>
      <c r="L29" s="689">
        <f t="shared" si="3"/>
        <v>8017.7928840000559</v>
      </c>
      <c r="M29" s="604">
        <f t="shared" si="4"/>
        <v>1933226.2979762501</v>
      </c>
      <c r="N29" s="621">
        <f>'DC S '!G69</f>
        <v>1082.4804761904761</v>
      </c>
      <c r="O29" s="610">
        <f t="shared" si="5"/>
        <v>711.78578147500002</v>
      </c>
      <c r="P29" s="605"/>
    </row>
    <row r="30" spans="1:19" s="592" customFormat="1" ht="121.5">
      <c r="A30" s="620">
        <v>20</v>
      </c>
      <c r="B30" s="676" t="s">
        <v>406</v>
      </c>
      <c r="C30" s="600">
        <v>55007682</v>
      </c>
      <c r="D30" s="601" t="s">
        <v>21</v>
      </c>
      <c r="E30" s="602">
        <v>945.76800000000003</v>
      </c>
      <c r="F30" s="606">
        <v>2325</v>
      </c>
      <c r="G30" s="602">
        <f t="shared" si="0"/>
        <v>2198910.6</v>
      </c>
      <c r="H30" s="603">
        <v>649.55112193499997</v>
      </c>
      <c r="I30" s="688">
        <f t="shared" si="1"/>
        <v>0</v>
      </c>
      <c r="J30" s="603">
        <f>'M BOOK'!I241</f>
        <v>649.55112193499997</v>
      </c>
      <c r="K30" s="604">
        <f t="shared" si="2"/>
        <v>1510206.3584988748</v>
      </c>
      <c r="L30" s="689">
        <f t="shared" si="3"/>
        <v>0</v>
      </c>
      <c r="M30" s="604">
        <f t="shared" si="4"/>
        <v>1510206.3584988748</v>
      </c>
      <c r="N30" s="621">
        <f>'DC S '!G131</f>
        <v>1080.1500000000001</v>
      </c>
      <c r="O30" s="610">
        <f t="shared" si="5"/>
        <v>296.21687806500006</v>
      </c>
      <c r="P30" s="605"/>
    </row>
    <row r="31" spans="1:19" s="592" customFormat="1" ht="81">
      <c r="A31" s="620">
        <v>30</v>
      </c>
      <c r="B31" s="676" t="s">
        <v>407</v>
      </c>
      <c r="C31" s="600">
        <v>55002290</v>
      </c>
      <c r="D31" s="601" t="s">
        <v>21</v>
      </c>
      <c r="E31" s="602">
        <v>1197.126</v>
      </c>
      <c r="F31" s="606">
        <v>240</v>
      </c>
      <c r="G31" s="602">
        <f t="shared" si="0"/>
        <v>287310.24</v>
      </c>
      <c r="H31" s="603">
        <v>1430.4245875131976</v>
      </c>
      <c r="I31" s="688">
        <f t="shared" si="1"/>
        <v>69.244445999999925</v>
      </c>
      <c r="J31" s="603">
        <f>'M BOOK'!I225</f>
        <v>1499.6690335131975</v>
      </c>
      <c r="K31" s="604">
        <f t="shared" si="2"/>
        <v>343301.90100316744</v>
      </c>
      <c r="L31" s="689">
        <f t="shared" si="3"/>
        <v>16618.667039999982</v>
      </c>
      <c r="M31" s="604">
        <f t="shared" si="4"/>
        <v>359920.56804316741</v>
      </c>
      <c r="N31" s="621"/>
      <c r="O31" s="610">
        <f t="shared" si="5"/>
        <v>-302.54303351319754</v>
      </c>
      <c r="P31" s="605"/>
      <c r="Q31" s="605"/>
    </row>
    <row r="32" spans="1:19" s="592" customFormat="1" ht="283.5">
      <c r="A32" s="620">
        <v>40</v>
      </c>
      <c r="B32" s="676" t="s">
        <v>29</v>
      </c>
      <c r="C32" s="600">
        <v>55010117</v>
      </c>
      <c r="D32" s="601" t="s">
        <v>25</v>
      </c>
      <c r="E32" s="602">
        <v>27859.056</v>
      </c>
      <c r="F32" s="606">
        <v>16</v>
      </c>
      <c r="G32" s="602">
        <f t="shared" si="0"/>
        <v>445744.89600000001</v>
      </c>
      <c r="H32" s="603">
        <v>7260.4752500000022</v>
      </c>
      <c r="I32" s="688">
        <f t="shared" si="1"/>
        <v>4336.9927355555565</v>
      </c>
      <c r="J32" s="603">
        <f>BBS!O69</f>
        <v>11597.467985555559</v>
      </c>
      <c r="K32" s="604">
        <f t="shared" si="2"/>
        <v>116167.60400000004</v>
      </c>
      <c r="L32" s="689">
        <f t="shared" si="3"/>
        <v>69391.883768888903</v>
      </c>
      <c r="M32" s="604">
        <f t="shared" si="4"/>
        <v>185559.48776888894</v>
      </c>
      <c r="N32" s="621"/>
      <c r="O32" s="610">
        <f t="shared" si="5"/>
        <v>16261.588014444442</v>
      </c>
      <c r="P32" s="605"/>
    </row>
    <row r="33" spans="1:17" s="592" customFormat="1" ht="141.75">
      <c r="A33" s="620">
        <v>50</v>
      </c>
      <c r="B33" s="676" t="s">
        <v>105</v>
      </c>
      <c r="C33" s="600">
        <v>55008193</v>
      </c>
      <c r="D33" s="601" t="s">
        <v>34</v>
      </c>
      <c r="E33" s="602">
        <v>11</v>
      </c>
      <c r="F33" s="606">
        <v>17400</v>
      </c>
      <c r="G33" s="602">
        <f t="shared" si="0"/>
        <v>191400</v>
      </c>
      <c r="H33" s="603">
        <v>11</v>
      </c>
      <c r="I33" s="688">
        <f t="shared" si="1"/>
        <v>8</v>
      </c>
      <c r="J33" s="603">
        <f>'M BOOK'!I316</f>
        <v>19</v>
      </c>
      <c r="K33" s="604">
        <f t="shared" si="2"/>
        <v>191400</v>
      </c>
      <c r="L33" s="689">
        <f t="shared" si="3"/>
        <v>139200</v>
      </c>
      <c r="M33" s="604">
        <f t="shared" si="4"/>
        <v>330600</v>
      </c>
      <c r="N33" s="621"/>
      <c r="O33" s="610">
        <f t="shared" si="5"/>
        <v>-8</v>
      </c>
      <c r="P33" s="605"/>
    </row>
    <row r="34" spans="1:17" s="592" customFormat="1" ht="141.75">
      <c r="A34" s="620">
        <v>60</v>
      </c>
      <c r="B34" s="676" t="s">
        <v>39</v>
      </c>
      <c r="C34" s="600">
        <v>55008193</v>
      </c>
      <c r="D34" s="601" t="s">
        <v>34</v>
      </c>
      <c r="E34" s="602">
        <v>23</v>
      </c>
      <c r="F34" s="606">
        <v>5200</v>
      </c>
      <c r="G34" s="602">
        <f t="shared" si="0"/>
        <v>119600</v>
      </c>
      <c r="H34" s="603">
        <v>0</v>
      </c>
      <c r="I34" s="688">
        <f t="shared" si="1"/>
        <v>0</v>
      </c>
      <c r="J34" s="603">
        <v>0</v>
      </c>
      <c r="K34" s="604">
        <f t="shared" si="2"/>
        <v>0</v>
      </c>
      <c r="L34" s="689">
        <f t="shared" si="3"/>
        <v>0</v>
      </c>
      <c r="M34" s="604">
        <f t="shared" si="4"/>
        <v>0</v>
      </c>
      <c r="N34" s="621"/>
      <c r="O34" s="610">
        <f t="shared" si="5"/>
        <v>23</v>
      </c>
      <c r="P34" s="605"/>
    </row>
    <row r="35" spans="1:17" s="592" customFormat="1" ht="141.75">
      <c r="A35" s="620">
        <v>70</v>
      </c>
      <c r="B35" s="676" t="s">
        <v>40</v>
      </c>
      <c r="C35" s="600">
        <v>55006453</v>
      </c>
      <c r="D35" s="601" t="s">
        <v>34</v>
      </c>
      <c r="E35" s="602">
        <v>4</v>
      </c>
      <c r="F35" s="606">
        <v>8500</v>
      </c>
      <c r="G35" s="602">
        <f t="shared" si="0"/>
        <v>34000</v>
      </c>
      <c r="H35" s="603">
        <v>4</v>
      </c>
      <c r="I35" s="688">
        <f t="shared" si="1"/>
        <v>0</v>
      </c>
      <c r="J35" s="603">
        <f>'M BOOK'!I324</f>
        <v>4</v>
      </c>
      <c r="K35" s="604">
        <f t="shared" si="2"/>
        <v>34000</v>
      </c>
      <c r="L35" s="689">
        <f t="shared" si="3"/>
        <v>0</v>
      </c>
      <c r="M35" s="604">
        <f t="shared" si="4"/>
        <v>34000</v>
      </c>
      <c r="N35" s="621"/>
      <c r="O35" s="610">
        <f t="shared" si="5"/>
        <v>0</v>
      </c>
      <c r="P35" s="605"/>
    </row>
    <row r="36" spans="1:17" s="592" customFormat="1" ht="141.75">
      <c r="A36" s="620">
        <v>80</v>
      </c>
      <c r="B36" s="676" t="s">
        <v>41</v>
      </c>
      <c r="C36" s="600">
        <v>55008193</v>
      </c>
      <c r="D36" s="601" t="s">
        <v>34</v>
      </c>
      <c r="E36" s="602">
        <v>4</v>
      </c>
      <c r="F36" s="606">
        <v>10000</v>
      </c>
      <c r="G36" s="602">
        <f t="shared" si="0"/>
        <v>40000</v>
      </c>
      <c r="H36" s="603">
        <v>4</v>
      </c>
      <c r="I36" s="688">
        <f t="shared" si="1"/>
        <v>0</v>
      </c>
      <c r="J36" s="603">
        <f>'M BOOK'!I333</f>
        <v>4</v>
      </c>
      <c r="K36" s="604">
        <f t="shared" si="2"/>
        <v>40000</v>
      </c>
      <c r="L36" s="689">
        <f t="shared" si="3"/>
        <v>0</v>
      </c>
      <c r="M36" s="604">
        <f t="shared" si="4"/>
        <v>40000</v>
      </c>
      <c r="N36" s="621"/>
      <c r="O36" s="610">
        <f t="shared" si="5"/>
        <v>0</v>
      </c>
      <c r="P36" s="605"/>
    </row>
    <row r="37" spans="1:17" s="592" customFormat="1" ht="141.75">
      <c r="A37" s="620">
        <v>90</v>
      </c>
      <c r="B37" s="676" t="s">
        <v>42</v>
      </c>
      <c r="C37" s="600">
        <v>55008193</v>
      </c>
      <c r="D37" s="601" t="s">
        <v>34</v>
      </c>
      <c r="E37" s="602">
        <v>28</v>
      </c>
      <c r="F37" s="606">
        <v>5500</v>
      </c>
      <c r="G37" s="602">
        <f t="shared" si="0"/>
        <v>154000</v>
      </c>
      <c r="H37" s="603">
        <v>12</v>
      </c>
      <c r="I37" s="688">
        <f t="shared" si="1"/>
        <v>18</v>
      </c>
      <c r="J37" s="603">
        <f>'M BOOK'!I346</f>
        <v>30</v>
      </c>
      <c r="K37" s="604">
        <f t="shared" si="2"/>
        <v>66000</v>
      </c>
      <c r="L37" s="689">
        <f t="shared" si="3"/>
        <v>99000</v>
      </c>
      <c r="M37" s="604">
        <f t="shared" si="4"/>
        <v>165000</v>
      </c>
      <c r="N37" s="621"/>
      <c r="O37" s="610">
        <f t="shared" si="5"/>
        <v>-2</v>
      </c>
      <c r="P37" s="605"/>
    </row>
    <row r="38" spans="1:17" s="592" customFormat="1" ht="202.5">
      <c r="A38" s="620">
        <v>100</v>
      </c>
      <c r="B38" s="676" t="s">
        <v>43</v>
      </c>
      <c r="C38" s="600">
        <v>55008466</v>
      </c>
      <c r="D38" s="601" t="s">
        <v>21</v>
      </c>
      <c r="E38" s="602">
        <v>1071.98</v>
      </c>
      <c r="F38" s="606">
        <v>1100</v>
      </c>
      <c r="G38" s="602">
        <f t="shared" si="0"/>
        <v>1179178</v>
      </c>
      <c r="H38" s="603">
        <v>494.55402354</v>
      </c>
      <c r="I38" s="688">
        <f t="shared" si="1"/>
        <v>122.12935863999996</v>
      </c>
      <c r="J38" s="603">
        <f>'M BOOK'!I308</f>
        <v>616.68338217999997</v>
      </c>
      <c r="K38" s="604">
        <f t="shared" si="2"/>
        <v>544009.42589399999</v>
      </c>
      <c r="L38" s="689">
        <f t="shared" si="3"/>
        <v>134342.29450399996</v>
      </c>
      <c r="M38" s="604">
        <f t="shared" si="4"/>
        <v>678351.72039799998</v>
      </c>
      <c r="N38" s="621"/>
      <c r="O38" s="610">
        <f t="shared" si="5"/>
        <v>455.29661782000005</v>
      </c>
      <c r="P38" s="605"/>
    </row>
    <row r="39" spans="1:17" s="592" customFormat="1" ht="21" thickBot="1">
      <c r="A39" s="623"/>
      <c r="B39" s="624" t="s">
        <v>408</v>
      </c>
      <c r="C39" s="625"/>
      <c r="D39" s="625"/>
      <c r="E39" s="785"/>
      <c r="F39" s="625"/>
      <c r="G39" s="626">
        <f>SUM(G12:G38)</f>
        <v>14470656.34</v>
      </c>
      <c r="H39" s="625"/>
      <c r="I39" s="625"/>
      <c r="J39" s="625"/>
      <c r="K39" s="664">
        <f>SUM(K1:K38)</f>
        <v>8162761.0845232923</v>
      </c>
      <c r="L39" s="664">
        <f>SUM(L1:L38)</f>
        <v>996184.753952889</v>
      </c>
      <c r="M39" s="664">
        <f>SUM(M1:M38)</f>
        <v>9158945.838476181</v>
      </c>
      <c r="N39" s="627"/>
      <c r="O39" s="610">
        <f t="shared" si="5"/>
        <v>0</v>
      </c>
    </row>
    <row r="40" spans="1:17" s="592" customFormat="1" ht="20.25">
      <c r="A40" s="618">
        <v>30</v>
      </c>
      <c r="B40" s="595" t="s">
        <v>644</v>
      </c>
      <c r="C40" s="596"/>
      <c r="D40" s="597"/>
      <c r="E40" s="784"/>
      <c r="F40" s="597"/>
      <c r="G40" s="597"/>
      <c r="H40" s="597"/>
      <c r="I40" s="597"/>
      <c r="J40" s="597"/>
      <c r="K40" s="597"/>
      <c r="L40" s="687"/>
      <c r="M40" s="597"/>
      <c r="N40" s="622"/>
      <c r="O40" s="610">
        <f t="shared" ref="O40" si="6">E40-J40</f>
        <v>0</v>
      </c>
      <c r="Q40" s="599"/>
    </row>
    <row r="41" spans="1:17" s="592" customFormat="1" ht="20.25">
      <c r="A41" s="696">
        <v>1</v>
      </c>
      <c r="B41" s="697" t="s">
        <v>646</v>
      </c>
      <c r="C41" s="698"/>
      <c r="D41" s="699"/>
      <c r="E41" s="701"/>
      <c r="F41" s="700"/>
      <c r="G41" s="701"/>
      <c r="H41" s="702"/>
      <c r="I41" s="703"/>
      <c r="J41" s="702"/>
      <c r="K41" s="704"/>
      <c r="L41" s="705"/>
      <c r="M41" s="704"/>
      <c r="N41" s="706"/>
      <c r="O41" s="610"/>
      <c r="P41" s="605"/>
    </row>
    <row r="42" spans="1:17" s="592" customFormat="1" ht="101.25">
      <c r="A42" s="696">
        <v>40</v>
      </c>
      <c r="B42" s="697" t="s">
        <v>645</v>
      </c>
      <c r="C42" s="698">
        <v>995453</v>
      </c>
      <c r="D42" s="699" t="s">
        <v>24</v>
      </c>
      <c r="E42" s="701">
        <v>34</v>
      </c>
      <c r="F42" s="700">
        <v>1060</v>
      </c>
      <c r="G42" s="602">
        <f t="shared" ref="G42:G48" si="7">+E42*F42</f>
        <v>36040</v>
      </c>
      <c r="H42" s="702"/>
      <c r="I42" s="688">
        <f t="shared" ref="I42" si="8">+J42-H42</f>
        <v>84.300000000000011</v>
      </c>
      <c r="J42" s="702">
        <f>'NT MEAS'!I72</f>
        <v>84.300000000000011</v>
      </c>
      <c r="K42" s="704"/>
      <c r="L42" s="689">
        <f t="shared" ref="L42:L48" si="9">+F42*I42</f>
        <v>89358.000000000015</v>
      </c>
      <c r="M42" s="604">
        <f t="shared" ref="M42:M48" si="10">+J42*F42</f>
        <v>89358.000000000015</v>
      </c>
      <c r="N42" s="706"/>
      <c r="O42" s="610"/>
      <c r="P42" s="605"/>
    </row>
    <row r="43" spans="1:17" s="592" customFormat="1" ht="20.25">
      <c r="A43" s="696">
        <v>2</v>
      </c>
      <c r="B43" s="697" t="s">
        <v>642</v>
      </c>
      <c r="C43" s="698"/>
      <c r="D43" s="699"/>
      <c r="E43" s="701"/>
      <c r="F43" s="700"/>
      <c r="G43" s="602"/>
      <c r="H43" s="702"/>
      <c r="I43" s="703"/>
      <c r="J43" s="702"/>
      <c r="K43" s="704"/>
      <c r="L43" s="689"/>
      <c r="M43" s="604"/>
      <c r="N43" s="706"/>
      <c r="O43" s="610"/>
      <c r="P43" s="605"/>
    </row>
    <row r="44" spans="1:17" s="592" customFormat="1" ht="121.5">
      <c r="A44" s="696">
        <v>20</v>
      </c>
      <c r="B44" s="697" t="s">
        <v>647</v>
      </c>
      <c r="C44" s="698">
        <v>995474</v>
      </c>
      <c r="D44" s="699" t="s">
        <v>20</v>
      </c>
      <c r="E44" s="701">
        <v>99.92</v>
      </c>
      <c r="F44" s="700">
        <v>1466</v>
      </c>
      <c r="G44" s="602">
        <f t="shared" si="7"/>
        <v>146482.72</v>
      </c>
      <c r="H44" s="702"/>
      <c r="I44" s="688">
        <f t="shared" ref="I44" si="11">+J44-H44</f>
        <v>99.915139799999992</v>
      </c>
      <c r="J44" s="702">
        <f>'NT MEAS'!I29</f>
        <v>99.915139799999992</v>
      </c>
      <c r="K44" s="704"/>
      <c r="L44" s="689">
        <f t="shared" si="9"/>
        <v>146475.59494679997</v>
      </c>
      <c r="M44" s="604">
        <f t="shared" si="10"/>
        <v>146475.59494679997</v>
      </c>
      <c r="N44" s="706"/>
      <c r="O44" s="610"/>
      <c r="P44" s="605"/>
    </row>
    <row r="45" spans="1:17" s="592" customFormat="1" ht="20.25">
      <c r="A45" s="696">
        <v>3</v>
      </c>
      <c r="B45" s="697" t="s">
        <v>648</v>
      </c>
      <c r="C45" s="698"/>
      <c r="D45" s="699"/>
      <c r="E45" s="701"/>
      <c r="F45" s="700"/>
      <c r="G45" s="602"/>
      <c r="H45" s="702"/>
      <c r="I45" s="703"/>
      <c r="J45" s="702"/>
      <c r="K45" s="704"/>
      <c r="L45" s="689"/>
      <c r="M45" s="604"/>
      <c r="N45" s="706"/>
      <c r="O45" s="610"/>
      <c r="P45" s="605"/>
    </row>
    <row r="46" spans="1:17" s="592" customFormat="1" ht="121.5">
      <c r="A46" s="696">
        <v>10</v>
      </c>
      <c r="B46" s="697" t="s">
        <v>649</v>
      </c>
      <c r="C46" s="698">
        <v>995442</v>
      </c>
      <c r="D46" s="699" t="s">
        <v>24</v>
      </c>
      <c r="E46" s="701">
        <v>307.47000000000003</v>
      </c>
      <c r="F46" s="700">
        <v>400</v>
      </c>
      <c r="G46" s="602">
        <f t="shared" si="7"/>
        <v>122988.00000000001</v>
      </c>
      <c r="H46" s="702"/>
      <c r="I46" s="688">
        <f t="shared" ref="I46" si="12">+J46-H46</f>
        <v>307.46769999999998</v>
      </c>
      <c r="J46" s="702">
        <f>'NT MEAS'!I20</f>
        <v>307.46769999999998</v>
      </c>
      <c r="K46" s="704"/>
      <c r="L46" s="689">
        <f t="shared" si="9"/>
        <v>122987.07999999999</v>
      </c>
      <c r="M46" s="604">
        <f t="shared" si="10"/>
        <v>122987.07999999999</v>
      </c>
      <c r="N46" s="706"/>
      <c r="O46" s="610"/>
      <c r="P46" s="605"/>
    </row>
    <row r="47" spans="1:17" s="592" customFormat="1" ht="20.25">
      <c r="A47" s="696">
        <v>4</v>
      </c>
      <c r="B47" s="697" t="s">
        <v>643</v>
      </c>
      <c r="C47" s="698"/>
      <c r="D47" s="699"/>
      <c r="E47" s="701"/>
      <c r="F47" s="700"/>
      <c r="G47" s="602"/>
      <c r="H47" s="702"/>
      <c r="I47" s="703"/>
      <c r="J47" s="702"/>
      <c r="K47" s="704"/>
      <c r="L47" s="689"/>
      <c r="M47" s="604"/>
      <c r="N47" s="706"/>
      <c r="O47" s="610"/>
      <c r="P47" s="605"/>
    </row>
    <row r="48" spans="1:17" s="592" customFormat="1" ht="81">
      <c r="A48" s="696">
        <v>30</v>
      </c>
      <c r="B48" s="697" t="s">
        <v>650</v>
      </c>
      <c r="C48" s="698"/>
      <c r="D48" s="699" t="s">
        <v>20</v>
      </c>
      <c r="E48" s="701">
        <v>2627.19</v>
      </c>
      <c r="F48" s="700">
        <v>108</v>
      </c>
      <c r="G48" s="602">
        <f t="shared" si="7"/>
        <v>283736.52</v>
      </c>
      <c r="H48" s="702"/>
      <c r="I48" s="688">
        <f t="shared" ref="I48" si="13">+J48-H48</f>
        <v>2536.2292745999998</v>
      </c>
      <c r="J48" s="702">
        <f>'NT MEAS'!I65</f>
        <v>2536.2292745999998</v>
      </c>
      <c r="K48" s="704"/>
      <c r="L48" s="689">
        <f t="shared" si="9"/>
        <v>273912.76165679999</v>
      </c>
      <c r="M48" s="604">
        <f t="shared" si="10"/>
        <v>273912.76165679999</v>
      </c>
      <c r="N48" s="706"/>
      <c r="O48" s="610"/>
      <c r="P48" s="605"/>
    </row>
    <row r="49" spans="1:16" s="592" customFormat="1" ht="20.25">
      <c r="A49" s="696"/>
      <c r="B49" s="697"/>
      <c r="C49" s="698"/>
      <c r="D49" s="699"/>
      <c r="E49" s="701"/>
      <c r="F49" s="700"/>
      <c r="G49" s="701"/>
      <c r="H49" s="702"/>
      <c r="I49" s="703"/>
      <c r="J49" s="702"/>
      <c r="K49" s="704"/>
      <c r="L49" s="705"/>
      <c r="M49" s="704"/>
      <c r="N49" s="706"/>
      <c r="O49" s="610"/>
      <c r="P49" s="605"/>
    </row>
    <row r="50" spans="1:16" s="592" customFormat="1" ht="21" thickBot="1">
      <c r="A50" s="623"/>
      <c r="B50" s="624" t="s">
        <v>408</v>
      </c>
      <c r="C50" s="625"/>
      <c r="D50" s="625"/>
      <c r="E50" s="785"/>
      <c r="F50" s="625"/>
      <c r="G50" s="626">
        <f>SUM(G42:G48)</f>
        <v>589247.24</v>
      </c>
      <c r="H50" s="625"/>
      <c r="I50" s="625"/>
      <c r="J50" s="625"/>
      <c r="K50" s="664"/>
      <c r="L50" s="664">
        <f>SUM(L42:L48)</f>
        <v>632733.43660359993</v>
      </c>
      <c r="M50" s="664">
        <f>SUM(M42:M48)</f>
        <v>632733.43660359993</v>
      </c>
      <c r="N50" s="627"/>
      <c r="O50" s="610">
        <f t="shared" ref="O50" si="14">E50-J50</f>
        <v>0</v>
      </c>
    </row>
    <row r="51" spans="1:16" s="592" customFormat="1" ht="20.25">
      <c r="A51" s="614"/>
      <c r="B51" s="614"/>
      <c r="C51" s="614"/>
      <c r="D51" s="614"/>
      <c r="E51" s="786"/>
      <c r="F51" s="614"/>
      <c r="G51" s="614"/>
      <c r="H51" s="614"/>
      <c r="I51" s="614"/>
      <c r="J51" s="615"/>
      <c r="K51" s="614"/>
      <c r="L51" s="616"/>
      <c r="M51" s="614"/>
      <c r="N51" s="614"/>
    </row>
    <row r="52" spans="1:16" s="592" customFormat="1" ht="20.25">
      <c r="E52" s="787"/>
      <c r="L52" s="605"/>
    </row>
    <row r="53" spans="1:16">
      <c r="L53" s="608"/>
    </row>
  </sheetData>
  <mergeCells count="10">
    <mergeCell ref="A8:N8"/>
    <mergeCell ref="A9:A10"/>
    <mergeCell ref="B9:B10"/>
    <mergeCell ref="C9:C10"/>
    <mergeCell ref="D9:D10"/>
    <mergeCell ref="E9:E10"/>
    <mergeCell ref="F9:F10"/>
    <mergeCell ref="G9:G10"/>
    <mergeCell ref="H9:J9"/>
    <mergeCell ref="K9:M9"/>
  </mergeCells>
  <conditionalFormatting sqref="O12:O38 O41:O50">
    <cfRule type="cellIs" dxfId="2" priority="3" operator="lessThan">
      <formula>0</formula>
    </cfRule>
  </conditionalFormatting>
  <conditionalFormatting sqref="O40">
    <cfRule type="cellIs" dxfId="1" priority="2" operator="lessThan">
      <formula>0</formula>
    </cfRule>
  </conditionalFormatting>
  <conditionalFormatting sqref="O39">
    <cfRule type="cellIs" dxfId="0" priority="1" operator="lessThan">
      <formula>0</formula>
    </cfRule>
  </conditionalFormatting>
  <printOptions horizontalCentered="1"/>
  <pageMargins left="0.11811023622047245" right="0.11811023622047245" top="0.15748031496062992" bottom="0.39370078740157483" header="0" footer="0"/>
  <pageSetup scale="34" fitToHeight="3" orientation="landscape" r:id="rId1"/>
  <headerFooter>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DA08D-982C-43E0-95BA-7447E0172067}">
  <sheetPr>
    <pageSetUpPr fitToPage="1"/>
  </sheetPr>
  <dimension ref="B2:Y72"/>
  <sheetViews>
    <sheetView view="pageBreakPreview" zoomScale="70" zoomScaleNormal="100" zoomScaleSheetLayoutView="70" workbookViewId="0">
      <selection activeCell="L21" sqref="L21"/>
    </sheetView>
  </sheetViews>
  <sheetFormatPr defaultRowHeight="15.75"/>
  <cols>
    <col min="1" max="1" width="9.140625" style="707" customWidth="1"/>
    <col min="2" max="2" width="15.5703125" style="707" bestFit="1" customWidth="1"/>
    <col min="3" max="3" width="104.140625" style="749" customWidth="1"/>
    <col min="4" max="4" width="9.7109375" style="707" bestFit="1" customWidth="1"/>
    <col min="5" max="5" width="10.42578125" style="707" bestFit="1" customWidth="1"/>
    <col min="6" max="6" width="12.28515625" style="707" bestFit="1" customWidth="1"/>
    <col min="7" max="7" width="9.42578125" style="707" bestFit="1" customWidth="1"/>
    <col min="8" max="8" width="5.42578125" style="707" bestFit="1" customWidth="1"/>
    <col min="9" max="9" width="15.42578125" style="707" bestFit="1" customWidth="1"/>
    <col min="10" max="10" width="25.140625" style="707" bestFit="1" customWidth="1"/>
    <col min="11" max="11" width="9.140625" style="707"/>
    <col min="12" max="12" width="9.7109375" style="707" bestFit="1" customWidth="1"/>
    <col min="13" max="13" width="9.140625" style="707"/>
    <col min="14" max="14" width="80.42578125" style="707" bestFit="1" customWidth="1"/>
    <col min="15" max="16384" width="9.140625" style="707"/>
  </cols>
  <sheetData>
    <row r="2" spans="2:16" ht="18.75">
      <c r="B2" s="831" t="s">
        <v>223</v>
      </c>
      <c r="C2" s="831"/>
      <c r="D2" s="831"/>
      <c r="E2" s="831"/>
      <c r="F2" s="831"/>
      <c r="G2" s="831"/>
      <c r="H2" s="831"/>
      <c r="I2" s="831"/>
      <c r="J2" s="831"/>
    </row>
    <row r="3" spans="2:16" ht="16.5" thickBot="1">
      <c r="B3" s="708"/>
      <c r="C3" s="709"/>
      <c r="D3" s="708"/>
      <c r="E3" s="708"/>
      <c r="F3" s="708"/>
      <c r="G3" s="708"/>
      <c r="H3" s="708"/>
      <c r="I3" s="708"/>
      <c r="J3" s="708"/>
    </row>
    <row r="4" spans="2:16" s="710" customFormat="1">
      <c r="B4" s="832" t="s">
        <v>32</v>
      </c>
      <c r="C4" s="833"/>
      <c r="D4" s="833"/>
      <c r="E4" s="833"/>
      <c r="F4" s="833"/>
      <c r="G4" s="833"/>
      <c r="H4" s="833"/>
      <c r="I4" s="833"/>
      <c r="J4" s="834"/>
      <c r="O4" s="711"/>
      <c r="P4" s="711"/>
    </row>
    <row r="5" spans="2:16" s="716" customFormat="1">
      <c r="B5" s="712" t="s">
        <v>33</v>
      </c>
      <c r="C5" s="713" t="s">
        <v>10</v>
      </c>
      <c r="D5" s="714" t="s">
        <v>0</v>
      </c>
      <c r="E5" s="714" t="s">
        <v>34</v>
      </c>
      <c r="F5" s="714" t="s">
        <v>30</v>
      </c>
      <c r="G5" s="714" t="s">
        <v>4</v>
      </c>
      <c r="H5" s="714" t="s">
        <v>31</v>
      </c>
      <c r="I5" s="714" t="s">
        <v>1</v>
      </c>
      <c r="J5" s="715" t="s">
        <v>2</v>
      </c>
      <c r="O5" s="717"/>
      <c r="P5" s="717"/>
    </row>
    <row r="6" spans="2:16" s="719" customFormat="1">
      <c r="B6" s="718"/>
      <c r="C6" s="174"/>
      <c r="D6" s="468"/>
      <c r="E6" s="468"/>
      <c r="F6" s="468"/>
      <c r="G6" s="468"/>
      <c r="H6" s="468"/>
      <c r="I6" s="468"/>
      <c r="J6" s="478"/>
      <c r="O6" s="720"/>
      <c r="P6" s="720"/>
    </row>
    <row r="7" spans="2:16" s="719" customFormat="1">
      <c r="B7" s="718" t="s">
        <v>163</v>
      </c>
      <c r="C7" s="721" t="s">
        <v>164</v>
      </c>
      <c r="D7" s="468" t="s">
        <v>46</v>
      </c>
      <c r="E7" s="468"/>
      <c r="F7" s="468"/>
      <c r="G7" s="468"/>
      <c r="H7" s="468"/>
      <c r="I7" s="468"/>
      <c r="J7" s="478"/>
      <c r="O7" s="720"/>
      <c r="P7" s="720"/>
    </row>
    <row r="8" spans="2:16" s="719" customFormat="1">
      <c r="B8" s="722"/>
      <c r="C8" s="174" t="s">
        <v>148</v>
      </c>
      <c r="D8" s="468"/>
      <c r="E8" s="468"/>
      <c r="F8" s="468"/>
      <c r="G8" s="468"/>
      <c r="H8" s="468"/>
      <c r="I8" s="468"/>
      <c r="J8" s="478"/>
      <c r="O8" s="720"/>
      <c r="P8" s="720"/>
    </row>
    <row r="9" spans="2:16" s="719" customFormat="1">
      <c r="B9" s="722" t="s">
        <v>35</v>
      </c>
      <c r="C9" s="174" t="s">
        <v>167</v>
      </c>
      <c r="D9" s="468"/>
      <c r="E9" s="468">
        <v>1</v>
      </c>
      <c r="F9" s="468">
        <f>J9/1000</f>
        <v>50.070599999999999</v>
      </c>
      <c r="G9" s="468"/>
      <c r="H9" s="468"/>
      <c r="I9" s="468">
        <f t="shared" ref="I9:I10" si="0">PRODUCT(E9:H9)</f>
        <v>50.070599999999999</v>
      </c>
      <c r="J9" s="478">
        <v>50070.6</v>
      </c>
      <c r="O9" s="720"/>
      <c r="P9" s="720"/>
    </row>
    <row r="10" spans="2:16" s="719" customFormat="1">
      <c r="B10" s="722"/>
      <c r="C10" s="174"/>
      <c r="D10" s="468"/>
      <c r="E10" s="468">
        <v>1</v>
      </c>
      <c r="F10" s="468">
        <f>J10/1000</f>
        <v>18.730400000000003</v>
      </c>
      <c r="G10" s="468"/>
      <c r="H10" s="468"/>
      <c r="I10" s="468">
        <f t="shared" si="0"/>
        <v>18.730400000000003</v>
      </c>
      <c r="J10" s="478">
        <v>18730.400000000001</v>
      </c>
      <c r="O10" s="720"/>
      <c r="P10" s="720"/>
    </row>
    <row r="11" spans="2:16" s="727" customFormat="1">
      <c r="B11" s="723"/>
      <c r="C11" s="724" t="s">
        <v>426</v>
      </c>
      <c r="D11" s="725"/>
      <c r="E11" s="725"/>
      <c r="F11" s="725"/>
      <c r="G11" s="725"/>
      <c r="H11" s="725"/>
      <c r="I11" s="725"/>
      <c r="J11" s="726"/>
      <c r="O11" s="728"/>
      <c r="P11" s="728"/>
    </row>
    <row r="12" spans="2:16" s="727" customFormat="1">
      <c r="B12" s="723" t="s">
        <v>35</v>
      </c>
      <c r="C12" s="724" t="s">
        <v>451</v>
      </c>
      <c r="D12" s="725"/>
      <c r="E12" s="725">
        <v>1</v>
      </c>
      <c r="F12" s="725">
        <f>J12/1000</f>
        <v>120.011</v>
      </c>
      <c r="G12" s="725"/>
      <c r="H12" s="725"/>
      <c r="I12" s="725">
        <f t="shared" ref="I12" si="1">PRODUCT(E12:H12)</f>
        <v>120.011</v>
      </c>
      <c r="J12" s="726">
        <v>120011</v>
      </c>
      <c r="O12" s="728"/>
      <c r="P12" s="728"/>
    </row>
    <row r="13" spans="2:16" s="727" customFormat="1">
      <c r="B13" s="723"/>
      <c r="C13" s="724" t="s">
        <v>554</v>
      </c>
      <c r="D13" s="725"/>
      <c r="E13" s="725"/>
      <c r="F13" s="725"/>
      <c r="G13" s="725"/>
      <c r="H13" s="725"/>
      <c r="I13" s="725"/>
      <c r="J13" s="726"/>
      <c r="O13" s="728"/>
      <c r="P13" s="728"/>
    </row>
    <row r="14" spans="2:16" s="727" customFormat="1">
      <c r="B14" s="723" t="s">
        <v>35</v>
      </c>
      <c r="C14" s="724" t="s">
        <v>451</v>
      </c>
      <c r="D14" s="725"/>
      <c r="E14" s="725">
        <v>1</v>
      </c>
      <c r="F14" s="725">
        <f t="shared" ref="F14:F19" si="2">J14/1000</f>
        <v>40.010899999999999</v>
      </c>
      <c r="G14" s="725"/>
      <c r="H14" s="725"/>
      <c r="I14" s="725">
        <f t="shared" ref="I14" si="3">PRODUCT(E14:H14)</f>
        <v>40.010899999999999</v>
      </c>
      <c r="J14" s="726">
        <v>40010.9</v>
      </c>
      <c r="O14" s="728"/>
      <c r="P14" s="728"/>
    </row>
    <row r="15" spans="2:16" s="727" customFormat="1">
      <c r="B15" s="723"/>
      <c r="C15" s="724"/>
      <c r="D15" s="725"/>
      <c r="E15" s="725"/>
      <c r="F15" s="725"/>
      <c r="G15" s="725"/>
      <c r="H15" s="725"/>
      <c r="I15" s="725"/>
      <c r="J15" s="726"/>
      <c r="O15" s="728"/>
      <c r="P15" s="728"/>
    </row>
    <row r="16" spans="2:16" s="719" customFormat="1">
      <c r="B16" s="729"/>
      <c r="C16" s="730" t="s">
        <v>559</v>
      </c>
      <c r="D16" s="731"/>
      <c r="E16" s="731"/>
      <c r="F16" s="731"/>
      <c r="G16" s="731"/>
      <c r="H16" s="731"/>
      <c r="I16" s="731"/>
      <c r="J16" s="732"/>
      <c r="O16" s="720"/>
      <c r="P16" s="720"/>
    </row>
    <row r="17" spans="2:16" s="719" customFormat="1">
      <c r="B17" s="729" t="s">
        <v>35</v>
      </c>
      <c r="C17" s="730" t="s">
        <v>451</v>
      </c>
      <c r="D17" s="731"/>
      <c r="E17" s="731">
        <v>1</v>
      </c>
      <c r="F17" s="731">
        <f t="shared" si="2"/>
        <v>40.010899999999999</v>
      </c>
      <c r="G17" s="731"/>
      <c r="H17" s="731"/>
      <c r="I17" s="731">
        <f t="shared" ref="I17:I19" si="4">PRODUCT(E17:H17)</f>
        <v>40.010899999999999</v>
      </c>
      <c r="J17" s="732">
        <v>40010.9</v>
      </c>
      <c r="O17" s="720"/>
      <c r="P17" s="720"/>
    </row>
    <row r="18" spans="2:16" s="719" customFormat="1">
      <c r="B18" s="729" t="s">
        <v>36</v>
      </c>
      <c r="C18" s="730" t="s">
        <v>550</v>
      </c>
      <c r="D18" s="731"/>
      <c r="E18" s="731">
        <v>1</v>
      </c>
      <c r="F18" s="731">
        <f t="shared" si="2"/>
        <v>22.815000000000001</v>
      </c>
      <c r="G18" s="731"/>
      <c r="H18" s="731"/>
      <c r="I18" s="731">
        <f t="shared" si="4"/>
        <v>22.815000000000001</v>
      </c>
      <c r="J18" s="732">
        <v>22815</v>
      </c>
      <c r="O18" s="720"/>
      <c r="P18" s="720"/>
    </row>
    <row r="19" spans="2:16" s="719" customFormat="1">
      <c r="B19" s="729" t="s">
        <v>37</v>
      </c>
      <c r="C19" s="730" t="s">
        <v>550</v>
      </c>
      <c r="D19" s="731"/>
      <c r="E19" s="731">
        <v>1</v>
      </c>
      <c r="F19" s="731">
        <f t="shared" si="2"/>
        <v>15.818899999999999</v>
      </c>
      <c r="G19" s="731"/>
      <c r="H19" s="731"/>
      <c r="I19" s="731">
        <f t="shared" si="4"/>
        <v>15.818899999999999</v>
      </c>
      <c r="J19" s="732">
        <v>15818.9</v>
      </c>
      <c r="O19" s="720"/>
      <c r="P19" s="720"/>
    </row>
    <row r="20" spans="2:16" s="716" customFormat="1">
      <c r="B20" s="712"/>
      <c r="C20" s="713" t="s">
        <v>26</v>
      </c>
      <c r="D20" s="714"/>
      <c r="E20" s="714"/>
      <c r="F20" s="714"/>
      <c r="G20" s="714"/>
      <c r="H20" s="714"/>
      <c r="I20" s="714">
        <f>SUM(I9:I19)</f>
        <v>307.46769999999998</v>
      </c>
      <c r="J20" s="715" t="s">
        <v>46</v>
      </c>
      <c r="L20" s="716">
        <f>312.47/0.6</f>
        <v>520.78333333333342</v>
      </c>
      <c r="M20" s="719"/>
      <c r="O20" s="717"/>
      <c r="P20" s="717"/>
    </row>
    <row r="21" spans="2:16">
      <c r="B21" s="733"/>
      <c r="C21" s="734"/>
      <c r="D21" s="735"/>
      <c r="E21" s="735"/>
      <c r="F21" s="735"/>
      <c r="G21" s="735"/>
      <c r="H21" s="735"/>
      <c r="I21" s="735"/>
      <c r="J21" s="736"/>
      <c r="M21" s="719"/>
    </row>
    <row r="22" spans="2:16">
      <c r="B22" s="712" t="s">
        <v>33</v>
      </c>
      <c r="C22" s="713" t="s">
        <v>10</v>
      </c>
      <c r="D22" s="714" t="s">
        <v>0</v>
      </c>
      <c r="E22" s="714" t="s">
        <v>34</v>
      </c>
      <c r="F22" s="714" t="s">
        <v>30</v>
      </c>
      <c r="G22" s="714" t="s">
        <v>4</v>
      </c>
      <c r="H22" s="714" t="s">
        <v>31</v>
      </c>
      <c r="I22" s="714" t="s">
        <v>1</v>
      </c>
      <c r="J22" s="715" t="s">
        <v>2</v>
      </c>
      <c r="M22" s="719"/>
    </row>
    <row r="23" spans="2:16">
      <c r="B23" s="718"/>
      <c r="C23" s="174"/>
      <c r="D23" s="468"/>
      <c r="E23" s="468"/>
      <c r="F23" s="468"/>
      <c r="G23" s="468"/>
      <c r="H23" s="468"/>
      <c r="I23" s="468"/>
      <c r="J23" s="478"/>
      <c r="M23" s="719"/>
    </row>
    <row r="24" spans="2:16">
      <c r="B24" s="718" t="s">
        <v>165</v>
      </c>
      <c r="C24" s="721" t="s">
        <v>166</v>
      </c>
      <c r="D24" s="468" t="s">
        <v>27</v>
      </c>
      <c r="E24" s="468"/>
      <c r="F24" s="468"/>
      <c r="G24" s="468"/>
      <c r="H24" s="468"/>
      <c r="I24" s="468"/>
      <c r="J24" s="478"/>
    </row>
    <row r="25" spans="2:16">
      <c r="B25" s="722"/>
      <c r="C25" s="174" t="s">
        <v>148</v>
      </c>
      <c r="D25" s="468"/>
      <c r="E25" s="468"/>
      <c r="F25" s="468"/>
      <c r="G25" s="468"/>
      <c r="H25" s="468"/>
      <c r="I25" s="468"/>
      <c r="J25" s="478"/>
    </row>
    <row r="26" spans="2:16">
      <c r="B26" s="722" t="s">
        <v>35</v>
      </c>
      <c r="C26" s="174" t="s">
        <v>167</v>
      </c>
      <c r="D26" s="468"/>
      <c r="E26" s="468">
        <v>1</v>
      </c>
      <c r="F26" s="835">
        <f>J26/(1000*1000)</f>
        <v>99.915139799999992</v>
      </c>
      <c r="G26" s="835"/>
      <c r="H26" s="468"/>
      <c r="I26" s="468">
        <f t="shared" ref="I26" si="5">PRODUCT(E26:H26)</f>
        <v>99.915139799999992</v>
      </c>
      <c r="J26" s="478">
        <v>99915139.799999997</v>
      </c>
    </row>
    <row r="27" spans="2:16">
      <c r="B27" s="722"/>
      <c r="C27" s="174"/>
      <c r="D27" s="468"/>
      <c r="E27" s="468"/>
      <c r="F27" s="468"/>
      <c r="G27" s="468"/>
      <c r="H27" s="468"/>
      <c r="I27" s="468"/>
      <c r="J27" s="478"/>
    </row>
    <row r="28" spans="2:16">
      <c r="B28" s="722"/>
      <c r="C28" s="174"/>
      <c r="D28" s="468"/>
      <c r="E28" s="468"/>
      <c r="F28" s="468"/>
      <c r="G28" s="468"/>
      <c r="H28" s="468"/>
      <c r="I28" s="468"/>
      <c r="J28" s="478"/>
    </row>
    <row r="29" spans="2:16">
      <c r="B29" s="712"/>
      <c r="C29" s="713" t="s">
        <v>26</v>
      </c>
      <c r="D29" s="714"/>
      <c r="E29" s="714"/>
      <c r="F29" s="714"/>
      <c r="G29" s="714"/>
      <c r="H29" s="714"/>
      <c r="I29" s="714">
        <f>SUM(I26:I27)</f>
        <v>99.915139799999992</v>
      </c>
      <c r="J29" s="715" t="s">
        <v>27</v>
      </c>
    </row>
    <row r="30" spans="2:16">
      <c r="B30" s="733"/>
      <c r="C30" s="734"/>
      <c r="D30" s="735"/>
      <c r="E30" s="735"/>
      <c r="F30" s="735"/>
      <c r="G30" s="735"/>
      <c r="H30" s="735"/>
      <c r="I30" s="735"/>
      <c r="J30" s="736"/>
    </row>
    <row r="31" spans="2:16">
      <c r="B31" s="712" t="s">
        <v>33</v>
      </c>
      <c r="C31" s="713" t="s">
        <v>10</v>
      </c>
      <c r="D31" s="714" t="s">
        <v>0</v>
      </c>
      <c r="E31" s="714" t="s">
        <v>34</v>
      </c>
      <c r="F31" s="714" t="s">
        <v>30</v>
      </c>
      <c r="G31" s="714" t="s">
        <v>4</v>
      </c>
      <c r="H31" s="714" t="s">
        <v>31</v>
      </c>
      <c r="I31" s="714" t="s">
        <v>1</v>
      </c>
      <c r="J31" s="715" t="s">
        <v>2</v>
      </c>
    </row>
    <row r="32" spans="2:16">
      <c r="B32" s="718"/>
      <c r="C32" s="174"/>
      <c r="D32" s="468"/>
      <c r="E32" s="468"/>
      <c r="F32" s="468"/>
      <c r="G32" s="468"/>
      <c r="H32" s="468"/>
      <c r="I32" s="468"/>
      <c r="J32" s="478"/>
    </row>
    <row r="33" spans="2:25">
      <c r="B33" s="718" t="s">
        <v>190</v>
      </c>
      <c r="C33" s="721" t="s">
        <v>651</v>
      </c>
      <c r="D33" s="468" t="s">
        <v>27</v>
      </c>
      <c r="E33" s="468"/>
      <c r="F33" s="468"/>
      <c r="G33" s="468"/>
      <c r="H33" s="468"/>
      <c r="I33" s="468"/>
      <c r="J33" s="478"/>
    </row>
    <row r="34" spans="2:25">
      <c r="B34" s="722"/>
      <c r="C34" s="174" t="s">
        <v>148</v>
      </c>
      <c r="D34" s="468"/>
      <c r="E34" s="468"/>
      <c r="F34" s="468"/>
      <c r="G34" s="468"/>
      <c r="H34" s="468"/>
      <c r="I34" s="468"/>
      <c r="J34" s="478"/>
    </row>
    <row r="35" spans="2:25" s="719" customFormat="1">
      <c r="B35" s="722" t="s">
        <v>35</v>
      </c>
      <c r="C35" s="174" t="s">
        <v>169</v>
      </c>
      <c r="D35" s="468"/>
      <c r="E35" s="468">
        <v>1</v>
      </c>
      <c r="F35" s="835">
        <f>J35/(1000*1000)</f>
        <v>299.76442580000003</v>
      </c>
      <c r="G35" s="835"/>
      <c r="H35" s="737"/>
      <c r="I35" s="468">
        <f>PRODUCT(E35:H35)</f>
        <v>299.76442580000003</v>
      </c>
      <c r="J35" s="478">
        <v>299764425.80000001</v>
      </c>
      <c r="O35" s="720"/>
      <c r="P35" s="720"/>
    </row>
    <row r="36" spans="2:25" s="719" customFormat="1">
      <c r="B36" s="729"/>
      <c r="C36" s="730" t="s">
        <v>426</v>
      </c>
      <c r="D36" s="731"/>
      <c r="E36" s="731"/>
      <c r="F36" s="731"/>
      <c r="G36" s="731"/>
      <c r="H36" s="731"/>
      <c r="I36" s="731"/>
      <c r="J36" s="732"/>
      <c r="O36" s="720"/>
      <c r="P36" s="720"/>
    </row>
    <row r="37" spans="2:25" s="727" customFormat="1">
      <c r="B37" s="723"/>
      <c r="C37" s="730" t="s">
        <v>554</v>
      </c>
      <c r="D37" s="725"/>
      <c r="E37" s="725"/>
      <c r="F37" s="725"/>
      <c r="G37" s="725"/>
      <c r="H37" s="738"/>
      <c r="I37" s="725"/>
      <c r="J37" s="726"/>
      <c r="K37" s="739"/>
      <c r="L37" s="739"/>
      <c r="M37" s="739"/>
      <c r="N37" s="739"/>
      <c r="O37" s="739"/>
      <c r="P37" s="739"/>
      <c r="Q37" s="739"/>
      <c r="R37" s="739"/>
      <c r="S37" s="739"/>
      <c r="T37" s="739"/>
      <c r="U37" s="739"/>
      <c r="V37" s="739"/>
      <c r="W37" s="739"/>
      <c r="X37" s="739"/>
      <c r="Y37" s="739"/>
    </row>
    <row r="38" spans="2:25" s="742" customFormat="1">
      <c r="B38" s="729" t="s">
        <v>35</v>
      </c>
      <c r="C38" s="730" t="s">
        <v>431</v>
      </c>
      <c r="D38" s="731"/>
      <c r="E38" s="731">
        <v>1</v>
      </c>
      <c r="F38" s="731">
        <v>160</v>
      </c>
      <c r="G38" s="731">
        <v>4.7</v>
      </c>
      <c r="H38" s="740"/>
      <c r="I38" s="731">
        <f>PRODUCT(E38:H38)</f>
        <v>752</v>
      </c>
      <c r="J38" s="732"/>
      <c r="K38" s="741"/>
      <c r="L38" s="741"/>
      <c r="M38" s="741"/>
      <c r="N38" s="741"/>
      <c r="O38" s="741"/>
      <c r="P38" s="741"/>
      <c r="Q38" s="741"/>
      <c r="R38" s="741"/>
      <c r="S38" s="741"/>
      <c r="T38" s="741"/>
      <c r="U38" s="741"/>
      <c r="V38" s="741"/>
      <c r="W38" s="741"/>
      <c r="X38" s="741"/>
      <c r="Y38" s="741"/>
    </row>
    <row r="39" spans="2:25" s="742" customFormat="1">
      <c r="B39" s="729" t="s">
        <v>36</v>
      </c>
      <c r="C39" s="730" t="s">
        <v>550</v>
      </c>
      <c r="D39" s="731"/>
      <c r="E39" s="731">
        <v>1</v>
      </c>
      <c r="F39" s="830">
        <f>J39/1000000</f>
        <v>335.14687710000004</v>
      </c>
      <c r="G39" s="830"/>
      <c r="H39" s="740"/>
      <c r="I39" s="731">
        <f t="shared" ref="I39:I63" si="6">PRODUCT(E39:H39)</f>
        <v>335.14687710000004</v>
      </c>
      <c r="J39" s="732">
        <v>335146877.10000002</v>
      </c>
      <c r="K39" s="741"/>
      <c r="L39" s="741"/>
      <c r="M39" s="741"/>
      <c r="N39" s="741"/>
      <c r="O39" s="741"/>
      <c r="P39" s="741"/>
      <c r="Q39" s="741"/>
      <c r="R39" s="741"/>
      <c r="S39" s="741"/>
      <c r="T39" s="741"/>
      <c r="U39" s="741"/>
      <c r="V39" s="741"/>
      <c r="W39" s="741"/>
      <c r="X39" s="741"/>
      <c r="Y39" s="741"/>
    </row>
    <row r="40" spans="2:25" s="742" customFormat="1">
      <c r="B40" s="729"/>
      <c r="C40" s="730" t="s">
        <v>551</v>
      </c>
      <c r="D40" s="731"/>
      <c r="E40" s="731">
        <v>-1</v>
      </c>
      <c r="F40" s="830">
        <f t="shared" ref="F40:F63" si="7">J40/1000000</f>
        <v>8.0101319000000011</v>
      </c>
      <c r="G40" s="830"/>
      <c r="H40" s="740"/>
      <c r="I40" s="731">
        <f t="shared" si="6"/>
        <v>-8.0101319000000011</v>
      </c>
      <c r="J40" s="732">
        <v>8010131.9000000004</v>
      </c>
      <c r="K40" s="741"/>
      <c r="L40" s="741"/>
      <c r="M40" s="741"/>
      <c r="N40" s="741"/>
      <c r="O40" s="741"/>
      <c r="P40" s="741"/>
      <c r="Q40" s="741"/>
      <c r="R40" s="741"/>
      <c r="S40" s="741"/>
      <c r="T40" s="741"/>
      <c r="U40" s="741"/>
      <c r="V40" s="741"/>
      <c r="W40" s="741"/>
      <c r="X40" s="741"/>
      <c r="Y40" s="741"/>
    </row>
    <row r="41" spans="2:25" s="742" customFormat="1">
      <c r="B41" s="729"/>
      <c r="C41" s="730"/>
      <c r="D41" s="731"/>
      <c r="E41" s="731">
        <v>-1</v>
      </c>
      <c r="F41" s="830">
        <f t="shared" si="7"/>
        <v>1.2051320000000001</v>
      </c>
      <c r="G41" s="830"/>
      <c r="H41" s="740"/>
      <c r="I41" s="731">
        <f t="shared" si="6"/>
        <v>-1.2051320000000001</v>
      </c>
      <c r="J41" s="732">
        <v>1205132</v>
      </c>
      <c r="K41" s="741"/>
      <c r="L41" s="741"/>
      <c r="M41" s="741"/>
      <c r="N41" s="741"/>
      <c r="O41" s="741"/>
      <c r="P41" s="741"/>
      <c r="Q41" s="741"/>
      <c r="R41" s="741"/>
      <c r="S41" s="741"/>
      <c r="T41" s="741"/>
      <c r="U41" s="741"/>
      <c r="V41" s="741"/>
      <c r="W41" s="741"/>
      <c r="X41" s="741"/>
      <c r="Y41" s="741"/>
    </row>
    <row r="42" spans="2:25" s="742" customFormat="1">
      <c r="B42" s="729"/>
      <c r="C42" s="730"/>
      <c r="D42" s="731"/>
      <c r="E42" s="731">
        <v>-1</v>
      </c>
      <c r="F42" s="830">
        <f t="shared" si="7"/>
        <v>0.86386830000000003</v>
      </c>
      <c r="G42" s="830"/>
      <c r="H42" s="740"/>
      <c r="I42" s="731">
        <f t="shared" si="6"/>
        <v>-0.86386830000000003</v>
      </c>
      <c r="J42" s="732">
        <v>863868.3</v>
      </c>
      <c r="K42" s="741"/>
      <c r="L42" s="741"/>
      <c r="M42" s="741"/>
      <c r="N42" s="741"/>
      <c r="O42" s="741"/>
      <c r="P42" s="741"/>
      <c r="Q42" s="741"/>
      <c r="R42" s="741"/>
      <c r="S42" s="741"/>
      <c r="T42" s="741"/>
      <c r="U42" s="741"/>
      <c r="V42" s="741"/>
      <c r="W42" s="741"/>
      <c r="X42" s="741"/>
      <c r="Y42" s="741"/>
    </row>
    <row r="43" spans="2:25" s="742" customFormat="1">
      <c r="B43" s="729"/>
      <c r="C43" s="730"/>
      <c r="D43" s="731"/>
      <c r="E43" s="731">
        <v>-1</v>
      </c>
      <c r="F43" s="830">
        <f t="shared" si="7"/>
        <v>6.9738892999999997</v>
      </c>
      <c r="G43" s="830"/>
      <c r="H43" s="740"/>
      <c r="I43" s="731">
        <f t="shared" si="6"/>
        <v>-6.9738892999999997</v>
      </c>
      <c r="J43" s="732">
        <v>6973889.2999999998</v>
      </c>
      <c r="K43" s="741"/>
      <c r="L43" s="741"/>
      <c r="M43" s="741"/>
      <c r="N43" s="741"/>
      <c r="O43" s="741"/>
      <c r="P43" s="741"/>
      <c r="Q43" s="741"/>
      <c r="R43" s="741"/>
      <c r="S43" s="741"/>
      <c r="T43" s="741"/>
      <c r="U43" s="741"/>
      <c r="V43" s="741"/>
      <c r="W43" s="741"/>
      <c r="X43" s="741"/>
      <c r="Y43" s="741"/>
    </row>
    <row r="44" spans="2:25" s="742" customFormat="1">
      <c r="B44" s="729"/>
      <c r="C44" s="730"/>
      <c r="D44" s="731"/>
      <c r="E44" s="731">
        <v>-1</v>
      </c>
      <c r="F44" s="830">
        <f t="shared" si="7"/>
        <v>0.9008448</v>
      </c>
      <c r="G44" s="830"/>
      <c r="H44" s="740"/>
      <c r="I44" s="731">
        <f t="shared" si="6"/>
        <v>-0.9008448</v>
      </c>
      <c r="J44" s="732">
        <v>900844.8</v>
      </c>
      <c r="K44" s="741"/>
      <c r="L44" s="741"/>
      <c r="M44" s="741"/>
      <c r="N44" s="741"/>
      <c r="O44" s="741"/>
      <c r="P44" s="741"/>
      <c r="Q44" s="741"/>
      <c r="R44" s="741"/>
      <c r="S44" s="741"/>
      <c r="T44" s="741"/>
      <c r="U44" s="741"/>
      <c r="V44" s="741"/>
      <c r="W44" s="741"/>
      <c r="X44" s="741"/>
      <c r="Y44" s="741"/>
    </row>
    <row r="45" spans="2:25" s="742" customFormat="1">
      <c r="B45" s="729"/>
      <c r="C45" s="730"/>
      <c r="D45" s="731"/>
      <c r="E45" s="731">
        <v>-1</v>
      </c>
      <c r="F45" s="830">
        <f t="shared" si="7"/>
        <v>4.4952174000000005</v>
      </c>
      <c r="G45" s="830"/>
      <c r="H45" s="740"/>
      <c r="I45" s="731">
        <f t="shared" si="6"/>
        <v>-4.4952174000000005</v>
      </c>
      <c r="J45" s="732">
        <v>4495217.4000000004</v>
      </c>
      <c r="K45" s="741"/>
      <c r="L45" s="741"/>
      <c r="M45" s="741"/>
      <c r="N45" s="741"/>
      <c r="O45" s="741"/>
      <c r="P45" s="741"/>
      <c r="Q45" s="741"/>
      <c r="R45" s="741"/>
      <c r="S45" s="741"/>
      <c r="T45" s="741"/>
      <c r="U45" s="741"/>
      <c r="V45" s="741"/>
      <c r="W45" s="741"/>
      <c r="X45" s="741"/>
      <c r="Y45" s="741"/>
    </row>
    <row r="46" spans="2:25" s="742" customFormat="1">
      <c r="B46" s="729"/>
      <c r="C46" s="730"/>
      <c r="D46" s="731"/>
      <c r="E46" s="731">
        <v>-1</v>
      </c>
      <c r="F46" s="830">
        <f t="shared" si="7"/>
        <v>3.2799895999999999</v>
      </c>
      <c r="G46" s="830"/>
      <c r="H46" s="740"/>
      <c r="I46" s="731">
        <f t="shared" si="6"/>
        <v>-3.2799895999999999</v>
      </c>
      <c r="J46" s="732">
        <v>3279989.6</v>
      </c>
      <c r="K46" s="741"/>
      <c r="L46" s="741"/>
      <c r="M46" s="741"/>
      <c r="N46" s="741"/>
      <c r="O46" s="741"/>
      <c r="P46" s="741"/>
      <c r="Q46" s="741"/>
      <c r="R46" s="741"/>
      <c r="S46" s="741"/>
      <c r="T46" s="741"/>
      <c r="U46" s="741"/>
      <c r="V46" s="741"/>
      <c r="W46" s="741"/>
      <c r="X46" s="741"/>
      <c r="Y46" s="741"/>
    </row>
    <row r="47" spans="2:25" s="742" customFormat="1">
      <c r="B47" s="729"/>
      <c r="C47" s="730"/>
      <c r="D47" s="731"/>
      <c r="E47" s="731">
        <v>-1</v>
      </c>
      <c r="F47" s="830">
        <f t="shared" si="7"/>
        <v>5.8909573000000002</v>
      </c>
      <c r="G47" s="830"/>
      <c r="H47" s="740"/>
      <c r="I47" s="731">
        <f t="shared" si="6"/>
        <v>-5.8909573000000002</v>
      </c>
      <c r="J47" s="732">
        <v>5890957.2999999998</v>
      </c>
      <c r="K47" s="741"/>
      <c r="L47" s="741"/>
      <c r="M47" s="741"/>
      <c r="N47" s="741"/>
      <c r="O47" s="741"/>
      <c r="P47" s="741"/>
      <c r="Q47" s="741"/>
      <c r="R47" s="741"/>
      <c r="S47" s="741"/>
      <c r="T47" s="741"/>
      <c r="U47" s="741"/>
      <c r="V47" s="741"/>
      <c r="W47" s="741"/>
      <c r="X47" s="741"/>
      <c r="Y47" s="741"/>
    </row>
    <row r="48" spans="2:25" s="742" customFormat="1">
      <c r="B48" s="729"/>
      <c r="C48" s="730"/>
      <c r="D48" s="731"/>
      <c r="E48" s="731">
        <v>-1</v>
      </c>
      <c r="F48" s="830">
        <f t="shared" si="7"/>
        <v>7.5177032000000006</v>
      </c>
      <c r="G48" s="830"/>
      <c r="H48" s="740"/>
      <c r="I48" s="731">
        <f t="shared" si="6"/>
        <v>-7.5177032000000006</v>
      </c>
      <c r="J48" s="732">
        <v>7517703.2000000002</v>
      </c>
      <c r="K48" s="741"/>
      <c r="L48" s="741"/>
      <c r="M48" s="741"/>
      <c r="N48" s="741"/>
      <c r="O48" s="741"/>
      <c r="P48" s="741"/>
      <c r="Q48" s="741"/>
      <c r="R48" s="741"/>
      <c r="S48" s="741"/>
      <c r="T48" s="741"/>
      <c r="U48" s="741"/>
      <c r="V48" s="741"/>
      <c r="W48" s="741"/>
      <c r="X48" s="741"/>
      <c r="Y48" s="741"/>
    </row>
    <row r="49" spans="2:25" s="742" customFormat="1">
      <c r="B49" s="729"/>
      <c r="C49" s="730"/>
      <c r="D49" s="731"/>
      <c r="E49" s="731">
        <v>-1</v>
      </c>
      <c r="F49" s="830">
        <f t="shared" si="7"/>
        <v>4.6961415999999998</v>
      </c>
      <c r="G49" s="830"/>
      <c r="H49" s="740"/>
      <c r="I49" s="731">
        <f t="shared" si="6"/>
        <v>-4.6961415999999998</v>
      </c>
      <c r="J49" s="732">
        <v>4696141.5999999996</v>
      </c>
      <c r="K49" s="741"/>
      <c r="L49" s="741"/>
      <c r="M49" s="741"/>
      <c r="N49" s="741"/>
      <c r="O49" s="741"/>
      <c r="P49" s="741"/>
      <c r="Q49" s="741"/>
      <c r="R49" s="741"/>
      <c r="S49" s="741"/>
      <c r="T49" s="741"/>
      <c r="U49" s="741"/>
      <c r="V49" s="741"/>
      <c r="W49" s="741"/>
      <c r="X49" s="741"/>
      <c r="Y49" s="741"/>
    </row>
    <row r="50" spans="2:25" s="742" customFormat="1">
      <c r="B50" s="729"/>
      <c r="C50" s="730"/>
      <c r="D50" s="731"/>
      <c r="E50" s="731">
        <v>-1</v>
      </c>
      <c r="F50" s="830">
        <f t="shared" si="7"/>
        <v>2.3182744</v>
      </c>
      <c r="G50" s="830"/>
      <c r="H50" s="740"/>
      <c r="I50" s="731">
        <f t="shared" si="6"/>
        <v>-2.3182744</v>
      </c>
      <c r="J50" s="732">
        <v>2318274.4</v>
      </c>
      <c r="K50" s="741"/>
      <c r="L50" s="741"/>
      <c r="M50" s="741"/>
      <c r="N50" s="741"/>
      <c r="O50" s="741"/>
      <c r="P50" s="741"/>
      <c r="Q50" s="741"/>
      <c r="R50" s="741"/>
      <c r="S50" s="741"/>
      <c r="T50" s="741"/>
      <c r="U50" s="741"/>
      <c r="V50" s="741"/>
      <c r="W50" s="741"/>
      <c r="X50" s="741"/>
      <c r="Y50" s="741"/>
    </row>
    <row r="51" spans="2:25" s="742" customFormat="1">
      <c r="B51" s="729"/>
      <c r="C51" s="730"/>
      <c r="D51" s="731"/>
      <c r="E51" s="731">
        <v>-1</v>
      </c>
      <c r="F51" s="830">
        <f t="shared" si="7"/>
        <v>4.4895659999999999</v>
      </c>
      <c r="G51" s="830"/>
      <c r="H51" s="740"/>
      <c r="I51" s="731">
        <f t="shared" si="6"/>
        <v>-4.4895659999999999</v>
      </c>
      <c r="J51" s="732">
        <v>4489566</v>
      </c>
      <c r="K51" s="741"/>
      <c r="L51" s="741"/>
      <c r="M51" s="741"/>
      <c r="N51" s="741"/>
      <c r="O51" s="741"/>
      <c r="P51" s="741"/>
      <c r="Q51" s="741"/>
      <c r="R51" s="741"/>
      <c r="S51" s="741"/>
      <c r="T51" s="741"/>
      <c r="U51" s="741"/>
      <c r="V51" s="741"/>
      <c r="W51" s="741"/>
      <c r="X51" s="741"/>
      <c r="Y51" s="741"/>
    </row>
    <row r="52" spans="2:25" s="742" customFormat="1">
      <c r="B52" s="729"/>
      <c r="C52" s="730"/>
      <c r="D52" s="731"/>
      <c r="E52" s="731">
        <v>-1</v>
      </c>
      <c r="F52" s="830">
        <f t="shared" si="7"/>
        <v>2.5483965</v>
      </c>
      <c r="G52" s="830"/>
      <c r="H52" s="740"/>
      <c r="I52" s="731">
        <f t="shared" si="6"/>
        <v>-2.5483965</v>
      </c>
      <c r="J52" s="732">
        <v>2548396.5</v>
      </c>
      <c r="K52" s="741"/>
      <c r="L52" s="741"/>
      <c r="M52" s="741"/>
      <c r="N52" s="741"/>
      <c r="O52" s="741"/>
      <c r="P52" s="741"/>
      <c r="Q52" s="741"/>
      <c r="R52" s="741"/>
      <c r="S52" s="741"/>
      <c r="T52" s="741"/>
      <c r="U52" s="741"/>
      <c r="V52" s="741"/>
      <c r="W52" s="741"/>
      <c r="X52" s="741"/>
      <c r="Y52" s="741"/>
    </row>
    <row r="53" spans="2:25" s="742" customFormat="1">
      <c r="B53" s="729" t="s">
        <v>37</v>
      </c>
      <c r="C53" s="730" t="s">
        <v>550</v>
      </c>
      <c r="D53" s="731"/>
      <c r="E53" s="731">
        <v>1</v>
      </c>
      <c r="F53" s="830">
        <f t="shared" si="7"/>
        <v>273.11108339999998</v>
      </c>
      <c r="G53" s="830"/>
      <c r="H53" s="740"/>
      <c r="I53" s="731">
        <f t="shared" si="6"/>
        <v>273.11108339999998</v>
      </c>
      <c r="J53" s="732">
        <v>273111083.39999998</v>
      </c>
      <c r="K53" s="741"/>
      <c r="L53" s="741"/>
      <c r="M53" s="741"/>
      <c r="N53" s="741"/>
      <c r="O53" s="741"/>
      <c r="P53" s="741"/>
      <c r="Q53" s="741"/>
      <c r="R53" s="741"/>
      <c r="S53" s="741"/>
      <c r="T53" s="741"/>
      <c r="U53" s="741"/>
      <c r="V53" s="741"/>
      <c r="W53" s="741"/>
      <c r="X53" s="741"/>
      <c r="Y53" s="741"/>
    </row>
    <row r="54" spans="2:25" s="742" customFormat="1">
      <c r="B54" s="729"/>
      <c r="C54" s="730" t="s">
        <v>552</v>
      </c>
      <c r="D54" s="731"/>
      <c r="E54" s="731">
        <v>-1</v>
      </c>
      <c r="F54" s="830">
        <f t="shared" si="7"/>
        <v>5.8686932999999994</v>
      </c>
      <c r="G54" s="830"/>
      <c r="H54" s="740"/>
      <c r="I54" s="731">
        <f t="shared" si="6"/>
        <v>-5.8686932999999994</v>
      </c>
      <c r="J54" s="732">
        <v>5868693.2999999998</v>
      </c>
      <c r="K54" s="741"/>
      <c r="L54" s="741"/>
      <c r="M54" s="741"/>
      <c r="N54" s="741"/>
      <c r="O54" s="741"/>
      <c r="P54" s="741"/>
      <c r="Q54" s="741"/>
      <c r="R54" s="741"/>
      <c r="S54" s="741"/>
      <c r="T54" s="741"/>
      <c r="U54" s="741"/>
      <c r="V54" s="741"/>
      <c r="W54" s="741"/>
      <c r="X54" s="741"/>
      <c r="Y54" s="741"/>
    </row>
    <row r="55" spans="2:25" s="742" customFormat="1">
      <c r="B55" s="729"/>
      <c r="C55" s="730"/>
      <c r="D55" s="731"/>
      <c r="E55" s="731">
        <v>-1</v>
      </c>
      <c r="F55" s="830">
        <f t="shared" si="7"/>
        <v>6.7479404000000001</v>
      </c>
      <c r="G55" s="830"/>
      <c r="H55" s="740"/>
      <c r="I55" s="731">
        <f t="shared" si="6"/>
        <v>-6.7479404000000001</v>
      </c>
      <c r="J55" s="732">
        <v>6747940.4000000004</v>
      </c>
      <c r="K55" s="741"/>
      <c r="L55" s="741"/>
      <c r="M55" s="741"/>
      <c r="N55" s="741"/>
      <c r="O55" s="741"/>
      <c r="P55" s="741"/>
      <c r="Q55" s="741"/>
      <c r="R55" s="741"/>
      <c r="S55" s="741"/>
      <c r="T55" s="741"/>
      <c r="U55" s="741"/>
      <c r="V55" s="741"/>
      <c r="W55" s="741"/>
      <c r="X55" s="741"/>
      <c r="Y55" s="741"/>
    </row>
    <row r="56" spans="2:25" s="742" customFormat="1">
      <c r="B56" s="729"/>
      <c r="C56" s="730"/>
      <c r="D56" s="731"/>
      <c r="E56" s="731">
        <v>-1</v>
      </c>
      <c r="F56" s="830">
        <f t="shared" si="7"/>
        <v>3.4570347999999997</v>
      </c>
      <c r="G56" s="830"/>
      <c r="H56" s="740"/>
      <c r="I56" s="731">
        <f t="shared" si="6"/>
        <v>-3.4570347999999997</v>
      </c>
      <c r="J56" s="732">
        <v>3457034.8</v>
      </c>
      <c r="K56" s="741"/>
      <c r="L56" s="741"/>
      <c r="M56" s="741"/>
      <c r="N56" s="741"/>
      <c r="O56" s="741"/>
      <c r="P56" s="741"/>
      <c r="Q56" s="741"/>
      <c r="R56" s="741"/>
      <c r="S56" s="741"/>
      <c r="T56" s="741"/>
      <c r="U56" s="741"/>
      <c r="V56" s="741"/>
      <c r="W56" s="741"/>
      <c r="X56" s="741"/>
      <c r="Y56" s="741"/>
    </row>
    <row r="57" spans="2:25" s="742" customFormat="1">
      <c r="B57" s="729"/>
      <c r="C57" s="730"/>
      <c r="D57" s="731"/>
      <c r="E57" s="731">
        <v>-1</v>
      </c>
      <c r="F57" s="830">
        <f t="shared" si="7"/>
        <v>2.3659961000000003</v>
      </c>
      <c r="G57" s="830"/>
      <c r="H57" s="740"/>
      <c r="I57" s="731">
        <f t="shared" si="6"/>
        <v>-2.3659961000000003</v>
      </c>
      <c r="J57" s="732">
        <v>2365996.1</v>
      </c>
      <c r="K57" s="741"/>
      <c r="L57" s="741"/>
      <c r="M57" s="741"/>
      <c r="N57" s="741"/>
      <c r="O57" s="741"/>
      <c r="P57" s="741"/>
      <c r="Q57" s="741"/>
      <c r="R57" s="741"/>
      <c r="S57" s="741"/>
      <c r="T57" s="741"/>
      <c r="U57" s="741"/>
      <c r="V57" s="741"/>
      <c r="W57" s="741"/>
      <c r="X57" s="741"/>
      <c r="Y57" s="741"/>
    </row>
    <row r="58" spans="2:25" s="742" customFormat="1">
      <c r="B58" s="729"/>
      <c r="C58" s="730"/>
      <c r="D58" s="731"/>
      <c r="E58" s="731">
        <v>-1</v>
      </c>
      <c r="F58" s="830">
        <f t="shared" si="7"/>
        <v>5.4873775</v>
      </c>
      <c r="G58" s="830"/>
      <c r="H58" s="740"/>
      <c r="I58" s="731">
        <f t="shared" si="6"/>
        <v>-5.4873775</v>
      </c>
      <c r="J58" s="732">
        <v>5487377.5</v>
      </c>
      <c r="K58" s="741"/>
      <c r="L58" s="741"/>
      <c r="M58" s="741"/>
      <c r="N58" s="741"/>
      <c r="O58" s="741"/>
      <c r="P58" s="741"/>
      <c r="Q58" s="741"/>
      <c r="R58" s="741"/>
      <c r="S58" s="741"/>
      <c r="T58" s="741"/>
      <c r="U58" s="741"/>
      <c r="V58" s="741"/>
      <c r="W58" s="741"/>
      <c r="X58" s="741"/>
      <c r="Y58" s="741"/>
    </row>
    <row r="59" spans="2:25" s="742" customFormat="1">
      <c r="B59" s="729"/>
      <c r="C59" s="730"/>
      <c r="D59" s="731"/>
      <c r="E59" s="731">
        <v>-1</v>
      </c>
      <c r="F59" s="830">
        <f t="shared" si="7"/>
        <v>6.6297140999999993</v>
      </c>
      <c r="G59" s="830"/>
      <c r="H59" s="740"/>
      <c r="I59" s="731">
        <f t="shared" si="6"/>
        <v>-6.6297140999999993</v>
      </c>
      <c r="J59" s="732">
        <v>6629714.0999999996</v>
      </c>
      <c r="K59" s="741"/>
      <c r="L59" s="741"/>
      <c r="M59" s="741"/>
      <c r="N59" s="741"/>
      <c r="O59" s="741"/>
      <c r="P59" s="741"/>
      <c r="Q59" s="741"/>
      <c r="R59" s="741"/>
      <c r="S59" s="741"/>
      <c r="T59" s="741"/>
      <c r="U59" s="741"/>
      <c r="V59" s="741"/>
      <c r="W59" s="741"/>
      <c r="X59" s="741"/>
      <c r="Y59" s="741"/>
    </row>
    <row r="60" spans="2:25" s="742" customFormat="1">
      <c r="B60" s="729"/>
      <c r="C60" s="730"/>
      <c r="D60" s="731"/>
      <c r="E60" s="731">
        <v>-1</v>
      </c>
      <c r="F60" s="830">
        <f t="shared" si="7"/>
        <v>2.8848351000000001</v>
      </c>
      <c r="G60" s="830"/>
      <c r="H60" s="740"/>
      <c r="I60" s="731">
        <f t="shared" si="6"/>
        <v>-2.8848351000000001</v>
      </c>
      <c r="J60" s="732">
        <v>2884835.1</v>
      </c>
      <c r="K60" s="741"/>
      <c r="L60" s="741"/>
      <c r="M60" s="741"/>
      <c r="N60" s="741"/>
      <c r="O60" s="741"/>
      <c r="P60" s="741"/>
      <c r="Q60" s="741"/>
      <c r="R60" s="741"/>
      <c r="S60" s="741"/>
      <c r="T60" s="741"/>
      <c r="U60" s="741"/>
      <c r="V60" s="741"/>
      <c r="W60" s="741"/>
      <c r="X60" s="741"/>
      <c r="Y60" s="741"/>
    </row>
    <row r="61" spans="2:25" s="742" customFormat="1">
      <c r="B61" s="729"/>
      <c r="C61" s="730"/>
      <c r="D61" s="731"/>
      <c r="E61" s="731">
        <v>-1</v>
      </c>
      <c r="F61" s="830">
        <f t="shared" si="7"/>
        <v>3.6483574999999999</v>
      </c>
      <c r="G61" s="830"/>
      <c r="H61" s="740"/>
      <c r="I61" s="731">
        <f t="shared" si="6"/>
        <v>-3.6483574999999999</v>
      </c>
      <c r="J61" s="732">
        <v>3648357.5</v>
      </c>
      <c r="K61" s="741"/>
      <c r="L61" s="741"/>
      <c r="M61" s="741"/>
      <c r="N61" s="741"/>
      <c r="O61" s="741"/>
      <c r="P61" s="741"/>
      <c r="Q61" s="741"/>
      <c r="R61" s="741"/>
      <c r="S61" s="741"/>
      <c r="T61" s="741"/>
      <c r="U61" s="741"/>
      <c r="V61" s="741"/>
      <c r="W61" s="741"/>
      <c r="X61" s="741"/>
      <c r="Y61" s="741"/>
    </row>
    <row r="62" spans="2:25" s="742" customFormat="1">
      <c r="B62" s="729"/>
      <c r="C62" s="730"/>
      <c r="D62" s="731"/>
      <c r="E62" s="731">
        <v>-1</v>
      </c>
      <c r="F62" s="830">
        <f t="shared" si="7"/>
        <v>0.67741180000000001</v>
      </c>
      <c r="G62" s="830"/>
      <c r="H62" s="740"/>
      <c r="I62" s="731">
        <f t="shared" si="6"/>
        <v>-0.67741180000000001</v>
      </c>
      <c r="J62" s="732">
        <v>677411.8</v>
      </c>
      <c r="K62" s="741"/>
      <c r="L62" s="741"/>
      <c r="M62" s="741"/>
      <c r="N62" s="741"/>
      <c r="O62" s="741"/>
      <c r="P62" s="741"/>
      <c r="Q62" s="741"/>
      <c r="R62" s="741"/>
      <c r="S62" s="741"/>
      <c r="T62" s="741"/>
      <c r="U62" s="741"/>
      <c r="V62" s="741"/>
      <c r="W62" s="741"/>
      <c r="X62" s="741"/>
      <c r="Y62" s="741"/>
    </row>
    <row r="63" spans="2:25" s="742" customFormat="1">
      <c r="B63" s="729" t="s">
        <v>152</v>
      </c>
      <c r="C63" s="730" t="s">
        <v>553</v>
      </c>
      <c r="D63" s="731"/>
      <c r="E63" s="731">
        <v>1</v>
      </c>
      <c r="F63" s="830">
        <f t="shared" si="7"/>
        <v>215.1643612</v>
      </c>
      <c r="G63" s="830"/>
      <c r="H63" s="740"/>
      <c r="I63" s="731">
        <f t="shared" si="6"/>
        <v>215.1643612</v>
      </c>
      <c r="J63" s="732">
        <v>215164361.19999999</v>
      </c>
      <c r="K63" s="741"/>
      <c r="L63" s="741"/>
      <c r="M63" s="741"/>
      <c r="N63" s="741"/>
      <c r="O63" s="741"/>
      <c r="P63" s="741"/>
      <c r="Q63" s="741"/>
      <c r="R63" s="741"/>
      <c r="S63" s="741"/>
      <c r="T63" s="741"/>
      <c r="U63" s="741"/>
      <c r="V63" s="741"/>
      <c r="W63" s="741"/>
      <c r="X63" s="741"/>
      <c r="Y63" s="741"/>
    </row>
    <row r="64" spans="2:25" s="719" customFormat="1">
      <c r="B64" s="729" t="s">
        <v>35</v>
      </c>
      <c r="C64" s="730" t="s">
        <v>451</v>
      </c>
      <c r="D64" s="731"/>
      <c r="E64" s="731">
        <v>1</v>
      </c>
      <c r="F64" s="731">
        <v>160</v>
      </c>
      <c r="G64" s="731">
        <v>4.7</v>
      </c>
      <c r="H64" s="740"/>
      <c r="I64" s="731">
        <f>PRODUCT(E64:H64)</f>
        <v>752</v>
      </c>
      <c r="J64" s="732"/>
      <c r="O64" s="720"/>
      <c r="P64" s="720"/>
    </row>
    <row r="65" spans="2:10">
      <c r="B65" s="712"/>
      <c r="C65" s="713" t="s">
        <v>26</v>
      </c>
      <c r="D65" s="714"/>
      <c r="E65" s="714"/>
      <c r="F65" s="714"/>
      <c r="G65" s="714"/>
      <c r="H65" s="714"/>
      <c r="I65" s="714">
        <f>SUM(I35:I64)</f>
        <v>2536.2292745999998</v>
      </c>
      <c r="J65" s="715" t="s">
        <v>27</v>
      </c>
    </row>
    <row r="66" spans="2:10" ht="47.25">
      <c r="B66" s="743" t="str">
        <f>[2]ABSTRACT!B13</f>
        <v>NT-04</v>
      </c>
      <c r="C66" s="744" t="str">
        <f>[2]ABSTRACT!C13</f>
        <v>Supply and fixing of 25mm thick separation board of silplex capell HD-100 Soft board with 12mm dia dowell bars and 20mm PVC pipe with closed end filled with Grease with all material , labour and lead and lift complete as per specification.</v>
      </c>
      <c r="D66" s="735"/>
      <c r="E66" s="735"/>
      <c r="F66" s="735"/>
      <c r="G66" s="735"/>
      <c r="H66" s="735"/>
      <c r="I66" s="735"/>
      <c r="J66" s="736"/>
    </row>
    <row r="67" spans="2:10">
      <c r="B67" s="722"/>
      <c r="C67" s="174" t="s">
        <v>554</v>
      </c>
      <c r="D67" s="468"/>
      <c r="E67" s="468"/>
      <c r="F67" s="468"/>
      <c r="G67" s="468"/>
      <c r="H67" s="468"/>
      <c r="I67" s="468"/>
      <c r="J67" s="478"/>
    </row>
    <row r="68" spans="2:10">
      <c r="B68" s="722"/>
      <c r="C68" s="174" t="s">
        <v>179</v>
      </c>
      <c r="D68" s="468"/>
      <c r="E68" s="468">
        <v>8</v>
      </c>
      <c r="F68" s="49">
        <v>4.7</v>
      </c>
      <c r="G68" s="49"/>
      <c r="H68" s="737"/>
      <c r="I68" s="468">
        <f>PRODUCT(E68:H68)</f>
        <v>37.6</v>
      </c>
      <c r="J68" s="478"/>
    </row>
    <row r="69" spans="2:10">
      <c r="B69" s="722"/>
      <c r="C69" s="174" t="s">
        <v>38</v>
      </c>
      <c r="D69" s="468"/>
      <c r="E69" s="468">
        <v>2</v>
      </c>
      <c r="F69" s="49">
        <v>6</v>
      </c>
      <c r="G69" s="49"/>
      <c r="H69" s="737"/>
      <c r="I69" s="468">
        <f>PRODUCT(E69:H69)</f>
        <v>12</v>
      </c>
      <c r="J69" s="478"/>
    </row>
    <row r="70" spans="2:10">
      <c r="B70" s="722"/>
      <c r="C70" s="174"/>
      <c r="D70" s="468"/>
      <c r="E70" s="468">
        <v>1</v>
      </c>
      <c r="F70" s="49">
        <v>4.7</v>
      </c>
      <c r="G70" s="49"/>
      <c r="H70" s="737"/>
      <c r="I70" s="468">
        <f>PRODUCT(E70:H70)</f>
        <v>4.7</v>
      </c>
      <c r="J70" s="478"/>
    </row>
    <row r="71" spans="2:10">
      <c r="B71" s="722"/>
      <c r="C71" s="174" t="s">
        <v>652</v>
      </c>
      <c r="D71" s="468"/>
      <c r="E71" s="468">
        <v>1</v>
      </c>
      <c r="F71" s="49">
        <v>30</v>
      </c>
      <c r="G71" s="49"/>
      <c r="H71" s="737"/>
      <c r="I71" s="468">
        <f>PRODUCT(E71:H71)</f>
        <v>30</v>
      </c>
      <c r="J71" s="478"/>
    </row>
    <row r="72" spans="2:10" ht="16.5" thickBot="1">
      <c r="B72" s="745"/>
      <c r="C72" s="746" t="s">
        <v>26</v>
      </c>
      <c r="D72" s="747"/>
      <c r="E72" s="747"/>
      <c r="F72" s="747"/>
      <c r="G72" s="747"/>
      <c r="H72" s="747"/>
      <c r="I72" s="747">
        <f>SUM(I68:I71)</f>
        <v>84.300000000000011</v>
      </c>
      <c r="J72" s="748" t="s">
        <v>46</v>
      </c>
    </row>
  </sheetData>
  <mergeCells count="29">
    <mergeCell ref="F59:G59"/>
    <mergeCell ref="F60:G60"/>
    <mergeCell ref="F61:G61"/>
    <mergeCell ref="F62:G62"/>
    <mergeCell ref="F63:G63"/>
    <mergeCell ref="F58:G58"/>
    <mergeCell ref="F47:G47"/>
    <mergeCell ref="F48:G48"/>
    <mergeCell ref="F49:G49"/>
    <mergeCell ref="F50:G50"/>
    <mergeCell ref="F51:G51"/>
    <mergeCell ref="F52:G52"/>
    <mergeCell ref="F53:G53"/>
    <mergeCell ref="F54:G54"/>
    <mergeCell ref="F55:G55"/>
    <mergeCell ref="F56:G56"/>
    <mergeCell ref="F57:G57"/>
    <mergeCell ref="F46:G46"/>
    <mergeCell ref="B2:J2"/>
    <mergeCell ref="B4:J4"/>
    <mergeCell ref="F26:G26"/>
    <mergeCell ref="F35:G35"/>
    <mergeCell ref="F39:G39"/>
    <mergeCell ref="F40:G40"/>
    <mergeCell ref="F41:G41"/>
    <mergeCell ref="F42:G42"/>
    <mergeCell ref="F43:G43"/>
    <mergeCell ref="F44:G44"/>
    <mergeCell ref="F45:G45"/>
  </mergeCells>
  <printOptions horizontalCentered="1"/>
  <pageMargins left="0.31496062992125984" right="0.31496062992125984" top="0.35433070866141736" bottom="0.55118110236220474" header="0.31496062992125984" footer="0.31496062992125984"/>
  <pageSetup paperSize="9" scale="46" orientation="portrait"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Y412"/>
  <sheetViews>
    <sheetView view="pageBreakPreview" zoomScaleNormal="85" zoomScaleSheetLayoutView="100" workbookViewId="0">
      <pane xSplit="1" ySplit="10" topLeftCell="B307" activePane="bottomRight" state="frozen"/>
      <selection pane="topRight" activeCell="B1" sqref="B1"/>
      <selection pane="bottomLeft" activeCell="A11" sqref="A11"/>
      <selection pane="bottomRight" activeCell="C313" sqref="C313"/>
    </sheetView>
  </sheetViews>
  <sheetFormatPr defaultColWidth="9.140625" defaultRowHeight="14.25"/>
  <cols>
    <col min="1" max="1" width="3.28515625" style="1" customWidth="1"/>
    <col min="2" max="2" width="20.28515625" style="1" bestFit="1" customWidth="1"/>
    <col min="3" max="3" width="81.140625" style="1" bestFit="1" customWidth="1"/>
    <col min="4" max="4" width="8.28515625" style="1" bestFit="1" customWidth="1"/>
    <col min="5" max="5" width="8.85546875" style="1" bestFit="1" customWidth="1"/>
    <col min="6" max="6" width="10.5703125" style="1" bestFit="1" customWidth="1"/>
    <col min="7" max="7" width="8.140625" style="1" bestFit="1" customWidth="1"/>
    <col min="8" max="8" width="9.5703125" style="1" bestFit="1" customWidth="1"/>
    <col min="9" max="9" width="12.85546875" style="1" bestFit="1" customWidth="1"/>
    <col min="10" max="10" width="22.42578125" style="1" bestFit="1" customWidth="1"/>
    <col min="11" max="11" width="17.85546875" style="1" bestFit="1" customWidth="1"/>
    <col min="12" max="12" width="17.7109375" style="1" bestFit="1" customWidth="1"/>
    <col min="13" max="13" width="14.5703125" style="1" bestFit="1" customWidth="1"/>
    <col min="14" max="14" width="9.140625" style="1"/>
    <col min="15" max="15" width="12" style="24" bestFit="1" customWidth="1"/>
    <col min="16" max="16" width="11.5703125" style="25" bestFit="1" customWidth="1"/>
    <col min="17" max="16384" width="9.140625" style="1"/>
  </cols>
  <sheetData>
    <row r="1" spans="2:16" ht="15" thickBot="1"/>
    <row r="2" spans="2:16" ht="15">
      <c r="B2" s="66" t="str">
        <f>'Abstract '!A1</f>
        <v xml:space="preserve">Project     </v>
      </c>
      <c r="C2" s="59" t="str">
        <f>'Abstract '!B1</f>
        <v>: Sattva City</v>
      </c>
      <c r="D2" s="59"/>
      <c r="E2" s="59"/>
      <c r="F2" s="59"/>
      <c r="G2" s="59"/>
      <c r="H2" s="59"/>
      <c r="I2" s="59"/>
      <c r="J2" s="60"/>
    </row>
    <row r="3" spans="2:16" ht="15">
      <c r="B3" s="370" t="str">
        <f>'Abstract '!A2</f>
        <v xml:space="preserve">Vendor    </v>
      </c>
      <c r="C3" s="58" t="str">
        <f>'Abstract '!B2</f>
        <v>: Pragathi Landscapers LLP</v>
      </c>
      <c r="D3" s="58"/>
      <c r="E3" s="58"/>
      <c r="F3" s="58"/>
      <c r="G3" s="58"/>
      <c r="H3" s="58"/>
      <c r="I3" s="58"/>
      <c r="J3" s="61"/>
    </row>
    <row r="4" spans="2:16" ht="15">
      <c r="B4" s="370" t="str">
        <f>'Abstract '!A3</f>
        <v xml:space="preserve">WO NO    </v>
      </c>
      <c r="C4" s="58" t="str">
        <f>'Abstract '!B3</f>
        <v>: 4300006116</v>
      </c>
      <c r="D4" s="58"/>
      <c r="E4" s="58"/>
      <c r="F4" s="58"/>
      <c r="G4" s="58"/>
      <c r="H4" s="58"/>
      <c r="I4" s="58"/>
      <c r="J4" s="61"/>
    </row>
    <row r="5" spans="2:16" ht="15">
      <c r="B5" s="370" t="str">
        <f>'Abstract '!A4</f>
        <v>WO Value</v>
      </c>
      <c r="C5" s="58" t="str">
        <f>'Abstract '!B4</f>
        <v>: Rs. 1,44,70,656.36/-</v>
      </c>
      <c r="D5" s="58"/>
      <c r="E5" s="58"/>
      <c r="F5" s="58"/>
      <c r="G5" s="58"/>
      <c r="H5" s="58"/>
      <c r="I5" s="58"/>
      <c r="J5" s="61"/>
    </row>
    <row r="6" spans="2:16" ht="15">
      <c r="B6" s="370" t="str">
        <f>'Abstract '!A5</f>
        <v xml:space="preserve">Nature of Work </v>
      </c>
      <c r="C6" s="58" t="str">
        <f>'Abstract '!B5</f>
        <v>: Landscape Works</v>
      </c>
      <c r="D6" s="58"/>
      <c r="E6" s="58"/>
      <c r="F6" s="58"/>
      <c r="G6" s="58"/>
      <c r="J6" s="61"/>
    </row>
    <row r="7" spans="2:16" ht="15">
      <c r="B7" s="370" t="str">
        <f>'Abstract '!A6</f>
        <v xml:space="preserve">RA Bill No </v>
      </c>
      <c r="C7" s="58" t="str">
        <f>'Abstract '!B6</f>
        <v>: 05</v>
      </c>
      <c r="D7" s="58"/>
      <c r="E7" s="58"/>
      <c r="F7" s="58"/>
      <c r="G7" s="58"/>
      <c r="H7" s="8"/>
      <c r="I7" s="58"/>
      <c r="J7" s="61"/>
    </row>
    <row r="8" spans="2:16" ht="15">
      <c r="B8" s="370" t="str">
        <f>'Abstract '!A7</f>
        <v xml:space="preserve">Bill Period </v>
      </c>
      <c r="C8" s="58" t="str">
        <f>'Abstract '!B7</f>
        <v>: 07.05.2025 to 04.07.2025</v>
      </c>
      <c r="D8" s="58"/>
      <c r="E8" s="58"/>
      <c r="F8" s="58"/>
      <c r="G8" s="58"/>
      <c r="H8" s="840" t="s">
        <v>656</v>
      </c>
      <c r="I8" s="841"/>
      <c r="J8" s="61"/>
    </row>
    <row r="9" spans="2:16" s="54" customFormat="1" ht="18.75">
      <c r="B9" s="842" t="s">
        <v>638</v>
      </c>
      <c r="C9" s="831"/>
      <c r="D9" s="831"/>
      <c r="E9" s="831"/>
      <c r="F9" s="831"/>
      <c r="G9" s="831"/>
      <c r="H9" s="831"/>
      <c r="I9" s="831"/>
      <c r="J9" s="843"/>
      <c r="O9" s="55"/>
      <c r="P9" s="55"/>
    </row>
    <row r="10" spans="2:16" s="28" customFormat="1" ht="15">
      <c r="B10" s="41" t="s">
        <v>33</v>
      </c>
      <c r="C10" s="42" t="s">
        <v>10</v>
      </c>
      <c r="D10" s="42" t="s">
        <v>0</v>
      </c>
      <c r="E10" s="42" t="s">
        <v>34</v>
      </c>
      <c r="F10" s="42" t="s">
        <v>30</v>
      </c>
      <c r="G10" s="42" t="s">
        <v>4</v>
      </c>
      <c r="H10" s="42" t="s">
        <v>31</v>
      </c>
      <c r="I10" s="42" t="s">
        <v>1</v>
      </c>
      <c r="J10" s="43" t="s">
        <v>2</v>
      </c>
      <c r="O10" s="29"/>
      <c r="P10" s="29"/>
    </row>
    <row r="11" spans="2:16" s="31" customFormat="1" ht="15">
      <c r="B11" s="27"/>
      <c r="C11" s="455"/>
      <c r="D11" s="455"/>
      <c r="E11" s="455"/>
      <c r="F11" s="455"/>
      <c r="G11" s="455"/>
      <c r="H11" s="455"/>
      <c r="I11" s="455"/>
      <c r="J11" s="30"/>
      <c r="O11" s="32"/>
      <c r="P11" s="32"/>
    </row>
    <row r="12" spans="2:16" s="31" customFormat="1" ht="150">
      <c r="B12" s="27">
        <f>'Abstract '!A29</f>
        <v>10</v>
      </c>
      <c r="C12" s="33" t="str">
        <f>'Abstract '!B29</f>
        <v xml:space="preserve">Land_Sup/Fix_Granular Sub Base 
Providing &amp; laying of Granular Sub-base with Coarse Graded material (Table:- 400-2) compacted thickness of 150mm   by providing, laying, spreading and compacting , spreading in uniform layers with motor grader on prepared surface, mixing by mix in place method with rotavator at OMC, and compacting with vibratory roller 8-10 tonne to achieve the desired density of 98% including protection of edges of GSB layer, cost of all materials, labour, hire charges of machinery, loading &amp; Unloading, all lead and lift etc., complete. as per the directions of eng-in- charge of work in accordance Technical Specification </v>
      </c>
      <c r="D12" s="455"/>
      <c r="E12" s="455"/>
      <c r="F12" s="455"/>
      <c r="G12" s="455"/>
      <c r="H12" s="455"/>
      <c r="I12" s="455"/>
      <c r="J12" s="30"/>
      <c r="O12" s="32"/>
      <c r="P12" s="32"/>
    </row>
    <row r="13" spans="2:16" s="31" customFormat="1" ht="15">
      <c r="B13" s="27"/>
      <c r="C13" s="34" t="s">
        <v>8</v>
      </c>
      <c r="D13" s="455"/>
      <c r="E13" s="455"/>
      <c r="F13" s="455"/>
      <c r="G13" s="455"/>
      <c r="H13" s="455"/>
      <c r="I13" s="455"/>
      <c r="J13" s="30"/>
      <c r="O13" s="32"/>
      <c r="P13" s="32"/>
    </row>
    <row r="14" spans="2:16" s="31" customFormat="1" ht="15">
      <c r="B14" s="27" t="s">
        <v>35</v>
      </c>
      <c r="C14" s="35" t="s">
        <v>44</v>
      </c>
      <c r="D14" s="35" t="s">
        <v>28</v>
      </c>
      <c r="E14" s="35">
        <v>1</v>
      </c>
      <c r="F14" s="837">
        <f>J14/(1000*1000)</f>
        <v>1195.8287957999999</v>
      </c>
      <c r="G14" s="837"/>
      <c r="H14" s="455">
        <v>0.15</v>
      </c>
      <c r="I14" s="455">
        <f t="shared" ref="I14:I19" si="0">PRODUCT(E14:H14)</f>
        <v>179.37431936999997</v>
      </c>
      <c r="J14" s="30">
        <v>1195828795.8</v>
      </c>
      <c r="O14" s="32"/>
      <c r="P14" s="32"/>
    </row>
    <row r="15" spans="2:16" s="31" customFormat="1" ht="15">
      <c r="B15" s="27" t="s">
        <v>36</v>
      </c>
      <c r="C15" s="35" t="s">
        <v>45</v>
      </c>
      <c r="D15" s="35"/>
      <c r="E15" s="35">
        <v>1</v>
      </c>
      <c r="F15" s="837">
        <f>J15/(1000*1000)</f>
        <v>352.14081010000001</v>
      </c>
      <c r="G15" s="837"/>
      <c r="H15" s="455">
        <v>0.15</v>
      </c>
      <c r="I15" s="455">
        <f t="shared" si="0"/>
        <v>52.821121515000002</v>
      </c>
      <c r="J15" s="30">
        <v>352140810.10000002</v>
      </c>
      <c r="O15" s="32"/>
      <c r="P15" s="32"/>
    </row>
    <row r="16" spans="2:16" s="31" customFormat="1" ht="15">
      <c r="B16" s="27"/>
      <c r="C16" s="35" t="s">
        <v>47</v>
      </c>
      <c r="D16" s="35"/>
      <c r="E16" s="35">
        <v>-1</v>
      </c>
      <c r="F16" s="837">
        <f>J16/(1000*1000)</f>
        <v>31.539406100000001</v>
      </c>
      <c r="G16" s="837"/>
      <c r="H16" s="455">
        <v>0.15</v>
      </c>
      <c r="I16" s="455">
        <f t="shared" si="0"/>
        <v>-4.7309109149999999</v>
      </c>
      <c r="J16" s="30">
        <v>31539406.100000001</v>
      </c>
      <c r="O16" s="32"/>
      <c r="P16" s="32"/>
    </row>
    <row r="17" spans="2:16" s="31" customFormat="1" ht="15">
      <c r="B17" s="27" t="s">
        <v>37</v>
      </c>
      <c r="C17" s="35" t="s">
        <v>38</v>
      </c>
      <c r="D17" s="35"/>
      <c r="E17" s="35">
        <v>1</v>
      </c>
      <c r="F17" s="837">
        <f>J17/(1000*1000)</f>
        <v>821.29796410000006</v>
      </c>
      <c r="G17" s="837"/>
      <c r="H17" s="455">
        <v>0.15</v>
      </c>
      <c r="I17" s="455">
        <f t="shared" si="0"/>
        <v>123.194694615</v>
      </c>
      <c r="J17" s="30">
        <v>821297964.10000002</v>
      </c>
      <c r="O17" s="32"/>
      <c r="P17" s="32"/>
    </row>
    <row r="18" spans="2:16" s="31" customFormat="1" ht="15">
      <c r="B18" s="27" t="s">
        <v>48</v>
      </c>
      <c r="C18" s="35" t="s">
        <v>107</v>
      </c>
      <c r="D18" s="35"/>
      <c r="E18" s="35">
        <v>1</v>
      </c>
      <c r="F18" s="35">
        <f>(J18/1000)-(1.5+2.33)</f>
        <v>278.71480000000003</v>
      </c>
      <c r="G18" s="35">
        <v>0.4</v>
      </c>
      <c r="H18" s="455">
        <v>0.15</v>
      </c>
      <c r="I18" s="455">
        <f t="shared" si="0"/>
        <v>16.722888000000001</v>
      </c>
      <c r="J18" s="30">
        <v>282544.8</v>
      </c>
      <c r="O18" s="32"/>
      <c r="P18" s="32"/>
    </row>
    <row r="19" spans="2:16" s="31" customFormat="1" ht="15">
      <c r="B19" s="27"/>
      <c r="C19" s="35" t="s">
        <v>107</v>
      </c>
      <c r="D19" s="35"/>
      <c r="E19" s="35">
        <v>1</v>
      </c>
      <c r="F19" s="35">
        <f>J19/1000</f>
        <v>23.720599999999997</v>
      </c>
      <c r="G19" s="35">
        <v>0.4</v>
      </c>
      <c r="H19" s="455">
        <v>0.15</v>
      </c>
      <c r="I19" s="455">
        <f t="shared" si="0"/>
        <v>1.4232359999999999</v>
      </c>
      <c r="J19" s="30">
        <v>23720.6</v>
      </c>
      <c r="O19" s="32"/>
      <c r="P19" s="32"/>
    </row>
    <row r="20" spans="2:16" s="31" customFormat="1" ht="15">
      <c r="B20" s="27" t="s">
        <v>49</v>
      </c>
      <c r="C20" s="35" t="s">
        <v>107</v>
      </c>
      <c r="D20" s="455"/>
      <c r="E20" s="35">
        <v>1</v>
      </c>
      <c r="F20" s="35">
        <f>J20/1000</f>
        <v>169.79520000000002</v>
      </c>
      <c r="G20" s="35">
        <v>0.4</v>
      </c>
      <c r="H20" s="455">
        <v>0.15</v>
      </c>
      <c r="I20" s="455">
        <f>PRODUCT(E20:H20)</f>
        <v>10.187712000000003</v>
      </c>
      <c r="J20" s="30">
        <v>169795.20000000001</v>
      </c>
      <c r="O20" s="32"/>
      <c r="P20" s="32"/>
    </row>
    <row r="21" spans="2:16" s="31" customFormat="1">
      <c r="B21" s="197"/>
      <c r="C21" s="35" t="s">
        <v>148</v>
      </c>
      <c r="D21" s="455"/>
      <c r="E21" s="35"/>
      <c r="F21" s="35"/>
      <c r="G21" s="35"/>
      <c r="H21" s="455"/>
      <c r="I21" s="455"/>
      <c r="J21" s="30"/>
      <c r="O21" s="32"/>
      <c r="P21" s="32"/>
    </row>
    <row r="22" spans="2:16" s="31" customFormat="1">
      <c r="B22" s="197" t="s">
        <v>35</v>
      </c>
      <c r="C22" s="35" t="s">
        <v>167</v>
      </c>
      <c r="D22" s="455"/>
      <c r="E22" s="35">
        <v>1</v>
      </c>
      <c r="F22" s="837">
        <f>J22/(1000*1000)</f>
        <v>408.5099386</v>
      </c>
      <c r="G22" s="837"/>
      <c r="H22" s="455">
        <v>0.15</v>
      </c>
      <c r="I22" s="455">
        <f t="shared" ref="I22:I23" si="1">PRODUCT(E22:H22)</f>
        <v>61.276490789999997</v>
      </c>
      <c r="J22" s="30">
        <v>408509938.60000002</v>
      </c>
      <c r="O22" s="32"/>
      <c r="P22" s="32"/>
    </row>
    <row r="23" spans="2:16" s="31" customFormat="1">
      <c r="B23" s="197"/>
      <c r="C23" s="35" t="s">
        <v>168</v>
      </c>
      <c r="D23" s="455"/>
      <c r="E23" s="35">
        <v>-1</v>
      </c>
      <c r="F23" s="837">
        <f>J23/(1000*1000)</f>
        <v>42.792993000000003</v>
      </c>
      <c r="G23" s="837"/>
      <c r="H23" s="455">
        <v>0.15</v>
      </c>
      <c r="I23" s="455">
        <f t="shared" si="1"/>
        <v>-6.4189489499999999</v>
      </c>
      <c r="J23" s="30">
        <v>42792993</v>
      </c>
      <c r="O23" s="32"/>
      <c r="P23" s="32"/>
    </row>
    <row r="24" spans="2:16" s="31" customFormat="1">
      <c r="B24" s="197" t="s">
        <v>36</v>
      </c>
      <c r="C24" s="35" t="s">
        <v>171</v>
      </c>
      <c r="D24" s="455"/>
      <c r="E24" s="35">
        <v>1</v>
      </c>
      <c r="F24" s="837">
        <f>J24/(1000*1000)</f>
        <v>113.20323620000001</v>
      </c>
      <c r="G24" s="837"/>
      <c r="H24" s="455">
        <v>0.15</v>
      </c>
      <c r="I24" s="455">
        <f t="shared" ref="I24" si="2">PRODUCT(E24:H24)</f>
        <v>16.980485430000002</v>
      </c>
      <c r="J24" s="30">
        <v>113203236.2</v>
      </c>
      <c r="O24" s="32"/>
      <c r="P24" s="32"/>
    </row>
    <row r="25" spans="2:16" s="31" customFormat="1">
      <c r="B25" s="197" t="s">
        <v>37</v>
      </c>
      <c r="C25" s="35" t="s">
        <v>175</v>
      </c>
      <c r="D25" s="455"/>
      <c r="E25" s="35">
        <v>1</v>
      </c>
      <c r="F25" s="837">
        <f>J25/(1000*1000)</f>
        <v>79.748773999999997</v>
      </c>
      <c r="G25" s="837"/>
      <c r="H25" s="455">
        <v>0.15</v>
      </c>
      <c r="I25" s="455">
        <f t="shared" ref="I25" si="3">PRODUCT(E25:H25)</f>
        <v>11.962316099999999</v>
      </c>
      <c r="J25" s="30">
        <v>79748774</v>
      </c>
      <c r="O25" s="32"/>
      <c r="P25" s="32"/>
    </row>
    <row r="26" spans="2:16" s="31" customFormat="1">
      <c r="B26" s="197" t="s">
        <v>152</v>
      </c>
      <c r="C26" s="35" t="s">
        <v>176</v>
      </c>
      <c r="D26" s="455"/>
      <c r="E26" s="35">
        <v>1</v>
      </c>
      <c r="F26" s="837">
        <f t="shared" ref="F26:F27" si="4">J26/(1000*1000)</f>
        <v>124.3350483</v>
      </c>
      <c r="G26" s="837"/>
      <c r="H26" s="455">
        <v>0.15</v>
      </c>
      <c r="I26" s="455">
        <f t="shared" ref="I26:I27" si="5">PRODUCT(E26:H26)</f>
        <v>18.650257244999999</v>
      </c>
      <c r="J26" s="30">
        <v>124335048.3</v>
      </c>
      <c r="O26" s="32"/>
      <c r="P26" s="32"/>
    </row>
    <row r="27" spans="2:16" s="31" customFormat="1">
      <c r="B27" s="197"/>
      <c r="C27" s="35" t="s">
        <v>176</v>
      </c>
      <c r="D27" s="455"/>
      <c r="E27" s="35">
        <v>1</v>
      </c>
      <c r="F27" s="837">
        <f t="shared" si="4"/>
        <v>35.401721799999997</v>
      </c>
      <c r="G27" s="837"/>
      <c r="H27" s="455">
        <v>0.15</v>
      </c>
      <c r="I27" s="455">
        <f t="shared" si="5"/>
        <v>5.3102582699999994</v>
      </c>
      <c r="J27" s="30">
        <v>35401721.799999997</v>
      </c>
      <c r="O27" s="32"/>
      <c r="P27" s="32"/>
    </row>
    <row r="28" spans="2:16" s="31" customFormat="1">
      <c r="B28" s="197" t="s">
        <v>154</v>
      </c>
      <c r="C28" s="35" t="s">
        <v>177</v>
      </c>
      <c r="D28" s="455"/>
      <c r="E28" s="35">
        <v>1</v>
      </c>
      <c r="F28" s="837">
        <f t="shared" ref="F28" si="6">J28/(1000*1000)</f>
        <v>99.827298099999993</v>
      </c>
      <c r="G28" s="837"/>
      <c r="H28" s="455">
        <v>0.15</v>
      </c>
      <c r="I28" s="455">
        <f t="shared" ref="I28" si="7">PRODUCT(E28:H28)</f>
        <v>14.974094714999998</v>
      </c>
      <c r="J28" s="30">
        <v>99827298.099999994</v>
      </c>
      <c r="O28" s="32"/>
      <c r="P28" s="32"/>
    </row>
    <row r="29" spans="2:16" s="31" customFormat="1">
      <c r="B29" s="197" t="s">
        <v>156</v>
      </c>
      <c r="C29" s="35" t="s">
        <v>178</v>
      </c>
      <c r="D29" s="455"/>
      <c r="E29" s="35">
        <v>1</v>
      </c>
      <c r="F29" s="837">
        <f t="shared" ref="F29" si="8">J29/(1000*1000)</f>
        <v>56.032303599999999</v>
      </c>
      <c r="G29" s="837"/>
      <c r="H29" s="455">
        <v>0.15</v>
      </c>
      <c r="I29" s="455">
        <f t="shared" ref="I29" si="9">PRODUCT(E29:H29)</f>
        <v>8.4048455400000002</v>
      </c>
      <c r="J29" s="30">
        <v>56032303.600000001</v>
      </c>
      <c r="O29" s="32"/>
      <c r="P29" s="32"/>
    </row>
    <row r="30" spans="2:16" s="31" customFormat="1">
      <c r="B30" s="197" t="s">
        <v>157</v>
      </c>
      <c r="C30" s="35" t="s">
        <v>179</v>
      </c>
      <c r="D30" s="455"/>
      <c r="E30" s="35">
        <v>1</v>
      </c>
      <c r="F30" s="837">
        <f t="shared" ref="F30" si="10">J30/(1000*1000)</f>
        <v>878.69423160000008</v>
      </c>
      <c r="G30" s="837"/>
      <c r="H30" s="455">
        <v>0.15</v>
      </c>
      <c r="I30" s="455">
        <f t="shared" ref="I30" si="11">PRODUCT(E30:H30)</f>
        <v>131.80413473999999</v>
      </c>
      <c r="J30" s="30">
        <v>878694231.60000002</v>
      </c>
      <c r="O30" s="32"/>
      <c r="P30" s="32"/>
    </row>
    <row r="31" spans="2:16" s="31" customFormat="1">
      <c r="B31" s="197" t="s">
        <v>159</v>
      </c>
      <c r="C31" s="35" t="s">
        <v>180</v>
      </c>
      <c r="D31" s="455"/>
      <c r="E31" s="35">
        <v>1</v>
      </c>
      <c r="F31" s="837">
        <f t="shared" ref="F31" si="12">J31/(1000*1000)</f>
        <v>480.09959610000004</v>
      </c>
      <c r="G31" s="837"/>
      <c r="H31" s="455">
        <v>0.15</v>
      </c>
      <c r="I31" s="455">
        <f t="shared" ref="I31" si="13">PRODUCT(E31:H31)</f>
        <v>72.014939415000001</v>
      </c>
      <c r="J31" s="30">
        <v>480099596.10000002</v>
      </c>
      <c r="O31" s="32"/>
      <c r="P31" s="32"/>
    </row>
    <row r="32" spans="2:16" s="31" customFormat="1">
      <c r="B32" s="197"/>
      <c r="C32" s="35" t="s">
        <v>181</v>
      </c>
      <c r="D32" s="455"/>
      <c r="E32" s="35"/>
      <c r="F32" s="455"/>
      <c r="G32" s="455"/>
      <c r="H32" s="455"/>
      <c r="I32" s="455"/>
      <c r="J32" s="30"/>
      <c r="O32" s="32"/>
      <c r="P32" s="32"/>
    </row>
    <row r="33" spans="2:16" s="31" customFormat="1">
      <c r="B33" s="197"/>
      <c r="C33" s="35" t="s">
        <v>263</v>
      </c>
      <c r="D33" s="455"/>
      <c r="E33" s="35"/>
      <c r="F33" s="455"/>
      <c r="G33" s="455"/>
      <c r="H33" s="455"/>
      <c r="I33" s="455"/>
      <c r="J33" s="30"/>
      <c r="O33" s="32"/>
      <c r="P33" s="32"/>
    </row>
    <row r="34" spans="2:16" s="31" customFormat="1">
      <c r="B34" s="197" t="s">
        <v>36</v>
      </c>
      <c r="C34" s="34" t="s">
        <v>151</v>
      </c>
      <c r="D34" s="455"/>
      <c r="E34" s="35">
        <v>1</v>
      </c>
      <c r="F34" s="35">
        <f t="shared" ref="F34:F35" si="14">J34/1000</f>
        <v>51.813300000000005</v>
      </c>
      <c r="G34" s="35">
        <v>0.4</v>
      </c>
      <c r="H34" s="455">
        <v>0.15</v>
      </c>
      <c r="I34" s="455">
        <f t="shared" ref="I34:I40" si="15">PRODUCT(E34:H34)</f>
        <v>3.1087980000000006</v>
      </c>
      <c r="J34" s="30">
        <v>51813.3</v>
      </c>
      <c r="O34" s="32"/>
      <c r="P34" s="32"/>
    </row>
    <row r="35" spans="2:16" s="31" customFormat="1">
      <c r="B35" s="197"/>
      <c r="C35" s="34"/>
      <c r="D35" s="455"/>
      <c r="E35" s="35">
        <v>1</v>
      </c>
      <c r="F35" s="35">
        <f t="shared" si="14"/>
        <v>20.544400000000003</v>
      </c>
      <c r="G35" s="35">
        <v>0.4</v>
      </c>
      <c r="H35" s="455">
        <v>0.15</v>
      </c>
      <c r="I35" s="455">
        <f t="shared" si="15"/>
        <v>1.2326640000000002</v>
      </c>
      <c r="J35" s="30">
        <v>20544.400000000001</v>
      </c>
      <c r="O35" s="32"/>
      <c r="P35" s="32"/>
    </row>
    <row r="36" spans="2:16" s="31" customFormat="1">
      <c r="B36" s="197" t="s">
        <v>37</v>
      </c>
      <c r="C36" s="34" t="s">
        <v>150</v>
      </c>
      <c r="D36" s="455"/>
      <c r="E36" s="35">
        <v>1</v>
      </c>
      <c r="F36" s="35">
        <f>J36/1000-10</f>
        <v>83.3172</v>
      </c>
      <c r="G36" s="35">
        <v>0.4</v>
      </c>
      <c r="H36" s="455">
        <v>0.15</v>
      </c>
      <c r="I36" s="455">
        <f t="shared" si="15"/>
        <v>4.9990320000000006</v>
      </c>
      <c r="J36" s="30">
        <v>93317.2</v>
      </c>
      <c r="O36" s="32"/>
      <c r="P36" s="32"/>
    </row>
    <row r="37" spans="2:16" s="31" customFormat="1">
      <c r="B37" s="197" t="s">
        <v>152</v>
      </c>
      <c r="C37" s="34" t="s">
        <v>153</v>
      </c>
      <c r="D37" s="455"/>
      <c r="E37" s="35">
        <v>1</v>
      </c>
      <c r="F37" s="35">
        <f>J37/1000</f>
        <v>132.92589999999998</v>
      </c>
      <c r="G37" s="35">
        <v>0.4</v>
      </c>
      <c r="H37" s="455">
        <v>0.15</v>
      </c>
      <c r="I37" s="455">
        <f t="shared" si="15"/>
        <v>7.9755539999999989</v>
      </c>
      <c r="J37" s="30">
        <v>132925.9</v>
      </c>
      <c r="K37" s="31">
        <v>118</v>
      </c>
      <c r="O37" s="32"/>
      <c r="P37" s="32"/>
    </row>
    <row r="38" spans="2:16" s="31" customFormat="1">
      <c r="B38" s="197" t="s">
        <v>154</v>
      </c>
      <c r="C38" s="34" t="s">
        <v>155</v>
      </c>
      <c r="D38" s="455"/>
      <c r="E38" s="35">
        <v>1</v>
      </c>
      <c r="F38" s="35">
        <f>J38/1000</f>
        <v>259.62079999999997</v>
      </c>
      <c r="G38" s="35">
        <v>0.4</v>
      </c>
      <c r="H38" s="455">
        <v>0.15</v>
      </c>
      <c r="I38" s="455">
        <f t="shared" si="15"/>
        <v>15.577247999999999</v>
      </c>
      <c r="J38" s="30">
        <v>259620.8</v>
      </c>
      <c r="O38" s="32"/>
      <c r="P38" s="32"/>
    </row>
    <row r="39" spans="2:16" s="31" customFormat="1">
      <c r="B39" s="197" t="s">
        <v>156</v>
      </c>
      <c r="C39" s="34" t="s">
        <v>158</v>
      </c>
      <c r="D39" s="455"/>
      <c r="E39" s="35">
        <v>1</v>
      </c>
      <c r="F39" s="35">
        <f>J39/1000</f>
        <v>20.790200000000002</v>
      </c>
      <c r="G39" s="35">
        <v>0.4</v>
      </c>
      <c r="H39" s="455">
        <v>0.15</v>
      </c>
      <c r="I39" s="455">
        <f t="shared" si="15"/>
        <v>1.2474120000000002</v>
      </c>
      <c r="J39" s="30">
        <v>20790.2</v>
      </c>
      <c r="O39" s="32"/>
      <c r="P39" s="32"/>
    </row>
    <row r="40" spans="2:16" s="31" customFormat="1">
      <c r="B40" s="197"/>
      <c r="C40" s="34"/>
      <c r="D40" s="455"/>
      <c r="E40" s="35">
        <v>1</v>
      </c>
      <c r="F40" s="35">
        <f>J40/1000</f>
        <v>56.008199999999995</v>
      </c>
      <c r="G40" s="35">
        <v>0.4</v>
      </c>
      <c r="H40" s="455">
        <v>0.15</v>
      </c>
      <c r="I40" s="455">
        <f t="shared" si="15"/>
        <v>3.3604919999999998</v>
      </c>
      <c r="J40" s="30">
        <v>56008.2</v>
      </c>
      <c r="O40" s="32"/>
      <c r="P40" s="32"/>
    </row>
    <row r="41" spans="2:16" s="31" customFormat="1">
      <c r="B41" s="197"/>
      <c r="C41" s="35" t="s">
        <v>182</v>
      </c>
      <c r="D41" s="455"/>
      <c r="E41" s="35"/>
      <c r="F41" s="455"/>
      <c r="G41" s="455"/>
      <c r="H41" s="455"/>
      <c r="I41" s="455"/>
      <c r="J41" s="30"/>
      <c r="O41" s="32"/>
      <c r="P41" s="32"/>
    </row>
    <row r="42" spans="2:16" s="31" customFormat="1">
      <c r="B42" s="197" t="s">
        <v>35</v>
      </c>
      <c r="C42" s="34" t="s">
        <v>149</v>
      </c>
      <c r="D42" s="455"/>
      <c r="E42" s="35">
        <v>1</v>
      </c>
      <c r="F42" s="35">
        <f>J42/1000</f>
        <v>51.602499999999999</v>
      </c>
      <c r="G42" s="35">
        <v>0.4</v>
      </c>
      <c r="H42" s="455">
        <v>0.15</v>
      </c>
      <c r="I42" s="455">
        <f t="shared" ref="I42:I43" si="16">PRODUCT(E42:H42)</f>
        <v>3.0961500000000002</v>
      </c>
      <c r="J42" s="30">
        <v>51602.5</v>
      </c>
      <c r="O42" s="32"/>
      <c r="P42" s="32"/>
    </row>
    <row r="43" spans="2:16" s="31" customFormat="1">
      <c r="B43" s="197"/>
      <c r="C43" s="34"/>
      <c r="D43" s="455"/>
      <c r="E43" s="35">
        <v>1</v>
      </c>
      <c r="F43" s="35">
        <f>J43/1000</f>
        <v>49.174800000000005</v>
      </c>
      <c r="G43" s="35">
        <v>0.4</v>
      </c>
      <c r="H43" s="455">
        <v>0.15</v>
      </c>
      <c r="I43" s="455">
        <f t="shared" si="16"/>
        <v>2.9504880000000004</v>
      </c>
      <c r="J43" s="30">
        <v>49174.8</v>
      </c>
      <c r="O43" s="32"/>
      <c r="P43" s="32"/>
    </row>
    <row r="44" spans="2:16" s="31" customFormat="1">
      <c r="B44" s="197" t="s">
        <v>157</v>
      </c>
      <c r="C44" s="34" t="s">
        <v>158</v>
      </c>
      <c r="D44" s="455"/>
      <c r="E44" s="35">
        <v>1</v>
      </c>
      <c r="F44" s="35">
        <f>J44/1000</f>
        <v>44.292699999999996</v>
      </c>
      <c r="G44" s="35">
        <v>0.4</v>
      </c>
      <c r="H44" s="455">
        <v>0.15</v>
      </c>
      <c r="I44" s="455">
        <f>PRODUCT(E44:H44)</f>
        <v>2.657562</v>
      </c>
      <c r="J44" s="30">
        <v>44292.7</v>
      </c>
      <c r="O44" s="32"/>
      <c r="P44" s="32"/>
    </row>
    <row r="45" spans="2:16" s="31" customFormat="1">
      <c r="B45" s="197"/>
      <c r="C45" s="34"/>
      <c r="D45" s="455"/>
      <c r="E45" s="35">
        <v>1</v>
      </c>
      <c r="F45" s="35">
        <f>J45/1000</f>
        <v>45.683699999999995</v>
      </c>
      <c r="G45" s="35">
        <v>0.4</v>
      </c>
      <c r="H45" s="455">
        <v>0.15</v>
      </c>
      <c r="I45" s="455">
        <f>PRODUCT(E45:H45)</f>
        <v>2.7410219999999996</v>
      </c>
      <c r="J45" s="30">
        <v>45683.7</v>
      </c>
      <c r="O45" s="32"/>
      <c r="P45" s="32"/>
    </row>
    <row r="46" spans="2:16" s="31" customFormat="1">
      <c r="B46" s="197" t="s">
        <v>159</v>
      </c>
      <c r="C46" s="34" t="s">
        <v>158</v>
      </c>
      <c r="D46" s="455"/>
      <c r="E46" s="35">
        <v>1</v>
      </c>
      <c r="F46" s="35">
        <f t="shared" ref="F46:F53" si="17">J46/1000</f>
        <v>16.7563</v>
      </c>
      <c r="G46" s="35">
        <v>0.4</v>
      </c>
      <c r="H46" s="455">
        <v>0.15</v>
      </c>
      <c r="I46" s="455">
        <f t="shared" ref="I46:I53" si="18">PRODUCT(E46:H46)</f>
        <v>1.0053779999999999</v>
      </c>
      <c r="J46" s="30">
        <v>16756.3</v>
      </c>
      <c r="O46" s="32"/>
      <c r="P46" s="32"/>
    </row>
    <row r="47" spans="2:16" s="31" customFormat="1">
      <c r="B47" s="197"/>
      <c r="C47" s="34"/>
      <c r="D47" s="455"/>
      <c r="E47" s="35">
        <v>1</v>
      </c>
      <c r="F47" s="35">
        <f t="shared" si="17"/>
        <v>16.606300000000001</v>
      </c>
      <c r="G47" s="35">
        <v>0.4</v>
      </c>
      <c r="H47" s="455">
        <v>0.15</v>
      </c>
      <c r="I47" s="455">
        <f t="shared" si="18"/>
        <v>0.9963780000000001</v>
      </c>
      <c r="J47" s="30">
        <v>16606.3</v>
      </c>
      <c r="O47" s="32"/>
      <c r="P47" s="32"/>
    </row>
    <row r="48" spans="2:16" s="31" customFormat="1">
      <c r="B48" s="197" t="s">
        <v>160</v>
      </c>
      <c r="C48" s="34" t="s">
        <v>153</v>
      </c>
      <c r="D48" s="455"/>
      <c r="E48" s="35">
        <v>1</v>
      </c>
      <c r="F48" s="35">
        <f t="shared" si="17"/>
        <v>50.041199999999996</v>
      </c>
      <c r="G48" s="35">
        <v>0.4</v>
      </c>
      <c r="H48" s="455">
        <v>0.15</v>
      </c>
      <c r="I48" s="455">
        <f t="shared" si="18"/>
        <v>3.002472</v>
      </c>
      <c r="J48" s="30">
        <v>50041.2</v>
      </c>
      <c r="O48" s="32"/>
      <c r="P48" s="32"/>
    </row>
    <row r="49" spans="2:16" s="31" customFormat="1">
      <c r="B49" s="197"/>
      <c r="C49" s="34"/>
      <c r="D49" s="455"/>
      <c r="E49" s="35">
        <v>1</v>
      </c>
      <c r="F49" s="35">
        <f t="shared" si="17"/>
        <v>50.104300000000002</v>
      </c>
      <c r="G49" s="35">
        <v>0.4</v>
      </c>
      <c r="H49" s="455">
        <v>0.15</v>
      </c>
      <c r="I49" s="455">
        <f t="shared" si="18"/>
        <v>3.0062580000000003</v>
      </c>
      <c r="J49" s="30">
        <v>50104.3</v>
      </c>
      <c r="O49" s="32"/>
      <c r="P49" s="32"/>
    </row>
    <row r="50" spans="2:16" s="31" customFormat="1">
      <c r="B50" s="197" t="s">
        <v>161</v>
      </c>
      <c r="C50" s="34" t="s">
        <v>151</v>
      </c>
      <c r="D50" s="455"/>
      <c r="E50" s="35">
        <v>1</v>
      </c>
      <c r="F50" s="35">
        <f t="shared" si="17"/>
        <v>59.816600000000001</v>
      </c>
      <c r="G50" s="35">
        <v>0.4</v>
      </c>
      <c r="H50" s="455">
        <v>0.15</v>
      </c>
      <c r="I50" s="455">
        <f t="shared" si="18"/>
        <v>3.5889960000000003</v>
      </c>
      <c r="J50" s="30">
        <v>59816.6</v>
      </c>
      <c r="O50" s="32"/>
      <c r="P50" s="32"/>
    </row>
    <row r="51" spans="2:16" s="31" customFormat="1">
      <c r="B51" s="197"/>
      <c r="C51" s="34"/>
      <c r="D51" s="455"/>
      <c r="E51" s="35">
        <v>1</v>
      </c>
      <c r="F51" s="35">
        <f t="shared" si="17"/>
        <v>52.378699999999995</v>
      </c>
      <c r="G51" s="35">
        <v>0.4</v>
      </c>
      <c r="H51" s="455">
        <v>0.15</v>
      </c>
      <c r="I51" s="455">
        <f t="shared" si="18"/>
        <v>3.142722</v>
      </c>
      <c r="J51" s="30">
        <v>52378.7</v>
      </c>
      <c r="O51" s="32"/>
      <c r="P51" s="32"/>
    </row>
    <row r="52" spans="2:16" s="31" customFormat="1">
      <c r="B52" s="197" t="s">
        <v>162</v>
      </c>
      <c r="C52" s="34" t="s">
        <v>151</v>
      </c>
      <c r="D52" s="455"/>
      <c r="E52" s="35">
        <v>1</v>
      </c>
      <c r="F52" s="35">
        <f t="shared" si="17"/>
        <v>12.214600000000001</v>
      </c>
      <c r="G52" s="35">
        <v>0.4</v>
      </c>
      <c r="H52" s="455">
        <v>0.15</v>
      </c>
      <c r="I52" s="455">
        <f t="shared" si="18"/>
        <v>0.73287600000000008</v>
      </c>
      <c r="J52" s="30">
        <v>12214.6</v>
      </c>
      <c r="O52" s="32"/>
      <c r="P52" s="32"/>
    </row>
    <row r="53" spans="2:16" s="31" customFormat="1">
      <c r="B53" s="197"/>
      <c r="C53" s="34"/>
      <c r="D53" s="455"/>
      <c r="E53" s="35">
        <v>1</v>
      </c>
      <c r="F53" s="35">
        <f t="shared" si="17"/>
        <v>12.5692</v>
      </c>
      <c r="G53" s="35">
        <v>0.4</v>
      </c>
      <c r="H53" s="455">
        <v>0.15</v>
      </c>
      <c r="I53" s="455">
        <f t="shared" si="18"/>
        <v>0.75415200000000004</v>
      </c>
      <c r="J53" s="30">
        <v>12569.2</v>
      </c>
      <c r="O53" s="32"/>
      <c r="P53" s="32"/>
    </row>
    <row r="54" spans="2:16" s="31" customFormat="1">
      <c r="B54" s="197"/>
      <c r="C54" s="35" t="s">
        <v>99</v>
      </c>
      <c r="D54" s="455"/>
      <c r="E54" s="35"/>
      <c r="F54" s="455"/>
      <c r="G54" s="455"/>
      <c r="H54" s="455"/>
      <c r="I54" s="455"/>
      <c r="J54" s="30"/>
      <c r="O54" s="32"/>
      <c r="P54" s="32"/>
    </row>
    <row r="55" spans="2:16" s="31" customFormat="1">
      <c r="B55" s="197" t="s">
        <v>35</v>
      </c>
      <c r="C55" s="35" t="s">
        <v>167</v>
      </c>
      <c r="D55" s="35"/>
      <c r="E55" s="35">
        <v>1</v>
      </c>
      <c r="F55" s="35">
        <f>J55/1000</f>
        <v>50.070599999999999</v>
      </c>
      <c r="G55" s="35">
        <v>0.4</v>
      </c>
      <c r="H55" s="455">
        <v>0.15</v>
      </c>
      <c r="I55" s="455">
        <f>PRODUCT(E55:H55)</f>
        <v>3.0042360000000001</v>
      </c>
      <c r="J55" s="30">
        <v>50070.6</v>
      </c>
      <c r="O55" s="32"/>
      <c r="P55" s="32"/>
    </row>
    <row r="56" spans="2:16" s="31" customFormat="1">
      <c r="B56" s="197"/>
      <c r="C56" s="35"/>
      <c r="D56" s="35"/>
      <c r="E56" s="35">
        <v>1</v>
      </c>
      <c r="F56" s="35">
        <f>J56/1000</f>
        <v>18.730400000000003</v>
      </c>
      <c r="G56" s="35">
        <v>0.4</v>
      </c>
      <c r="H56" s="455">
        <v>0.15</v>
      </c>
      <c r="I56" s="455">
        <f>PRODUCT(E56:H56)</f>
        <v>1.1238240000000002</v>
      </c>
      <c r="J56" s="30">
        <v>18730.400000000001</v>
      </c>
      <c r="O56" s="32"/>
      <c r="P56" s="32"/>
    </row>
    <row r="57" spans="2:16" s="393" customFormat="1">
      <c r="B57" s="394"/>
      <c r="C57" s="395" t="s">
        <v>426</v>
      </c>
      <c r="D57" s="456"/>
      <c r="E57" s="395"/>
      <c r="F57" s="395"/>
      <c r="G57" s="395"/>
      <c r="H57" s="456"/>
      <c r="I57" s="456"/>
      <c r="J57" s="397"/>
      <c r="O57" s="398"/>
      <c r="P57" s="398"/>
    </row>
    <row r="58" spans="2:16" s="393" customFormat="1">
      <c r="B58" s="394" t="s">
        <v>35</v>
      </c>
      <c r="C58" s="395" t="s">
        <v>439</v>
      </c>
      <c r="D58" s="395"/>
      <c r="E58" s="395">
        <v>1</v>
      </c>
      <c r="F58" s="836">
        <f>J58/1000000</f>
        <v>52.525888700000003</v>
      </c>
      <c r="G58" s="836"/>
      <c r="H58" s="456">
        <v>0.15</v>
      </c>
      <c r="I58" s="456">
        <f>PRODUCT(E58:H58)</f>
        <v>7.8788833050000004</v>
      </c>
      <c r="J58" s="397">
        <v>52525888.700000003</v>
      </c>
      <c r="O58" s="398"/>
      <c r="P58" s="398"/>
    </row>
    <row r="59" spans="2:16" s="393" customFormat="1">
      <c r="B59" s="394" t="s">
        <v>36</v>
      </c>
      <c r="C59" s="395" t="s">
        <v>440</v>
      </c>
      <c r="D59" s="395"/>
      <c r="E59" s="395">
        <v>1</v>
      </c>
      <c r="F59" s="836">
        <f>J59/1000000</f>
        <v>97.235765000000001</v>
      </c>
      <c r="G59" s="836"/>
      <c r="H59" s="456">
        <v>0.15</v>
      </c>
      <c r="I59" s="456">
        <f>PRODUCT(E59:H59)</f>
        <v>14.58536475</v>
      </c>
      <c r="J59" s="397">
        <v>97235765</v>
      </c>
      <c r="O59" s="398"/>
      <c r="P59" s="398"/>
    </row>
    <row r="60" spans="2:16" s="393" customFormat="1">
      <c r="B60" s="394"/>
      <c r="C60" s="395" t="s">
        <v>485</v>
      </c>
      <c r="D60" s="395"/>
      <c r="E60" s="395">
        <v>-1</v>
      </c>
      <c r="F60" s="456">
        <v>3</v>
      </c>
      <c r="G60" s="456">
        <v>1.2</v>
      </c>
      <c r="H60" s="456">
        <v>0.15</v>
      </c>
      <c r="I60" s="456">
        <f>PRODUCT(E60:H60)</f>
        <v>-0.53999999999999992</v>
      </c>
      <c r="J60" s="397"/>
      <c r="O60" s="398"/>
      <c r="P60" s="398"/>
    </row>
    <row r="61" spans="2:16" s="393" customFormat="1">
      <c r="B61" s="394" t="s">
        <v>37</v>
      </c>
      <c r="C61" s="395" t="s">
        <v>435</v>
      </c>
      <c r="D61" s="395"/>
      <c r="E61" s="395">
        <v>1</v>
      </c>
      <c r="F61" s="836">
        <f>J61/(1000*1000)</f>
        <v>216.52101200000001</v>
      </c>
      <c r="G61" s="836"/>
      <c r="H61" s="456">
        <v>0.15</v>
      </c>
      <c r="I61" s="456">
        <f>PRODUCT(E61:H61)</f>
        <v>32.478151799999999</v>
      </c>
      <c r="J61" s="404">
        <v>216521012</v>
      </c>
      <c r="O61" s="398"/>
      <c r="P61" s="398"/>
    </row>
    <row r="62" spans="2:16" s="393" customFormat="1">
      <c r="B62" s="394"/>
      <c r="C62" s="395" t="s">
        <v>560</v>
      </c>
      <c r="D62" s="395"/>
      <c r="E62" s="395"/>
      <c r="F62" s="836"/>
      <c r="G62" s="836"/>
      <c r="H62" s="396"/>
      <c r="I62" s="677"/>
      <c r="J62" s="397"/>
      <c r="O62" s="398"/>
      <c r="P62" s="398"/>
    </row>
    <row r="63" spans="2:16" s="393" customFormat="1">
      <c r="B63" s="394" t="s">
        <v>558</v>
      </c>
      <c r="C63" s="395" t="s">
        <v>550</v>
      </c>
      <c r="D63" s="395"/>
      <c r="E63" s="395">
        <v>1</v>
      </c>
      <c r="F63" s="836">
        <f>J63/1000000</f>
        <v>393.8506782</v>
      </c>
      <c r="G63" s="836"/>
      <c r="H63" s="396">
        <v>0.15</v>
      </c>
      <c r="I63" s="677">
        <f>PRODUCT(E63:H63)</f>
        <v>59.077601729999998</v>
      </c>
      <c r="J63" s="397">
        <v>393850678.19999999</v>
      </c>
      <c r="O63" s="398"/>
      <c r="P63" s="398"/>
    </row>
    <row r="64" spans="2:16" s="393" customFormat="1">
      <c r="B64" s="394" t="s">
        <v>36</v>
      </c>
      <c r="C64" s="395" t="s">
        <v>590</v>
      </c>
      <c r="D64" s="395"/>
      <c r="E64" s="395">
        <v>1</v>
      </c>
      <c r="F64" s="836">
        <f>J64/1000000</f>
        <v>55.017173499999998</v>
      </c>
      <c r="G64" s="836"/>
      <c r="H64" s="396">
        <v>0.1</v>
      </c>
      <c r="I64" s="677">
        <f t="shared" ref="I64" si="19">PRODUCT(E64:H64)</f>
        <v>5.5017173499999998</v>
      </c>
      <c r="J64" s="397">
        <v>55017173.5</v>
      </c>
      <c r="O64" s="398"/>
      <c r="P64" s="398"/>
    </row>
    <row r="65" spans="2:16" s="393" customFormat="1">
      <c r="B65" s="394" t="s">
        <v>37</v>
      </c>
      <c r="C65" s="395" t="s">
        <v>604</v>
      </c>
      <c r="D65" s="395"/>
      <c r="E65" s="395">
        <v>1</v>
      </c>
      <c r="F65" s="836">
        <f>J65/1000000</f>
        <v>43.245086999999998</v>
      </c>
      <c r="G65" s="836"/>
      <c r="H65" s="396">
        <v>0.15</v>
      </c>
      <c r="I65" s="677">
        <f>PRODUCT(E65:H65)</f>
        <v>6.4867630499999995</v>
      </c>
      <c r="J65" s="397">
        <v>43245087</v>
      </c>
      <c r="O65" s="398"/>
      <c r="P65" s="398"/>
    </row>
    <row r="66" spans="2:16" s="393" customFormat="1">
      <c r="B66" s="394" t="s">
        <v>152</v>
      </c>
      <c r="C66" s="395" t="s">
        <v>603</v>
      </c>
      <c r="D66" s="395"/>
      <c r="E66" s="395">
        <v>1</v>
      </c>
      <c r="F66" s="836">
        <f>J66/1000000</f>
        <v>202.67980119999999</v>
      </c>
      <c r="G66" s="836"/>
      <c r="H66" s="396">
        <v>0.15</v>
      </c>
      <c r="I66" s="677">
        <f t="shared" ref="I66:I68" si="20">PRODUCT(E66:H66)</f>
        <v>30.401970179999996</v>
      </c>
      <c r="J66" s="397">
        <v>202679801.19999999</v>
      </c>
      <c r="O66" s="398"/>
      <c r="P66" s="398"/>
    </row>
    <row r="67" spans="2:16" s="424" customFormat="1" ht="15">
      <c r="B67" s="99"/>
      <c r="C67" s="100" t="s">
        <v>634</v>
      </c>
      <c r="D67" s="100"/>
      <c r="E67" s="100"/>
      <c r="F67" s="695"/>
      <c r="G67" s="695"/>
      <c r="H67" s="105"/>
      <c r="I67" s="695"/>
      <c r="J67" s="101"/>
      <c r="O67" s="686"/>
      <c r="P67" s="686"/>
    </row>
    <row r="68" spans="2:16" s="424" customFormat="1" ht="15" customHeight="1">
      <c r="B68" s="99"/>
      <c r="C68" s="100" t="s">
        <v>641</v>
      </c>
      <c r="D68" s="100"/>
      <c r="E68" s="100">
        <v>1</v>
      </c>
      <c r="F68" s="838">
        <f>J68/1000000</f>
        <v>26.074123199999999</v>
      </c>
      <c r="G68" s="839"/>
      <c r="H68" s="105">
        <v>0.15</v>
      </c>
      <c r="I68" s="695">
        <f t="shared" si="20"/>
        <v>3.9111184799999998</v>
      </c>
      <c r="J68" s="101">
        <v>26074123.199999999</v>
      </c>
      <c r="O68" s="686"/>
      <c r="P68" s="686"/>
    </row>
    <row r="69" spans="2:16" s="28" customFormat="1" ht="15">
      <c r="B69" s="41"/>
      <c r="C69" s="42" t="s">
        <v>26</v>
      </c>
      <c r="D69" s="42"/>
      <c r="E69" s="42"/>
      <c r="F69" s="42"/>
      <c r="G69" s="42"/>
      <c r="H69" s="42"/>
      <c r="I69" s="42">
        <f>SUM(I14:I68)</f>
        <v>943.03721852500007</v>
      </c>
      <c r="J69" s="43" t="s">
        <v>28</v>
      </c>
      <c r="O69" s="29"/>
      <c r="P69" s="29"/>
    </row>
    <row r="70" spans="2:16" s="26" customFormat="1">
      <c r="B70" s="36"/>
      <c r="C70" s="37"/>
      <c r="D70" s="37"/>
      <c r="E70" s="37"/>
      <c r="F70" s="37"/>
      <c r="G70" s="37"/>
      <c r="H70" s="37"/>
      <c r="I70" s="37"/>
      <c r="J70" s="38"/>
      <c r="O70" s="25"/>
      <c r="P70" s="25"/>
    </row>
    <row r="71" spans="2:16" s="31" customFormat="1" ht="105">
      <c r="B71" s="27">
        <f>'Abstract '!A16</f>
        <v>50</v>
      </c>
      <c r="C71" s="33" t="str">
        <f>'Abstract '!B16</f>
        <v>LAND_FIX_CONCRETE KERBS
Precast Concrete Kerb 
Receiving and fixing of Precast Concrete kerbs of size 150mm thick of approved make, on cement concrete base of 1:3:6 mix as per dwg, cost including all materials at site, necessary earth excavation, all labour Charges and other necessary charges all as per drawings.
Location- Along Driveway</v>
      </c>
      <c r="D71" s="455" t="s">
        <v>46</v>
      </c>
      <c r="E71" s="455"/>
      <c r="F71" s="455"/>
      <c r="G71" s="455"/>
      <c r="H71" s="455"/>
      <c r="I71" s="455"/>
      <c r="J71" s="30"/>
      <c r="O71" s="32"/>
      <c r="P71" s="32"/>
    </row>
    <row r="72" spans="2:16" s="31" customFormat="1">
      <c r="B72" s="197"/>
      <c r="C72" s="34" t="s">
        <v>8</v>
      </c>
      <c r="D72" s="455"/>
      <c r="E72" s="455"/>
      <c r="F72" s="455"/>
      <c r="G72" s="455"/>
      <c r="H72" s="455"/>
      <c r="I72" s="455"/>
      <c r="J72" s="30"/>
      <c r="O72" s="32"/>
      <c r="P72" s="32"/>
    </row>
    <row r="73" spans="2:16" s="31" customFormat="1">
      <c r="B73" s="197" t="s">
        <v>36</v>
      </c>
      <c r="C73" s="34" t="s">
        <v>38</v>
      </c>
      <c r="D73" s="455"/>
      <c r="E73" s="35">
        <v>1</v>
      </c>
      <c r="F73" s="35">
        <f>J73/1000</f>
        <v>169.79520000000002</v>
      </c>
      <c r="G73" s="35"/>
      <c r="H73" s="455"/>
      <c r="I73" s="455">
        <f>PRODUCT(E73:H73)</f>
        <v>169.79520000000002</v>
      </c>
      <c r="J73" s="30">
        <v>169795.20000000001</v>
      </c>
      <c r="O73" s="32"/>
      <c r="P73" s="32"/>
    </row>
    <row r="74" spans="2:16" s="31" customFormat="1">
      <c r="B74" s="197"/>
      <c r="C74" s="34" t="s">
        <v>148</v>
      </c>
      <c r="D74" s="455"/>
      <c r="E74" s="35"/>
      <c r="F74" s="35"/>
      <c r="G74" s="35"/>
      <c r="H74" s="455"/>
      <c r="I74" s="455"/>
      <c r="J74" s="30"/>
      <c r="O74" s="32"/>
      <c r="P74" s="32"/>
    </row>
    <row r="75" spans="2:16" s="31" customFormat="1">
      <c r="B75" s="197" t="s">
        <v>36</v>
      </c>
      <c r="C75" s="34" t="s">
        <v>151</v>
      </c>
      <c r="D75" s="455"/>
      <c r="E75" s="35">
        <v>1</v>
      </c>
      <c r="F75" s="35">
        <f t="shared" ref="F75:F76" si="21">J75/1000</f>
        <v>51.813300000000005</v>
      </c>
      <c r="G75" s="35"/>
      <c r="H75" s="455"/>
      <c r="I75" s="455">
        <f t="shared" ref="I75:I81" si="22">PRODUCT(E75:H75)</f>
        <v>51.813300000000005</v>
      </c>
      <c r="J75" s="30">
        <v>51813.3</v>
      </c>
      <c r="O75" s="32"/>
      <c r="P75" s="32"/>
    </row>
    <row r="76" spans="2:16" s="31" customFormat="1">
      <c r="B76" s="197"/>
      <c r="C76" s="34"/>
      <c r="D76" s="455"/>
      <c r="E76" s="35">
        <v>1</v>
      </c>
      <c r="F76" s="35">
        <f t="shared" si="21"/>
        <v>20.544400000000003</v>
      </c>
      <c r="G76" s="35"/>
      <c r="H76" s="455"/>
      <c r="I76" s="455">
        <f t="shared" si="22"/>
        <v>20.544400000000003</v>
      </c>
      <c r="J76" s="30">
        <v>20544.400000000001</v>
      </c>
      <c r="O76" s="32"/>
      <c r="P76" s="32"/>
    </row>
    <row r="77" spans="2:16" s="31" customFormat="1">
      <c r="B77" s="197" t="s">
        <v>37</v>
      </c>
      <c r="C77" s="34" t="s">
        <v>150</v>
      </c>
      <c r="D77" s="455"/>
      <c r="E77" s="35">
        <v>1</v>
      </c>
      <c r="F77" s="35">
        <f>J77/1000-10</f>
        <v>83.3172</v>
      </c>
      <c r="G77" s="35"/>
      <c r="H77" s="455"/>
      <c r="I77" s="455">
        <f t="shared" si="22"/>
        <v>83.3172</v>
      </c>
      <c r="J77" s="30">
        <v>93317.2</v>
      </c>
      <c r="O77" s="32"/>
      <c r="P77" s="32"/>
    </row>
    <row r="78" spans="2:16" s="31" customFormat="1">
      <c r="B78" s="197" t="s">
        <v>152</v>
      </c>
      <c r="C78" s="34" t="s">
        <v>153</v>
      </c>
      <c r="D78" s="455"/>
      <c r="E78" s="35">
        <v>1</v>
      </c>
      <c r="F78" s="35">
        <f>J78/1000</f>
        <v>132.92589999999998</v>
      </c>
      <c r="G78" s="35"/>
      <c r="H78" s="455"/>
      <c r="I78" s="455">
        <f t="shared" si="22"/>
        <v>132.92589999999998</v>
      </c>
      <c r="J78" s="30">
        <v>132925.9</v>
      </c>
      <c r="O78" s="32"/>
      <c r="P78" s="32"/>
    </row>
    <row r="79" spans="2:16" s="31" customFormat="1">
      <c r="B79" s="197" t="s">
        <v>154</v>
      </c>
      <c r="C79" s="34" t="s">
        <v>155</v>
      </c>
      <c r="D79" s="455"/>
      <c r="E79" s="35">
        <v>1</v>
      </c>
      <c r="F79" s="35">
        <f>J79/1000</f>
        <v>259.62079999999997</v>
      </c>
      <c r="G79" s="35"/>
      <c r="H79" s="455"/>
      <c r="I79" s="455">
        <f t="shared" si="22"/>
        <v>259.62079999999997</v>
      </c>
      <c r="J79" s="30">
        <v>259620.8</v>
      </c>
      <c r="O79" s="32"/>
      <c r="P79" s="32"/>
    </row>
    <row r="80" spans="2:16" s="31" customFormat="1">
      <c r="B80" s="197" t="s">
        <v>156</v>
      </c>
      <c r="C80" s="34" t="s">
        <v>158</v>
      </c>
      <c r="D80" s="455"/>
      <c r="E80" s="35">
        <v>1</v>
      </c>
      <c r="F80" s="35">
        <f>J80/1000</f>
        <v>20.790200000000002</v>
      </c>
      <c r="G80" s="35"/>
      <c r="H80" s="455"/>
      <c r="I80" s="455">
        <f t="shared" si="22"/>
        <v>20.790200000000002</v>
      </c>
      <c r="J80" s="30">
        <v>20790.2</v>
      </c>
      <c r="O80" s="32"/>
      <c r="P80" s="32"/>
    </row>
    <row r="81" spans="1:16" s="31" customFormat="1">
      <c r="B81" s="197"/>
      <c r="C81" s="34"/>
      <c r="D81" s="455"/>
      <c r="E81" s="35">
        <v>1</v>
      </c>
      <c r="F81" s="35">
        <f>J81/1000</f>
        <v>56.008199999999995</v>
      </c>
      <c r="G81" s="35"/>
      <c r="H81" s="455"/>
      <c r="I81" s="455">
        <f t="shared" si="22"/>
        <v>56.008199999999995</v>
      </c>
      <c r="J81" s="30">
        <v>56008.2</v>
      </c>
      <c r="O81" s="32"/>
      <c r="P81" s="32"/>
    </row>
    <row r="82" spans="1:16" s="393" customFormat="1">
      <c r="B82" s="394"/>
      <c r="C82" s="401" t="s">
        <v>426</v>
      </c>
      <c r="D82" s="456"/>
      <c r="E82" s="395"/>
      <c r="F82" s="395"/>
      <c r="G82" s="395"/>
      <c r="H82" s="456"/>
      <c r="I82" s="456"/>
      <c r="J82" s="397"/>
      <c r="O82" s="398"/>
      <c r="P82" s="398"/>
    </row>
    <row r="83" spans="1:16" s="395" customFormat="1">
      <c r="A83" s="402"/>
      <c r="B83" s="453" t="s">
        <v>35</v>
      </c>
      <c r="C83" s="395" t="s">
        <v>434</v>
      </c>
      <c r="E83" s="395">
        <v>1</v>
      </c>
      <c r="F83" s="395">
        <f>J83/1000</f>
        <v>9.7899999999999991</v>
      </c>
      <c r="I83" s="456">
        <f t="shared" ref="I83:I92" si="23">PRODUCT(E83:H83)</f>
        <v>9.7899999999999991</v>
      </c>
      <c r="J83" s="404">
        <f>9.79*1000</f>
        <v>9790</v>
      </c>
      <c r="K83" s="454"/>
    </row>
    <row r="84" spans="1:16" s="395" customFormat="1">
      <c r="A84" s="402"/>
      <c r="B84" s="453" t="s">
        <v>37</v>
      </c>
      <c r="C84" s="395" t="s">
        <v>435</v>
      </c>
      <c r="E84" s="395">
        <v>1</v>
      </c>
      <c r="F84" s="395">
        <f>J84/1000</f>
        <v>49.908699999999996</v>
      </c>
      <c r="I84" s="456">
        <f t="shared" si="23"/>
        <v>49.908699999999996</v>
      </c>
      <c r="J84" s="404">
        <v>49908.7</v>
      </c>
      <c r="K84" s="454"/>
    </row>
    <row r="85" spans="1:16" s="393" customFormat="1">
      <c r="B85" s="394"/>
      <c r="C85" s="395" t="s">
        <v>554</v>
      </c>
      <c r="D85" s="395"/>
      <c r="E85" s="395"/>
      <c r="F85" s="836"/>
      <c r="G85" s="836"/>
      <c r="H85" s="396"/>
      <c r="I85" s="677"/>
      <c r="J85" s="397"/>
      <c r="O85" s="398"/>
      <c r="P85" s="398"/>
    </row>
    <row r="86" spans="1:16" s="393" customFormat="1">
      <c r="B86" s="394" t="s">
        <v>35</v>
      </c>
      <c r="C86" s="395" t="s">
        <v>563</v>
      </c>
      <c r="D86" s="395"/>
      <c r="E86" s="395">
        <v>1</v>
      </c>
      <c r="F86" s="836">
        <f>J86/1000</f>
        <v>27.011900000000001</v>
      </c>
      <c r="G86" s="836"/>
      <c r="H86" s="396"/>
      <c r="I86" s="677">
        <f t="shared" si="23"/>
        <v>27.011900000000001</v>
      </c>
      <c r="J86" s="397">
        <v>27011.9</v>
      </c>
      <c r="O86" s="398"/>
      <c r="P86" s="398"/>
    </row>
    <row r="87" spans="1:16" s="393" customFormat="1">
      <c r="B87" s="394" t="s">
        <v>36</v>
      </c>
      <c r="C87" s="395" t="s">
        <v>155</v>
      </c>
      <c r="D87" s="395"/>
      <c r="E87" s="395">
        <v>2</v>
      </c>
      <c r="F87" s="836">
        <f>J87/1000</f>
        <v>27.092099999999999</v>
      </c>
      <c r="G87" s="836"/>
      <c r="H87" s="396"/>
      <c r="I87" s="677">
        <f t="shared" si="23"/>
        <v>54.184199999999997</v>
      </c>
      <c r="J87" s="397">
        <v>27092.1</v>
      </c>
      <c r="O87" s="398"/>
      <c r="P87" s="398"/>
    </row>
    <row r="88" spans="1:16" s="393" customFormat="1">
      <c r="B88" s="394" t="s">
        <v>37</v>
      </c>
      <c r="C88" s="395" t="s">
        <v>434</v>
      </c>
      <c r="D88" s="395"/>
      <c r="E88" s="395">
        <v>1</v>
      </c>
      <c r="F88" s="836">
        <f>J88/1000</f>
        <v>8.2681000000000004</v>
      </c>
      <c r="G88" s="836"/>
      <c r="H88" s="396"/>
      <c r="I88" s="677">
        <f t="shared" si="23"/>
        <v>8.2681000000000004</v>
      </c>
      <c r="J88" s="397">
        <v>8268.1</v>
      </c>
      <c r="O88" s="398"/>
      <c r="P88" s="398"/>
    </row>
    <row r="89" spans="1:16" s="393" customFormat="1">
      <c r="B89" s="394" t="s">
        <v>154</v>
      </c>
      <c r="C89" s="395" t="s">
        <v>565</v>
      </c>
      <c r="D89" s="395"/>
      <c r="E89" s="395">
        <v>1</v>
      </c>
      <c r="F89" s="836">
        <f>J89/1000</f>
        <v>16.362299999999998</v>
      </c>
      <c r="G89" s="836"/>
      <c r="H89" s="396"/>
      <c r="I89" s="677">
        <f t="shared" si="23"/>
        <v>16.362299999999998</v>
      </c>
      <c r="J89" s="397">
        <v>16362.3</v>
      </c>
      <c r="O89" s="398"/>
      <c r="P89" s="398"/>
    </row>
    <row r="90" spans="1:16" s="393" customFormat="1">
      <c r="B90" s="394" t="s">
        <v>156</v>
      </c>
      <c r="C90" s="395" t="s">
        <v>566</v>
      </c>
      <c r="D90" s="395"/>
      <c r="E90" s="395">
        <v>1</v>
      </c>
      <c r="F90" s="836">
        <f t="shared" ref="F90" si="24">J90/1000</f>
        <v>28.079799999999999</v>
      </c>
      <c r="G90" s="836"/>
      <c r="H90" s="396"/>
      <c r="I90" s="677">
        <f t="shared" si="23"/>
        <v>28.079799999999999</v>
      </c>
      <c r="J90" s="397">
        <v>28079.8</v>
      </c>
      <c r="O90" s="398"/>
      <c r="P90" s="398"/>
    </row>
    <row r="91" spans="1:16" s="393" customFormat="1">
      <c r="B91" s="394" t="s">
        <v>160</v>
      </c>
      <c r="C91" s="395" t="s">
        <v>568</v>
      </c>
      <c r="D91" s="395"/>
      <c r="E91" s="395">
        <v>1</v>
      </c>
      <c r="F91" s="836">
        <f t="shared" ref="F91:F92" si="25">J91/1000</f>
        <v>42.337699999999998</v>
      </c>
      <c r="G91" s="836"/>
      <c r="H91" s="396"/>
      <c r="I91" s="677">
        <f t="shared" si="23"/>
        <v>42.337699999999998</v>
      </c>
      <c r="J91" s="397">
        <v>42337.7</v>
      </c>
      <c r="O91" s="398"/>
      <c r="P91" s="398"/>
    </row>
    <row r="92" spans="1:16" s="393" customFormat="1">
      <c r="B92" s="394" t="s">
        <v>162</v>
      </c>
      <c r="C92" s="395" t="s">
        <v>573</v>
      </c>
      <c r="D92" s="395"/>
      <c r="E92" s="395">
        <v>1</v>
      </c>
      <c r="F92" s="836">
        <f t="shared" si="25"/>
        <v>51.085699999999996</v>
      </c>
      <c r="G92" s="836"/>
      <c r="H92" s="396"/>
      <c r="I92" s="677">
        <f t="shared" si="23"/>
        <v>51.085699999999996</v>
      </c>
      <c r="J92" s="397">
        <v>51085.7</v>
      </c>
      <c r="O92" s="398"/>
      <c r="P92" s="398"/>
    </row>
    <row r="93" spans="1:16" s="393" customFormat="1">
      <c r="B93" s="394" t="s">
        <v>605</v>
      </c>
      <c r="C93" s="395" t="s">
        <v>606</v>
      </c>
      <c r="D93" s="395"/>
      <c r="E93" s="395">
        <v>1</v>
      </c>
      <c r="F93" s="836">
        <f t="shared" ref="F93" si="26">J93/1000</f>
        <v>7.3372000000000002</v>
      </c>
      <c r="G93" s="836"/>
      <c r="H93" s="396"/>
      <c r="I93" s="677">
        <f t="shared" ref="I93:I95" si="27">PRODUCT(E93:H93)</f>
        <v>7.3372000000000002</v>
      </c>
      <c r="J93" s="397">
        <v>7337.2</v>
      </c>
      <c r="O93" s="398"/>
      <c r="P93" s="398"/>
    </row>
    <row r="94" spans="1:16" s="424" customFormat="1" ht="15">
      <c r="B94" s="99"/>
      <c r="C94" s="100" t="s">
        <v>634</v>
      </c>
      <c r="D94" s="100"/>
      <c r="E94" s="100"/>
      <c r="F94" s="691"/>
      <c r="G94" s="691"/>
      <c r="H94" s="105"/>
      <c r="I94" s="691"/>
      <c r="J94" s="101"/>
      <c r="O94" s="686"/>
      <c r="P94" s="686"/>
    </row>
    <row r="95" spans="1:16" s="424" customFormat="1" ht="15">
      <c r="B95" s="99" t="s">
        <v>35</v>
      </c>
      <c r="C95" s="100" t="s">
        <v>640</v>
      </c>
      <c r="D95" s="100"/>
      <c r="E95" s="100">
        <v>1</v>
      </c>
      <c r="F95" s="691">
        <v>22.66</v>
      </c>
      <c r="G95" s="691"/>
      <c r="H95" s="105"/>
      <c r="I95" s="691">
        <f t="shared" si="27"/>
        <v>22.66</v>
      </c>
      <c r="J95" s="101"/>
      <c r="O95" s="686"/>
      <c r="P95" s="686"/>
    </row>
    <row r="96" spans="1:16" s="28" customFormat="1" ht="15">
      <c r="B96" s="41"/>
      <c r="C96" s="42" t="s">
        <v>26</v>
      </c>
      <c r="D96" s="42"/>
      <c r="E96" s="42"/>
      <c r="F96" s="42"/>
      <c r="G96" s="42"/>
      <c r="H96" s="42"/>
      <c r="I96" s="42">
        <f>SUM(I73:I95)</f>
        <v>1111.8407999999999</v>
      </c>
      <c r="J96" s="43" t="s">
        <v>46</v>
      </c>
      <c r="O96" s="29"/>
      <c r="P96" s="29"/>
    </row>
    <row r="97" spans="2:16" s="28" customFormat="1" ht="15">
      <c r="B97" s="27"/>
      <c r="C97" s="52"/>
      <c r="D97" s="52"/>
      <c r="E97" s="52"/>
      <c r="F97" s="52"/>
      <c r="G97" s="52"/>
      <c r="H97" s="52"/>
      <c r="I97" s="52"/>
      <c r="J97" s="53"/>
      <c r="O97" s="29"/>
      <c r="P97" s="29"/>
    </row>
    <row r="98" spans="2:16" s="31" customFormat="1" ht="120">
      <c r="B98" s="27">
        <f>'Abstract '!A17</f>
        <v>60</v>
      </c>
      <c r="C98" s="33" t="str">
        <f>'Abstract '!B17</f>
        <v>LAND_FIX_FLUSH KERBS
Flush Kerb
Kerbs: Receiving and fixing of Concrete flush type kerbs of size 100x300x600mm  of approved make with Matte Finish, on cement concrete base of 1:3:6mix as per dwg, cost including all materials at site, necessary earth excavation. all labour charges and other necessary charges all as per drawings.
Location- Along Pedestrian walkway</v>
      </c>
      <c r="D98" s="455" t="s">
        <v>46</v>
      </c>
      <c r="E98" s="455"/>
      <c r="F98" s="455"/>
      <c r="G98" s="455"/>
      <c r="H98" s="455"/>
      <c r="I98" s="455"/>
      <c r="J98" s="30"/>
      <c r="O98" s="32"/>
      <c r="P98" s="32"/>
    </row>
    <row r="99" spans="2:16" s="31" customFormat="1" ht="15">
      <c r="B99" s="27"/>
      <c r="C99" s="34" t="s">
        <v>8</v>
      </c>
      <c r="D99" s="455"/>
      <c r="E99" s="455"/>
      <c r="F99" s="455"/>
      <c r="G99" s="455"/>
      <c r="H99" s="455"/>
      <c r="I99" s="455"/>
      <c r="J99" s="30"/>
      <c r="O99" s="32"/>
      <c r="P99" s="32"/>
    </row>
    <row r="100" spans="2:16" s="31" customFormat="1" ht="15">
      <c r="B100" s="27" t="s">
        <v>35</v>
      </c>
      <c r="C100" s="35" t="s">
        <v>45</v>
      </c>
      <c r="D100" s="35" t="s">
        <v>46</v>
      </c>
      <c r="E100" s="35">
        <v>1</v>
      </c>
      <c r="F100" s="35">
        <f>(J100/1000)-(1.5+2.33)</f>
        <v>278.71480000000003</v>
      </c>
      <c r="G100" s="35"/>
      <c r="H100" s="455"/>
      <c r="I100" s="455">
        <f>PRODUCT(E100:H100)</f>
        <v>278.71480000000003</v>
      </c>
      <c r="J100" s="30">
        <v>282544.8</v>
      </c>
      <c r="O100" s="32"/>
      <c r="P100" s="32"/>
    </row>
    <row r="101" spans="2:16" s="31" customFormat="1">
      <c r="B101" s="197"/>
      <c r="C101" s="34"/>
      <c r="D101" s="35" t="s">
        <v>46</v>
      </c>
      <c r="E101" s="35">
        <v>1</v>
      </c>
      <c r="F101" s="35">
        <f>J101/1000</f>
        <v>23.749599999999997</v>
      </c>
      <c r="G101" s="35"/>
      <c r="H101" s="455"/>
      <c r="I101" s="455">
        <f>PRODUCT(E101:H101)</f>
        <v>23.749599999999997</v>
      </c>
      <c r="J101" s="30">
        <v>23749.599999999999</v>
      </c>
      <c r="O101" s="32"/>
      <c r="P101" s="32"/>
    </row>
    <row r="102" spans="2:16" s="31" customFormat="1">
      <c r="B102" s="197"/>
      <c r="C102" s="34" t="s">
        <v>148</v>
      </c>
      <c r="D102" s="455"/>
      <c r="E102" s="35"/>
      <c r="F102" s="35"/>
      <c r="G102" s="35"/>
      <c r="H102" s="455"/>
      <c r="I102" s="455"/>
      <c r="J102" s="30"/>
      <c r="O102" s="32"/>
      <c r="P102" s="32"/>
    </row>
    <row r="103" spans="2:16" s="31" customFormat="1">
      <c r="B103" s="197" t="s">
        <v>35</v>
      </c>
      <c r="C103" s="34" t="s">
        <v>149</v>
      </c>
      <c r="D103" s="455"/>
      <c r="E103" s="35">
        <v>1</v>
      </c>
      <c r="F103" s="35">
        <f>J103/1000</f>
        <v>51.602499999999999</v>
      </c>
      <c r="G103" s="35"/>
      <c r="H103" s="455"/>
      <c r="I103" s="455">
        <f t="shared" ref="I103:I104" si="28">PRODUCT(E103:H103)</f>
        <v>51.602499999999999</v>
      </c>
      <c r="J103" s="30">
        <v>51602.5</v>
      </c>
      <c r="O103" s="32"/>
      <c r="P103" s="32"/>
    </row>
    <row r="104" spans="2:16" s="31" customFormat="1">
      <c r="B104" s="197"/>
      <c r="C104" s="34"/>
      <c r="D104" s="455"/>
      <c r="E104" s="35">
        <v>1</v>
      </c>
      <c r="F104" s="35">
        <f>J104/1000</f>
        <v>49.174800000000005</v>
      </c>
      <c r="G104" s="35"/>
      <c r="H104" s="455"/>
      <c r="I104" s="455">
        <f t="shared" si="28"/>
        <v>49.174800000000005</v>
      </c>
      <c r="J104" s="30">
        <v>49174.8</v>
      </c>
      <c r="O104" s="32"/>
      <c r="P104" s="32"/>
    </row>
    <row r="105" spans="2:16" s="31" customFormat="1">
      <c r="B105" s="197" t="s">
        <v>157</v>
      </c>
      <c r="C105" s="34" t="s">
        <v>158</v>
      </c>
      <c r="D105" s="455"/>
      <c r="E105" s="35">
        <v>1</v>
      </c>
      <c r="F105" s="35">
        <f>J105/1000</f>
        <v>44.292699999999996</v>
      </c>
      <c r="G105" s="35"/>
      <c r="H105" s="455"/>
      <c r="I105" s="455">
        <f>PRODUCT(E105:H105)</f>
        <v>44.292699999999996</v>
      </c>
      <c r="J105" s="30">
        <v>44292.7</v>
      </c>
      <c r="O105" s="32"/>
      <c r="P105" s="32"/>
    </row>
    <row r="106" spans="2:16" s="31" customFormat="1">
      <c r="B106" s="197"/>
      <c r="C106" s="34"/>
      <c r="D106" s="455"/>
      <c r="E106" s="35">
        <v>1</v>
      </c>
      <c r="F106" s="35">
        <f>J106/1000</f>
        <v>45.683699999999995</v>
      </c>
      <c r="G106" s="35"/>
      <c r="H106" s="455"/>
      <c r="I106" s="455">
        <f>PRODUCT(E106:H106)</f>
        <v>45.683699999999995</v>
      </c>
      <c r="J106" s="30">
        <v>45683.7</v>
      </c>
      <c r="O106" s="32"/>
      <c r="P106" s="32"/>
    </row>
    <row r="107" spans="2:16" s="31" customFormat="1">
      <c r="B107" s="197" t="s">
        <v>159</v>
      </c>
      <c r="C107" s="34" t="s">
        <v>158</v>
      </c>
      <c r="D107" s="455"/>
      <c r="E107" s="35">
        <v>1</v>
      </c>
      <c r="F107" s="35">
        <f t="shared" ref="F107:F108" si="29">J107/1000</f>
        <v>16.7563</v>
      </c>
      <c r="G107" s="35"/>
      <c r="H107" s="455"/>
      <c r="I107" s="455">
        <f t="shared" ref="I107:I108" si="30">PRODUCT(E107:H107)</f>
        <v>16.7563</v>
      </c>
      <c r="J107" s="30">
        <v>16756.3</v>
      </c>
      <c r="O107" s="32"/>
      <c r="P107" s="32"/>
    </row>
    <row r="108" spans="2:16" s="31" customFormat="1">
      <c r="B108" s="197"/>
      <c r="C108" s="34"/>
      <c r="D108" s="455"/>
      <c r="E108" s="35">
        <v>1</v>
      </c>
      <c r="F108" s="35">
        <f t="shared" si="29"/>
        <v>16.606300000000001</v>
      </c>
      <c r="G108" s="35"/>
      <c r="H108" s="455"/>
      <c r="I108" s="455">
        <f t="shared" si="30"/>
        <v>16.606300000000001</v>
      </c>
      <c r="J108" s="30">
        <v>16606.3</v>
      </c>
      <c r="O108" s="32"/>
      <c r="P108" s="32"/>
    </row>
    <row r="109" spans="2:16" s="31" customFormat="1">
      <c r="B109" s="197" t="s">
        <v>160</v>
      </c>
      <c r="C109" s="34" t="s">
        <v>153</v>
      </c>
      <c r="D109" s="455"/>
      <c r="E109" s="35">
        <v>1</v>
      </c>
      <c r="F109" s="35">
        <f t="shared" ref="F109:F112" si="31">J109/1000</f>
        <v>50.041199999999996</v>
      </c>
      <c r="G109" s="35"/>
      <c r="H109" s="455"/>
      <c r="I109" s="455">
        <f t="shared" ref="I109:I112" si="32">PRODUCT(E109:H109)</f>
        <v>50.041199999999996</v>
      </c>
      <c r="J109" s="30">
        <v>50041.2</v>
      </c>
      <c r="O109" s="32"/>
      <c r="P109" s="32"/>
    </row>
    <row r="110" spans="2:16" s="31" customFormat="1">
      <c r="B110" s="197"/>
      <c r="C110" s="34"/>
      <c r="D110" s="455"/>
      <c r="E110" s="35">
        <v>1</v>
      </c>
      <c r="F110" s="35">
        <f t="shared" si="31"/>
        <v>50.104300000000002</v>
      </c>
      <c r="G110" s="35"/>
      <c r="H110" s="455"/>
      <c r="I110" s="455">
        <f t="shared" si="32"/>
        <v>50.104300000000002</v>
      </c>
      <c r="J110" s="30">
        <v>50104.3</v>
      </c>
      <c r="O110" s="32"/>
      <c r="P110" s="32"/>
    </row>
    <row r="111" spans="2:16" s="31" customFormat="1">
      <c r="B111" s="197" t="s">
        <v>161</v>
      </c>
      <c r="C111" s="34" t="s">
        <v>151</v>
      </c>
      <c r="D111" s="455"/>
      <c r="E111" s="35">
        <v>1</v>
      </c>
      <c r="F111" s="35">
        <f t="shared" si="31"/>
        <v>59.816600000000001</v>
      </c>
      <c r="G111" s="35"/>
      <c r="H111" s="455"/>
      <c r="I111" s="455">
        <f t="shared" si="32"/>
        <v>59.816600000000001</v>
      </c>
      <c r="J111" s="30">
        <v>59816.6</v>
      </c>
      <c r="O111" s="32"/>
      <c r="P111" s="32"/>
    </row>
    <row r="112" spans="2:16" s="31" customFormat="1">
      <c r="B112" s="197"/>
      <c r="C112" s="34"/>
      <c r="D112" s="455"/>
      <c r="E112" s="35">
        <v>1</v>
      </c>
      <c r="F112" s="35">
        <f t="shared" si="31"/>
        <v>52.378699999999995</v>
      </c>
      <c r="G112" s="35"/>
      <c r="H112" s="455"/>
      <c r="I112" s="455">
        <f t="shared" si="32"/>
        <v>52.378699999999995</v>
      </c>
      <c r="J112" s="30">
        <v>52378.7</v>
      </c>
      <c r="O112" s="32"/>
      <c r="P112" s="32"/>
    </row>
    <row r="113" spans="1:19" s="31" customFormat="1">
      <c r="B113" s="197" t="s">
        <v>162</v>
      </c>
      <c r="C113" s="34" t="s">
        <v>151</v>
      </c>
      <c r="D113" s="455"/>
      <c r="E113" s="35">
        <v>1</v>
      </c>
      <c r="F113" s="35">
        <f t="shared" ref="F113:F114" si="33">J113/1000</f>
        <v>12.214600000000001</v>
      </c>
      <c r="G113" s="35"/>
      <c r="H113" s="455"/>
      <c r="I113" s="455">
        <f t="shared" ref="I113:I114" si="34">PRODUCT(E113:H113)</f>
        <v>12.214600000000001</v>
      </c>
      <c r="J113" s="30">
        <v>12214.6</v>
      </c>
      <c r="O113" s="32"/>
      <c r="P113" s="32"/>
    </row>
    <row r="114" spans="1:19" s="31" customFormat="1">
      <c r="B114" s="197"/>
      <c r="C114" s="34"/>
      <c r="D114" s="455"/>
      <c r="E114" s="35">
        <v>1</v>
      </c>
      <c r="F114" s="35">
        <f t="shared" si="33"/>
        <v>12.5692</v>
      </c>
      <c r="G114" s="35"/>
      <c r="H114" s="455"/>
      <c r="I114" s="455">
        <f t="shared" si="34"/>
        <v>12.5692</v>
      </c>
      <c r="J114" s="30">
        <v>12569.2</v>
      </c>
      <c r="O114" s="32"/>
      <c r="P114" s="32"/>
    </row>
    <row r="115" spans="1:19" s="393" customFormat="1">
      <c r="B115" s="394"/>
      <c r="C115" s="401" t="s">
        <v>426</v>
      </c>
      <c r="D115" s="456"/>
      <c r="E115" s="395"/>
      <c r="F115" s="395"/>
      <c r="G115" s="395"/>
      <c r="H115" s="456"/>
      <c r="I115" s="456"/>
      <c r="J115" s="399"/>
    </row>
    <row r="116" spans="1:19" s="395" customFormat="1">
      <c r="A116" s="402"/>
      <c r="B116" s="453" t="s">
        <v>36</v>
      </c>
      <c r="C116" s="395" t="s">
        <v>436</v>
      </c>
      <c r="E116" s="395">
        <v>1</v>
      </c>
      <c r="F116" s="395">
        <f>J116/1000</f>
        <v>9.6128999999999998</v>
      </c>
      <c r="I116" s="456">
        <f>PRODUCT(E116:H116)</f>
        <v>9.6128999999999998</v>
      </c>
      <c r="J116" s="397">
        <v>9612.9</v>
      </c>
      <c r="K116" s="393"/>
      <c r="L116" s="393"/>
      <c r="M116" s="393"/>
      <c r="N116" s="393"/>
      <c r="O116" s="393"/>
      <c r="P116" s="393"/>
      <c r="Q116" s="393"/>
      <c r="R116" s="393"/>
      <c r="S116" s="393"/>
    </row>
    <row r="117" spans="1:19" s="405" customFormat="1">
      <c r="B117" s="453"/>
      <c r="C117" s="395"/>
      <c r="D117" s="395"/>
      <c r="E117" s="395">
        <v>1</v>
      </c>
      <c r="F117" s="395">
        <f t="shared" ref="F117:F118" si="35">J117/1000</f>
        <v>7.6281000000000008</v>
      </c>
      <c r="G117" s="395"/>
      <c r="H117" s="395"/>
      <c r="I117" s="456">
        <f t="shared" ref="I117:I118" si="36">PRODUCT(E117:H117)</f>
        <v>7.6281000000000008</v>
      </c>
      <c r="J117" s="397">
        <v>7628.1</v>
      </c>
      <c r="K117" s="393"/>
      <c r="L117" s="393"/>
      <c r="M117" s="393"/>
      <c r="N117" s="393"/>
      <c r="O117" s="393"/>
      <c r="P117" s="393"/>
      <c r="Q117" s="393"/>
      <c r="R117" s="393"/>
      <c r="S117" s="393"/>
    </row>
    <row r="118" spans="1:19" s="405" customFormat="1">
      <c r="B118" s="453"/>
      <c r="C118" s="395"/>
      <c r="D118" s="395"/>
      <c r="E118" s="395">
        <v>1</v>
      </c>
      <c r="F118" s="395">
        <f t="shared" si="35"/>
        <v>1.25</v>
      </c>
      <c r="G118" s="395"/>
      <c r="H118" s="395"/>
      <c r="I118" s="456">
        <f t="shared" si="36"/>
        <v>1.25</v>
      </c>
      <c r="J118" s="397">
        <v>1250</v>
      </c>
      <c r="K118" s="393"/>
      <c r="L118" s="393"/>
      <c r="M118" s="393"/>
      <c r="N118" s="393"/>
      <c r="O118" s="393"/>
      <c r="P118" s="393"/>
      <c r="Q118" s="393"/>
      <c r="R118" s="393"/>
      <c r="S118" s="393"/>
    </row>
    <row r="119" spans="1:19" s="405" customFormat="1">
      <c r="B119" s="453" t="s">
        <v>152</v>
      </c>
      <c r="C119" s="395" t="s">
        <v>437</v>
      </c>
      <c r="D119" s="395"/>
      <c r="E119" s="395">
        <v>1</v>
      </c>
      <c r="F119" s="395">
        <f>J119/1000</f>
        <v>79.588800000000006</v>
      </c>
      <c r="G119" s="395"/>
      <c r="H119" s="395"/>
      <c r="I119" s="456">
        <f>PRODUCT(E119:H119)</f>
        <v>79.588800000000006</v>
      </c>
      <c r="J119" s="397">
        <v>79588.800000000003</v>
      </c>
      <c r="K119" s="393"/>
      <c r="L119" s="393"/>
      <c r="M119" s="393"/>
      <c r="N119" s="393"/>
      <c r="O119" s="393"/>
      <c r="P119" s="393"/>
      <c r="Q119" s="393"/>
      <c r="R119" s="393"/>
      <c r="S119" s="393"/>
    </row>
    <row r="120" spans="1:19" s="405" customFormat="1">
      <c r="B120" s="453"/>
      <c r="C120" s="395"/>
      <c r="D120" s="395"/>
      <c r="E120" s="395">
        <v>1</v>
      </c>
      <c r="F120" s="395">
        <f>J120/1000</f>
        <v>9.8824000000000005</v>
      </c>
      <c r="G120" s="395"/>
      <c r="H120" s="395"/>
      <c r="I120" s="456">
        <f>PRODUCT(E120:H120)</f>
        <v>9.8824000000000005</v>
      </c>
      <c r="J120" s="397">
        <v>9882.4</v>
      </c>
      <c r="K120" s="393"/>
      <c r="L120" s="393"/>
      <c r="M120" s="393"/>
      <c r="N120" s="393"/>
      <c r="O120" s="393"/>
      <c r="P120" s="393"/>
      <c r="Q120" s="393"/>
      <c r="R120" s="393"/>
      <c r="S120" s="393"/>
    </row>
    <row r="121" spans="1:19" s="405" customFormat="1">
      <c r="B121" s="453"/>
      <c r="C121" s="395"/>
      <c r="D121" s="395"/>
      <c r="E121" s="395">
        <v>1</v>
      </c>
      <c r="F121" s="395">
        <f>J121/1000</f>
        <v>66.769100000000009</v>
      </c>
      <c r="G121" s="395"/>
      <c r="H121" s="395"/>
      <c r="I121" s="456">
        <f>PRODUCT(E121:H121)</f>
        <v>66.769100000000009</v>
      </c>
      <c r="J121" s="397">
        <v>66769.100000000006</v>
      </c>
      <c r="K121" s="393"/>
      <c r="L121" s="393"/>
      <c r="M121" s="393"/>
      <c r="N121" s="393"/>
      <c r="O121" s="393"/>
      <c r="P121" s="393"/>
      <c r="Q121" s="393"/>
      <c r="R121" s="393"/>
      <c r="S121" s="393"/>
    </row>
    <row r="122" spans="1:19" s="393" customFormat="1">
      <c r="B122" s="394"/>
      <c r="C122" s="395" t="s">
        <v>554</v>
      </c>
      <c r="D122" s="395"/>
      <c r="E122" s="395"/>
      <c r="F122" s="836"/>
      <c r="G122" s="836"/>
      <c r="H122" s="396"/>
      <c r="I122" s="677"/>
      <c r="J122" s="397"/>
      <c r="O122" s="398"/>
      <c r="P122" s="398"/>
    </row>
    <row r="123" spans="1:19" s="393" customFormat="1">
      <c r="B123" s="394" t="s">
        <v>152</v>
      </c>
      <c r="C123" s="395" t="s">
        <v>564</v>
      </c>
      <c r="D123" s="395"/>
      <c r="E123" s="395">
        <v>1</v>
      </c>
      <c r="F123" s="836">
        <f t="shared" ref="F123:F124" si="37">J123/1000</f>
        <v>17.708099999999998</v>
      </c>
      <c r="G123" s="836"/>
      <c r="H123" s="396"/>
      <c r="I123" s="677">
        <f t="shared" ref="I123:I124" si="38">PRODUCT(E123:H123)</f>
        <v>17.708099999999998</v>
      </c>
      <c r="J123" s="397">
        <v>17708.099999999999</v>
      </c>
      <c r="O123" s="398"/>
      <c r="P123" s="398"/>
    </row>
    <row r="124" spans="1:19" s="393" customFormat="1">
      <c r="B124" s="394" t="s">
        <v>152</v>
      </c>
      <c r="C124" s="395" t="s">
        <v>564</v>
      </c>
      <c r="D124" s="395"/>
      <c r="E124" s="395">
        <v>1</v>
      </c>
      <c r="F124" s="836">
        <f t="shared" si="37"/>
        <v>18.632099999999998</v>
      </c>
      <c r="G124" s="836"/>
      <c r="H124" s="396"/>
      <c r="I124" s="677">
        <f t="shared" si="38"/>
        <v>18.632099999999998</v>
      </c>
      <c r="J124" s="397">
        <v>18632.099999999999</v>
      </c>
      <c r="O124" s="398"/>
      <c r="P124" s="398"/>
    </row>
    <row r="125" spans="1:19" s="393" customFormat="1">
      <c r="B125" s="394" t="s">
        <v>159</v>
      </c>
      <c r="C125" s="395" t="s">
        <v>567</v>
      </c>
      <c r="D125" s="395"/>
      <c r="E125" s="395">
        <v>1</v>
      </c>
      <c r="F125" s="836">
        <f t="shared" ref="F125" si="39">J125/1000</f>
        <v>22.6265</v>
      </c>
      <c r="G125" s="836"/>
      <c r="H125" s="396"/>
      <c r="I125" s="677">
        <f t="shared" ref="I125" si="40">PRODUCT(E125:H125)</f>
        <v>22.6265</v>
      </c>
      <c r="J125" s="397">
        <v>22626.5</v>
      </c>
      <c r="O125" s="398"/>
      <c r="P125" s="398"/>
    </row>
    <row r="126" spans="1:19" s="393" customFormat="1">
      <c r="B126" s="394" t="s">
        <v>159</v>
      </c>
      <c r="C126" s="395" t="s">
        <v>567</v>
      </c>
      <c r="D126" s="395"/>
      <c r="E126" s="395">
        <v>1</v>
      </c>
      <c r="F126" s="836">
        <f t="shared" ref="F126" si="41">J126/1000</f>
        <v>24.4818</v>
      </c>
      <c r="G126" s="836"/>
      <c r="H126" s="396"/>
      <c r="I126" s="677">
        <f t="shared" ref="I126" si="42">PRODUCT(E126:H126)</f>
        <v>24.4818</v>
      </c>
      <c r="J126" s="397">
        <v>24481.8</v>
      </c>
      <c r="O126" s="398"/>
      <c r="P126" s="398"/>
    </row>
    <row r="127" spans="1:19" s="393" customFormat="1">
      <c r="B127" s="394" t="s">
        <v>161</v>
      </c>
      <c r="C127" s="395" t="s">
        <v>569</v>
      </c>
      <c r="D127" s="395"/>
      <c r="E127" s="395">
        <v>1</v>
      </c>
      <c r="F127" s="836">
        <f t="shared" ref="F127" si="43">J127/1000</f>
        <v>121.8544</v>
      </c>
      <c r="G127" s="836"/>
      <c r="H127" s="396"/>
      <c r="I127" s="677">
        <f t="shared" ref="I127" si="44">PRODUCT(E127:H127)</f>
        <v>121.8544</v>
      </c>
      <c r="J127" s="397">
        <f>111854.4+10000</f>
        <v>121854.39999999999</v>
      </c>
      <c r="O127" s="398"/>
      <c r="P127" s="398"/>
    </row>
    <row r="128" spans="1:19" s="424" customFormat="1" ht="15">
      <c r="B128" s="99"/>
      <c r="C128" s="100" t="s">
        <v>634</v>
      </c>
      <c r="D128" s="100"/>
      <c r="E128" s="100"/>
      <c r="F128" s="691"/>
      <c r="G128" s="691"/>
      <c r="H128" s="105"/>
      <c r="I128" s="691"/>
      <c r="J128" s="101"/>
      <c r="O128" s="686"/>
      <c r="P128" s="686"/>
    </row>
    <row r="129" spans="2:16" s="424" customFormat="1" ht="15">
      <c r="B129" s="99" t="s">
        <v>36</v>
      </c>
      <c r="C129" s="100" t="s">
        <v>640</v>
      </c>
      <c r="D129" s="100"/>
      <c r="E129" s="100">
        <v>1</v>
      </c>
      <c r="F129" s="691">
        <v>22.66</v>
      </c>
      <c r="G129" s="691"/>
      <c r="H129" s="105"/>
      <c r="I129" s="691">
        <f t="shared" ref="I129" si="45">PRODUCT(E129:H129)</f>
        <v>22.66</v>
      </c>
      <c r="J129" s="101"/>
      <c r="O129" s="686"/>
      <c r="P129" s="686"/>
    </row>
    <row r="130" spans="2:16" s="28" customFormat="1" ht="15">
      <c r="B130" s="41"/>
      <c r="C130" s="42" t="s">
        <v>26</v>
      </c>
      <c r="D130" s="42"/>
      <c r="E130" s="42"/>
      <c r="F130" s="42"/>
      <c r="G130" s="42"/>
      <c r="H130" s="42"/>
      <c r="I130" s="42">
        <f>SUM(I100:I129)</f>
        <v>1166.3995</v>
      </c>
      <c r="J130" s="43" t="s">
        <v>46</v>
      </c>
      <c r="O130" s="29"/>
      <c r="P130" s="29"/>
    </row>
    <row r="131" spans="2:16" s="26" customFormat="1">
      <c r="B131" s="36"/>
      <c r="C131" s="37"/>
      <c r="D131" s="37"/>
      <c r="E131" s="37"/>
      <c r="F131" s="37"/>
      <c r="G131" s="37"/>
      <c r="H131" s="37"/>
      <c r="I131" s="37"/>
      <c r="J131" s="38"/>
      <c r="O131" s="25"/>
      <c r="P131" s="25"/>
    </row>
    <row r="132" spans="2:16">
      <c r="B132" s="62"/>
      <c r="C132" s="58"/>
      <c r="D132" s="58"/>
      <c r="E132" s="58"/>
      <c r="F132" s="58"/>
      <c r="G132" s="58"/>
      <c r="H132" s="58"/>
      <c r="I132" s="58"/>
      <c r="J132" s="61"/>
    </row>
    <row r="133" spans="2:16" s="31" customFormat="1" ht="105">
      <c r="B133" s="27">
        <f>'Abstract '!A13</f>
        <v>20</v>
      </c>
      <c r="C133" s="33" t="str">
        <f>'Abstract '!B13</f>
        <v>LAND_SUP/FlX_PIain Concrete M10 grade
PCC WORKS (1:4:8)
Providing and laying Plain cement concrete  1:4:8 mix of following to the depth at locations specified at all levels using river sand, graded granite aggregate  of 20mm and down size including base preparation, compaction.  levelling, all leads and lifts, curing and shuttering if necessary  etc., complete as per drawings. (100mm thick PCC)</v>
      </c>
      <c r="D133" s="455"/>
      <c r="E133" s="455"/>
      <c r="F133" s="455"/>
      <c r="G133" s="455"/>
      <c r="H133" s="455"/>
      <c r="I133" s="455"/>
      <c r="J133" s="30"/>
      <c r="O133" s="32"/>
      <c r="P133" s="32"/>
    </row>
    <row r="134" spans="2:16" s="31" customFormat="1" ht="15">
      <c r="B134" s="27"/>
      <c r="C134" s="34" t="s">
        <v>8</v>
      </c>
      <c r="D134" s="455"/>
      <c r="E134" s="455"/>
      <c r="F134" s="455"/>
      <c r="G134" s="455"/>
      <c r="H134" s="455"/>
      <c r="I134" s="455"/>
      <c r="J134" s="30"/>
      <c r="O134" s="32"/>
      <c r="P134" s="32"/>
    </row>
    <row r="135" spans="2:16" s="31" customFormat="1" ht="15">
      <c r="B135" s="27" t="s">
        <v>51</v>
      </c>
      <c r="C135" s="35" t="s">
        <v>50</v>
      </c>
      <c r="D135" s="35"/>
      <c r="E135" s="35">
        <v>1</v>
      </c>
      <c r="F135" s="35">
        <f>(J135/1000)-(1.5+2.33)</f>
        <v>278.71480000000003</v>
      </c>
      <c r="G135" s="35">
        <v>0.3</v>
      </c>
      <c r="H135" s="39">
        <v>7.4999999999999997E-2</v>
      </c>
      <c r="I135" s="455">
        <f>PRODUCT(E135:H135)</f>
        <v>6.271083</v>
      </c>
      <c r="J135" s="30">
        <v>282544.8</v>
      </c>
      <c r="K135" s="844" t="s">
        <v>595</v>
      </c>
      <c r="O135" s="32"/>
      <c r="P135" s="32"/>
    </row>
    <row r="136" spans="2:16" s="31" customFormat="1" ht="15">
      <c r="B136" s="27"/>
      <c r="C136" s="34"/>
      <c r="D136" s="35"/>
      <c r="E136" s="35">
        <v>1</v>
      </c>
      <c r="F136" s="35">
        <f>J136/1000</f>
        <v>23.749599999999997</v>
      </c>
      <c r="G136" s="35">
        <v>0.3</v>
      </c>
      <c r="H136" s="39">
        <v>7.4999999999999997E-2</v>
      </c>
      <c r="I136" s="455">
        <f>PRODUCT(E136:H136)</f>
        <v>0.5343659999999999</v>
      </c>
      <c r="J136" s="30">
        <v>23749.599999999999</v>
      </c>
      <c r="K136" s="844"/>
      <c r="O136" s="32"/>
      <c r="P136" s="32"/>
    </row>
    <row r="137" spans="2:16" s="31" customFormat="1" ht="15">
      <c r="B137" s="27" t="s">
        <v>52</v>
      </c>
      <c r="C137" s="34" t="s">
        <v>38</v>
      </c>
      <c r="D137" s="455"/>
      <c r="E137" s="35">
        <v>1</v>
      </c>
      <c r="F137" s="35">
        <f>J137/1000</f>
        <v>169.79520000000002</v>
      </c>
      <c r="G137" s="35">
        <v>0.3</v>
      </c>
      <c r="H137" s="39">
        <v>7.4999999999999997E-2</v>
      </c>
      <c r="I137" s="455">
        <f>PRODUCT(E137:H137)</f>
        <v>3.820392</v>
      </c>
      <c r="J137" s="30">
        <v>169795.20000000001</v>
      </c>
      <c r="K137" s="844"/>
      <c r="O137" s="32"/>
      <c r="P137" s="32"/>
    </row>
    <row r="138" spans="2:16" s="31" customFormat="1" ht="15">
      <c r="B138" s="27" t="s">
        <v>36</v>
      </c>
      <c r="C138" s="35" t="s">
        <v>38</v>
      </c>
      <c r="D138" s="35" t="s">
        <v>28</v>
      </c>
      <c r="E138" s="35">
        <v>1</v>
      </c>
      <c r="F138" s="837">
        <f>J138/(1000*1000)</f>
        <v>274.45259870000001</v>
      </c>
      <c r="G138" s="837"/>
      <c r="H138" s="455">
        <v>0.1</v>
      </c>
      <c r="I138" s="455">
        <f>PRODUCT(E138:H138)</f>
        <v>27.445259870000001</v>
      </c>
      <c r="J138" s="30">
        <v>274452598.69999999</v>
      </c>
      <c r="O138" s="32"/>
      <c r="P138" s="32"/>
    </row>
    <row r="139" spans="2:16" s="31" customFormat="1" ht="15">
      <c r="B139" s="27"/>
      <c r="C139" s="35"/>
      <c r="D139" s="35"/>
      <c r="E139" s="35">
        <v>1</v>
      </c>
      <c r="F139" s="837">
        <f t="shared" ref="F139:F141" si="46">J139/(1000*1000)</f>
        <v>68.710528699999998</v>
      </c>
      <c r="G139" s="837"/>
      <c r="H139" s="455">
        <v>0.1</v>
      </c>
      <c r="I139" s="455">
        <f t="shared" ref="I139:I141" si="47">PRODUCT(E139:H139)</f>
        <v>6.8710528699999998</v>
      </c>
      <c r="J139" s="30">
        <v>68710528.700000003</v>
      </c>
      <c r="O139" s="32"/>
      <c r="P139" s="32"/>
    </row>
    <row r="140" spans="2:16" s="31" customFormat="1" ht="15">
      <c r="B140" s="27"/>
      <c r="C140" s="35"/>
      <c r="D140" s="35"/>
      <c r="E140" s="35">
        <v>1</v>
      </c>
      <c r="F140" s="837">
        <f t="shared" si="46"/>
        <v>27.4952623</v>
      </c>
      <c r="G140" s="837"/>
      <c r="H140" s="455">
        <v>0.1</v>
      </c>
      <c r="I140" s="455">
        <f t="shared" si="47"/>
        <v>2.7495262300000003</v>
      </c>
      <c r="J140" s="30">
        <v>27495262.300000001</v>
      </c>
      <c r="O140" s="32"/>
      <c r="P140" s="32"/>
    </row>
    <row r="141" spans="2:16" s="31" customFormat="1" ht="15">
      <c r="B141" s="27"/>
      <c r="C141" s="35"/>
      <c r="D141" s="35"/>
      <c r="E141" s="35">
        <v>1</v>
      </c>
      <c r="F141" s="837">
        <f t="shared" si="46"/>
        <v>68.709307999999993</v>
      </c>
      <c r="G141" s="837"/>
      <c r="H141" s="455">
        <v>0.1</v>
      </c>
      <c r="I141" s="455">
        <f t="shared" si="47"/>
        <v>6.8709308</v>
      </c>
      <c r="J141" s="30">
        <v>68709308</v>
      </c>
      <c r="O141" s="32"/>
      <c r="P141" s="32"/>
    </row>
    <row r="142" spans="2:16" s="31" customFormat="1">
      <c r="B142" s="197"/>
      <c r="C142" s="35" t="s">
        <v>148</v>
      </c>
      <c r="D142" s="35"/>
      <c r="E142" s="35"/>
      <c r="F142" s="455"/>
      <c r="G142" s="455"/>
      <c r="H142" s="455"/>
      <c r="I142" s="455"/>
      <c r="J142" s="30"/>
      <c r="O142" s="32"/>
      <c r="P142" s="32"/>
    </row>
    <row r="143" spans="2:16" s="31" customFormat="1">
      <c r="B143" s="197" t="s">
        <v>35</v>
      </c>
      <c r="C143" s="35" t="s">
        <v>183</v>
      </c>
      <c r="D143" s="35"/>
      <c r="E143" s="35">
        <v>1</v>
      </c>
      <c r="F143" s="837">
        <f t="shared" ref="F143:F149" si="48">J143/(1000*1000)</f>
        <v>408.4367767</v>
      </c>
      <c r="G143" s="837"/>
      <c r="H143" s="455">
        <v>0.1</v>
      </c>
      <c r="I143" s="455">
        <f t="shared" ref="I143:I149" si="49">PRODUCT(E143:H143)</f>
        <v>40.843677670000005</v>
      </c>
      <c r="J143" s="30">
        <v>408436776.69999999</v>
      </c>
      <c r="O143" s="32"/>
      <c r="P143" s="32"/>
    </row>
    <row r="144" spans="2:16" s="31" customFormat="1">
      <c r="B144" s="197"/>
      <c r="C144" s="35" t="s">
        <v>184</v>
      </c>
      <c r="D144" s="35"/>
      <c r="E144" s="35">
        <v>-1</v>
      </c>
      <c r="F144" s="837">
        <f t="shared" si="48"/>
        <v>42.792993000000003</v>
      </c>
      <c r="G144" s="837"/>
      <c r="H144" s="455">
        <v>0.1</v>
      </c>
      <c r="I144" s="455">
        <f t="shared" si="49"/>
        <v>-4.2792993000000008</v>
      </c>
      <c r="J144" s="30">
        <v>42792993</v>
      </c>
      <c r="O144" s="32"/>
      <c r="P144" s="32"/>
    </row>
    <row r="145" spans="2:16" s="31" customFormat="1">
      <c r="B145" s="197" t="s">
        <v>36</v>
      </c>
      <c r="C145" s="35" t="s">
        <v>186</v>
      </c>
      <c r="D145" s="35"/>
      <c r="E145" s="35">
        <v>1</v>
      </c>
      <c r="F145" s="837">
        <f t="shared" si="48"/>
        <v>110.9745375</v>
      </c>
      <c r="G145" s="837"/>
      <c r="H145" s="455">
        <v>0.1</v>
      </c>
      <c r="I145" s="455">
        <f t="shared" si="49"/>
        <v>11.09745375</v>
      </c>
      <c r="J145" s="30">
        <v>110974537.5</v>
      </c>
      <c r="O145" s="32"/>
      <c r="P145" s="32"/>
    </row>
    <row r="146" spans="2:16" s="31" customFormat="1">
      <c r="B146" s="197" t="s">
        <v>37</v>
      </c>
      <c r="C146" s="35" t="s">
        <v>187</v>
      </c>
      <c r="D146" s="35"/>
      <c r="E146" s="35">
        <v>1</v>
      </c>
      <c r="F146" s="837">
        <f t="shared" si="48"/>
        <v>79.748773999999997</v>
      </c>
      <c r="G146" s="837"/>
      <c r="H146" s="455">
        <v>0.1</v>
      </c>
      <c r="I146" s="455">
        <f t="shared" si="49"/>
        <v>7.9748774000000004</v>
      </c>
      <c r="J146" s="30">
        <v>79748774</v>
      </c>
      <c r="O146" s="32"/>
      <c r="P146" s="32"/>
    </row>
    <row r="147" spans="2:16" s="31" customFormat="1">
      <c r="B147" s="197" t="s">
        <v>152</v>
      </c>
      <c r="C147" s="35" t="s">
        <v>185</v>
      </c>
      <c r="D147" s="35"/>
      <c r="E147" s="35">
        <v>1</v>
      </c>
      <c r="F147" s="837">
        <f t="shared" si="48"/>
        <v>99.933168499999994</v>
      </c>
      <c r="G147" s="837"/>
      <c r="H147" s="455">
        <v>0.1</v>
      </c>
      <c r="I147" s="455">
        <f t="shared" si="49"/>
        <v>9.9933168499999994</v>
      </c>
      <c r="J147" s="30">
        <v>99933168.5</v>
      </c>
      <c r="O147" s="32"/>
      <c r="P147" s="32"/>
    </row>
    <row r="148" spans="2:16" s="31" customFormat="1">
      <c r="B148" s="197" t="s">
        <v>154</v>
      </c>
      <c r="C148" s="35" t="s">
        <v>188</v>
      </c>
      <c r="D148" s="35"/>
      <c r="E148" s="35">
        <v>1</v>
      </c>
      <c r="F148" s="837">
        <f t="shared" si="48"/>
        <v>29.473631999999998</v>
      </c>
      <c r="G148" s="837"/>
      <c r="H148" s="455">
        <v>0.1</v>
      </c>
      <c r="I148" s="455">
        <f t="shared" si="49"/>
        <v>2.9473631999999998</v>
      </c>
      <c r="J148" s="30">
        <v>29473632</v>
      </c>
      <c r="O148" s="32"/>
      <c r="P148" s="32"/>
    </row>
    <row r="149" spans="2:16" s="31" customFormat="1">
      <c r="B149" s="197"/>
      <c r="C149" s="35"/>
      <c r="D149" s="35"/>
      <c r="E149" s="35">
        <v>1</v>
      </c>
      <c r="F149" s="837">
        <f t="shared" si="48"/>
        <v>35.474044299999996</v>
      </c>
      <c r="G149" s="837"/>
      <c r="H149" s="455">
        <v>0.1</v>
      </c>
      <c r="I149" s="455">
        <f t="shared" si="49"/>
        <v>3.5474044299999998</v>
      </c>
      <c r="J149" s="30">
        <v>35474044.299999997</v>
      </c>
      <c r="O149" s="32"/>
      <c r="P149" s="32"/>
    </row>
    <row r="150" spans="2:16" s="31" customFormat="1">
      <c r="B150" s="197" t="s">
        <v>156</v>
      </c>
      <c r="C150" s="35" t="s">
        <v>189</v>
      </c>
      <c r="D150" s="35"/>
      <c r="E150" s="35">
        <v>1</v>
      </c>
      <c r="F150" s="837">
        <f t="shared" ref="F150:F151" si="50">J150/(1000*1000)</f>
        <v>27.5</v>
      </c>
      <c r="G150" s="837"/>
      <c r="H150" s="455">
        <v>0.1</v>
      </c>
      <c r="I150" s="455">
        <f t="shared" ref="I150:I151" si="51">PRODUCT(E150:H150)</f>
        <v>2.75</v>
      </c>
      <c r="J150" s="30">
        <v>27500000</v>
      </c>
      <c r="O150" s="32"/>
      <c r="P150" s="32"/>
    </row>
    <row r="151" spans="2:16" s="31" customFormat="1">
      <c r="B151" s="197"/>
      <c r="C151" s="35"/>
      <c r="D151" s="35"/>
      <c r="E151" s="35">
        <v>1</v>
      </c>
      <c r="F151" s="837">
        <f t="shared" si="50"/>
        <v>27.495285500000001</v>
      </c>
      <c r="G151" s="837"/>
      <c r="H151" s="455">
        <v>0.1</v>
      </c>
      <c r="I151" s="455">
        <f t="shared" si="51"/>
        <v>2.7495285500000004</v>
      </c>
      <c r="J151" s="30">
        <v>27495285.5</v>
      </c>
      <c r="O151" s="32"/>
      <c r="P151" s="32"/>
    </row>
    <row r="152" spans="2:16" s="31" customFormat="1">
      <c r="B152" s="197"/>
      <c r="C152" s="35" t="s">
        <v>261</v>
      </c>
      <c r="D152" s="455"/>
      <c r="E152" s="35"/>
      <c r="F152" s="455"/>
      <c r="G152" s="455"/>
      <c r="H152" s="455"/>
      <c r="I152" s="455"/>
      <c r="J152" s="30"/>
      <c r="O152" s="32"/>
      <c r="P152" s="32"/>
    </row>
    <row r="153" spans="2:16" s="31" customFormat="1">
      <c r="B153" s="197" t="s">
        <v>36</v>
      </c>
      <c r="C153" s="34" t="s">
        <v>151</v>
      </c>
      <c r="D153" s="455"/>
      <c r="E153" s="35">
        <v>1</v>
      </c>
      <c r="F153" s="35">
        <f t="shared" ref="F153:F154" si="52">J153/1000</f>
        <v>51.813300000000005</v>
      </c>
      <c r="G153" s="35">
        <v>0.3</v>
      </c>
      <c r="H153" s="39">
        <v>7.4999999999999997E-2</v>
      </c>
      <c r="I153" s="455">
        <f t="shared" ref="I153:I159" si="53">PRODUCT(E153:H153)</f>
        <v>1.1657992500000001</v>
      </c>
      <c r="J153" s="30">
        <v>51813.3</v>
      </c>
      <c r="O153" s="32"/>
      <c r="P153" s="32"/>
    </row>
    <row r="154" spans="2:16" s="31" customFormat="1">
      <c r="B154" s="197"/>
      <c r="C154" s="34"/>
      <c r="D154" s="455"/>
      <c r="E154" s="35">
        <v>1</v>
      </c>
      <c r="F154" s="35">
        <f t="shared" si="52"/>
        <v>20.544400000000003</v>
      </c>
      <c r="G154" s="35">
        <v>0.3</v>
      </c>
      <c r="H154" s="39">
        <v>7.4999999999999997E-2</v>
      </c>
      <c r="I154" s="455">
        <f t="shared" si="53"/>
        <v>0.46224900000000002</v>
      </c>
      <c r="J154" s="30">
        <v>20544.400000000001</v>
      </c>
      <c r="O154" s="32"/>
      <c r="P154" s="32"/>
    </row>
    <row r="155" spans="2:16" s="31" customFormat="1">
      <c r="B155" s="197" t="s">
        <v>37</v>
      </c>
      <c r="C155" s="34" t="s">
        <v>150</v>
      </c>
      <c r="D155" s="455"/>
      <c r="E155" s="35">
        <v>1</v>
      </c>
      <c r="F155" s="35">
        <f>J155/1000-10</f>
        <v>83.3172</v>
      </c>
      <c r="G155" s="35">
        <v>0.3</v>
      </c>
      <c r="H155" s="39">
        <v>7.4999999999999997E-2</v>
      </c>
      <c r="I155" s="455">
        <f t="shared" si="53"/>
        <v>1.8746369999999999</v>
      </c>
      <c r="J155" s="30">
        <v>93317.2</v>
      </c>
      <c r="O155" s="32"/>
      <c r="P155" s="32"/>
    </row>
    <row r="156" spans="2:16" s="31" customFormat="1">
      <c r="B156" s="197" t="s">
        <v>152</v>
      </c>
      <c r="C156" s="34" t="s">
        <v>153</v>
      </c>
      <c r="D156" s="455"/>
      <c r="E156" s="35">
        <v>1</v>
      </c>
      <c r="F156" s="35">
        <f>J156/1000</f>
        <v>132.92589999999998</v>
      </c>
      <c r="G156" s="35">
        <v>0.3</v>
      </c>
      <c r="H156" s="39">
        <v>7.4999999999999997E-2</v>
      </c>
      <c r="I156" s="455">
        <f t="shared" si="53"/>
        <v>2.9908327499999992</v>
      </c>
      <c r="J156" s="30">
        <v>132925.9</v>
      </c>
      <c r="O156" s="32"/>
      <c r="P156" s="32"/>
    </row>
    <row r="157" spans="2:16" s="31" customFormat="1">
      <c r="B157" s="197" t="s">
        <v>154</v>
      </c>
      <c r="C157" s="34" t="s">
        <v>155</v>
      </c>
      <c r="D157" s="455"/>
      <c r="E157" s="35">
        <v>1</v>
      </c>
      <c r="F157" s="35">
        <f>J157/1000</f>
        <v>259.62079999999997</v>
      </c>
      <c r="G157" s="35">
        <v>0.3</v>
      </c>
      <c r="H157" s="39">
        <v>7.4999999999999997E-2</v>
      </c>
      <c r="I157" s="455">
        <f t="shared" si="53"/>
        <v>5.841467999999999</v>
      </c>
      <c r="J157" s="30">
        <v>259620.8</v>
      </c>
      <c r="O157" s="32"/>
      <c r="P157" s="32"/>
    </row>
    <row r="158" spans="2:16" s="31" customFormat="1">
      <c r="B158" s="197" t="s">
        <v>156</v>
      </c>
      <c r="C158" s="34" t="s">
        <v>158</v>
      </c>
      <c r="D158" s="455"/>
      <c r="E158" s="35">
        <v>1</v>
      </c>
      <c r="F158" s="35">
        <f>J158/1000</f>
        <v>20.790200000000002</v>
      </c>
      <c r="G158" s="35">
        <v>0.3</v>
      </c>
      <c r="H158" s="39">
        <v>7.4999999999999997E-2</v>
      </c>
      <c r="I158" s="455">
        <f t="shared" si="53"/>
        <v>0.46777950000000001</v>
      </c>
      <c r="J158" s="30">
        <v>20790.2</v>
      </c>
      <c r="O158" s="32"/>
      <c r="P158" s="32"/>
    </row>
    <row r="159" spans="2:16" s="31" customFormat="1">
      <c r="B159" s="197"/>
      <c r="C159" s="34"/>
      <c r="D159" s="455"/>
      <c r="E159" s="35">
        <v>1</v>
      </c>
      <c r="F159" s="35">
        <f>J159/1000</f>
        <v>56.008199999999995</v>
      </c>
      <c r="G159" s="35">
        <v>0.3</v>
      </c>
      <c r="H159" s="39">
        <v>7.4999999999999997E-2</v>
      </c>
      <c r="I159" s="455">
        <f t="shared" si="53"/>
        <v>1.2601844999999996</v>
      </c>
      <c r="J159" s="30">
        <v>56008.2</v>
      </c>
      <c r="O159" s="32"/>
      <c r="P159" s="32"/>
    </row>
    <row r="160" spans="2:16" s="31" customFormat="1">
      <c r="B160" s="197"/>
      <c r="C160" s="35" t="s">
        <v>262</v>
      </c>
      <c r="D160" s="455"/>
      <c r="E160" s="35"/>
      <c r="F160" s="455"/>
      <c r="G160" s="35"/>
      <c r="H160" s="39"/>
      <c r="I160" s="455"/>
      <c r="J160" s="30"/>
      <c r="O160" s="32"/>
      <c r="P160" s="32"/>
    </row>
    <row r="161" spans="2:16" s="31" customFormat="1">
      <c r="B161" s="197" t="s">
        <v>35</v>
      </c>
      <c r="C161" s="34" t="s">
        <v>149</v>
      </c>
      <c r="D161" s="455"/>
      <c r="E161" s="35">
        <v>1</v>
      </c>
      <c r="F161" s="35">
        <f>J161/1000</f>
        <v>51.602499999999999</v>
      </c>
      <c r="G161" s="35">
        <v>0.3</v>
      </c>
      <c r="H161" s="39">
        <v>7.4999999999999997E-2</v>
      </c>
      <c r="I161" s="455">
        <f t="shared" ref="I161:I162" si="54">PRODUCT(E161:H161)</f>
        <v>1.1610562499999999</v>
      </c>
      <c r="J161" s="30">
        <v>51602.5</v>
      </c>
      <c r="O161" s="32"/>
      <c r="P161" s="32"/>
    </row>
    <row r="162" spans="2:16" s="31" customFormat="1">
      <c r="B162" s="197"/>
      <c r="C162" s="34"/>
      <c r="D162" s="455"/>
      <c r="E162" s="35">
        <v>1</v>
      </c>
      <c r="F162" s="35">
        <f>J162/1000</f>
        <v>49.174800000000005</v>
      </c>
      <c r="G162" s="35">
        <v>0.3</v>
      </c>
      <c r="H162" s="39">
        <v>7.4999999999999997E-2</v>
      </c>
      <c r="I162" s="455">
        <f t="shared" si="54"/>
        <v>1.106433</v>
      </c>
      <c r="J162" s="30">
        <v>49174.8</v>
      </c>
      <c r="O162" s="32"/>
      <c r="P162" s="32"/>
    </row>
    <row r="163" spans="2:16" s="31" customFormat="1">
      <c r="B163" s="197" t="s">
        <v>157</v>
      </c>
      <c r="C163" s="34" t="s">
        <v>158</v>
      </c>
      <c r="D163" s="455"/>
      <c r="E163" s="35">
        <v>1</v>
      </c>
      <c r="F163" s="35">
        <f>J163/1000</f>
        <v>44.292699999999996</v>
      </c>
      <c r="G163" s="35">
        <v>0.3</v>
      </c>
      <c r="H163" s="39">
        <v>7.4999999999999997E-2</v>
      </c>
      <c r="I163" s="455">
        <f>PRODUCT(E163:H163)</f>
        <v>0.99658574999999983</v>
      </c>
      <c r="J163" s="30">
        <v>44292.7</v>
      </c>
      <c r="O163" s="32"/>
      <c r="P163" s="32"/>
    </row>
    <row r="164" spans="2:16" s="31" customFormat="1">
      <c r="B164" s="197"/>
      <c r="C164" s="34"/>
      <c r="D164" s="455"/>
      <c r="E164" s="35">
        <v>1</v>
      </c>
      <c r="F164" s="35">
        <f>J164/1000</f>
        <v>45.683699999999995</v>
      </c>
      <c r="G164" s="35">
        <v>0.3</v>
      </c>
      <c r="H164" s="39">
        <v>7.4999999999999997E-2</v>
      </c>
      <c r="I164" s="455">
        <f>PRODUCT(E164:H164)</f>
        <v>1.0278832499999997</v>
      </c>
      <c r="J164" s="30">
        <v>45683.7</v>
      </c>
      <c r="O164" s="32"/>
      <c r="P164" s="32"/>
    </row>
    <row r="165" spans="2:16" s="31" customFormat="1">
      <c r="B165" s="197" t="s">
        <v>159</v>
      </c>
      <c r="C165" s="34" t="s">
        <v>158</v>
      </c>
      <c r="D165" s="455"/>
      <c r="E165" s="35">
        <v>1</v>
      </c>
      <c r="F165" s="35">
        <f t="shared" ref="F165:F172" si="55">J165/1000</f>
        <v>16.7563</v>
      </c>
      <c r="G165" s="35">
        <v>0.3</v>
      </c>
      <c r="H165" s="39">
        <v>7.4999999999999997E-2</v>
      </c>
      <c r="I165" s="455">
        <f t="shared" ref="I165:I172" si="56">PRODUCT(E165:H165)</f>
        <v>0.37701674999999996</v>
      </c>
      <c r="J165" s="30">
        <v>16756.3</v>
      </c>
      <c r="O165" s="32"/>
      <c r="P165" s="32"/>
    </row>
    <row r="166" spans="2:16" s="31" customFormat="1">
      <c r="B166" s="197"/>
      <c r="C166" s="34"/>
      <c r="D166" s="455"/>
      <c r="E166" s="35">
        <v>1</v>
      </c>
      <c r="F166" s="35">
        <f t="shared" si="55"/>
        <v>16.606300000000001</v>
      </c>
      <c r="G166" s="35">
        <v>0.3</v>
      </c>
      <c r="H166" s="39">
        <v>7.4999999999999997E-2</v>
      </c>
      <c r="I166" s="455">
        <f t="shared" si="56"/>
        <v>0.37364174999999999</v>
      </c>
      <c r="J166" s="30">
        <v>16606.3</v>
      </c>
      <c r="O166" s="32"/>
      <c r="P166" s="32"/>
    </row>
    <row r="167" spans="2:16" s="31" customFormat="1">
      <c r="B167" s="197" t="s">
        <v>160</v>
      </c>
      <c r="C167" s="34" t="s">
        <v>153</v>
      </c>
      <c r="D167" s="455"/>
      <c r="E167" s="35">
        <v>1</v>
      </c>
      <c r="F167" s="35">
        <f t="shared" si="55"/>
        <v>50.041199999999996</v>
      </c>
      <c r="G167" s="35">
        <v>0.3</v>
      </c>
      <c r="H167" s="39">
        <v>7.4999999999999997E-2</v>
      </c>
      <c r="I167" s="455">
        <f t="shared" si="56"/>
        <v>1.1259269999999997</v>
      </c>
      <c r="J167" s="30">
        <v>50041.2</v>
      </c>
      <c r="O167" s="32"/>
      <c r="P167" s="32"/>
    </row>
    <row r="168" spans="2:16" s="31" customFormat="1">
      <c r="B168" s="197"/>
      <c r="C168" s="34"/>
      <c r="D168" s="455"/>
      <c r="E168" s="35">
        <v>1</v>
      </c>
      <c r="F168" s="35">
        <f t="shared" si="55"/>
        <v>50.104300000000002</v>
      </c>
      <c r="G168" s="35">
        <v>0.3</v>
      </c>
      <c r="H168" s="39">
        <v>7.4999999999999997E-2</v>
      </c>
      <c r="I168" s="455">
        <f t="shared" si="56"/>
        <v>1.1273467500000001</v>
      </c>
      <c r="J168" s="30">
        <v>50104.3</v>
      </c>
      <c r="O168" s="32"/>
      <c r="P168" s="32"/>
    </row>
    <row r="169" spans="2:16" s="31" customFormat="1">
      <c r="B169" s="197" t="s">
        <v>161</v>
      </c>
      <c r="C169" s="34" t="s">
        <v>151</v>
      </c>
      <c r="D169" s="455"/>
      <c r="E169" s="35">
        <v>1</v>
      </c>
      <c r="F169" s="35">
        <f t="shared" si="55"/>
        <v>59.816600000000001</v>
      </c>
      <c r="G169" s="35">
        <v>0.3</v>
      </c>
      <c r="H169" s="39">
        <v>7.4999999999999997E-2</v>
      </c>
      <c r="I169" s="455">
        <f t="shared" si="56"/>
        <v>1.3458734999999999</v>
      </c>
      <c r="J169" s="30">
        <v>59816.6</v>
      </c>
      <c r="O169" s="32"/>
      <c r="P169" s="32"/>
    </row>
    <row r="170" spans="2:16" s="31" customFormat="1">
      <c r="B170" s="197"/>
      <c r="C170" s="34"/>
      <c r="D170" s="455"/>
      <c r="E170" s="35">
        <v>1</v>
      </c>
      <c r="F170" s="35">
        <f t="shared" si="55"/>
        <v>52.378699999999995</v>
      </c>
      <c r="G170" s="35">
        <v>0.3</v>
      </c>
      <c r="H170" s="39">
        <v>7.4999999999999997E-2</v>
      </c>
      <c r="I170" s="455">
        <f t="shared" si="56"/>
        <v>1.1785207499999997</v>
      </c>
      <c r="J170" s="30">
        <v>52378.7</v>
      </c>
      <c r="O170" s="32"/>
      <c r="P170" s="32"/>
    </row>
    <row r="171" spans="2:16" s="31" customFormat="1">
      <c r="B171" s="197" t="s">
        <v>162</v>
      </c>
      <c r="C171" s="34" t="s">
        <v>151</v>
      </c>
      <c r="D171" s="455"/>
      <c r="E171" s="35">
        <v>1</v>
      </c>
      <c r="F171" s="35">
        <f t="shared" si="55"/>
        <v>12.214600000000001</v>
      </c>
      <c r="G171" s="35">
        <v>0.3</v>
      </c>
      <c r="H171" s="39">
        <v>7.4999999999999997E-2</v>
      </c>
      <c r="I171" s="455">
        <f t="shared" si="56"/>
        <v>0.27482849999999998</v>
      </c>
      <c r="J171" s="30">
        <v>12214.6</v>
      </c>
      <c r="O171" s="32"/>
      <c r="P171" s="32"/>
    </row>
    <row r="172" spans="2:16" s="31" customFormat="1">
      <c r="B172" s="197"/>
      <c r="C172" s="34"/>
      <c r="D172" s="455"/>
      <c r="E172" s="35">
        <v>1</v>
      </c>
      <c r="F172" s="35">
        <f t="shared" si="55"/>
        <v>12.5692</v>
      </c>
      <c r="G172" s="35">
        <v>0.3</v>
      </c>
      <c r="H172" s="39">
        <v>7.4999999999999997E-2</v>
      </c>
      <c r="I172" s="455">
        <f t="shared" si="56"/>
        <v>0.28280699999999998</v>
      </c>
      <c r="J172" s="30">
        <v>12569.2</v>
      </c>
      <c r="O172" s="32"/>
      <c r="P172" s="32"/>
    </row>
    <row r="173" spans="2:16" s="31" customFormat="1">
      <c r="B173" s="197"/>
      <c r="C173" s="35" t="s">
        <v>99</v>
      </c>
      <c r="D173" s="455"/>
      <c r="E173" s="35"/>
      <c r="F173" s="455"/>
      <c r="G173" s="35"/>
      <c r="H173" s="39"/>
      <c r="I173" s="455"/>
      <c r="J173" s="30"/>
      <c r="O173" s="32"/>
      <c r="P173" s="32"/>
    </row>
    <row r="174" spans="2:16" s="31" customFormat="1">
      <c r="B174" s="197" t="s">
        <v>35</v>
      </c>
      <c r="C174" s="35" t="s">
        <v>167</v>
      </c>
      <c r="D174" s="35"/>
      <c r="E174" s="35">
        <v>1</v>
      </c>
      <c r="F174" s="35">
        <f>J174/1000</f>
        <v>50.070599999999999</v>
      </c>
      <c r="G174" s="35">
        <v>0.3</v>
      </c>
      <c r="H174" s="39">
        <v>0.1</v>
      </c>
      <c r="I174" s="455">
        <f>PRODUCT(E174:H174)</f>
        <v>1.5021180000000001</v>
      </c>
      <c r="J174" s="30">
        <v>50070.6</v>
      </c>
      <c r="O174" s="32"/>
      <c r="P174" s="32"/>
    </row>
    <row r="175" spans="2:16" s="31" customFormat="1">
      <c r="B175" s="197"/>
      <c r="C175" s="35"/>
      <c r="D175" s="35"/>
      <c r="E175" s="35">
        <v>1</v>
      </c>
      <c r="F175" s="35">
        <f>J175/1000</f>
        <v>18.730400000000003</v>
      </c>
      <c r="G175" s="35">
        <v>0.3</v>
      </c>
      <c r="H175" s="39">
        <v>0.1</v>
      </c>
      <c r="I175" s="455">
        <f>PRODUCT(E175:H175)</f>
        <v>0.56191200000000008</v>
      </c>
      <c r="J175" s="30">
        <v>18730.400000000001</v>
      </c>
      <c r="O175" s="32"/>
      <c r="P175" s="32"/>
    </row>
    <row r="176" spans="2:16" s="393" customFormat="1">
      <c r="B176" s="394"/>
      <c r="C176" s="395" t="s">
        <v>426</v>
      </c>
      <c r="D176" s="395"/>
      <c r="E176" s="395"/>
      <c r="F176" s="395"/>
      <c r="G176" s="395"/>
      <c r="H176" s="396"/>
      <c r="I176" s="456"/>
      <c r="J176" s="397"/>
      <c r="O176" s="398"/>
      <c r="P176" s="398"/>
    </row>
    <row r="177" spans="1:19" s="393" customFormat="1">
      <c r="B177" s="400" t="s">
        <v>35</v>
      </c>
      <c r="C177" s="395" t="s">
        <v>427</v>
      </c>
      <c r="D177" s="395"/>
      <c r="E177" s="395">
        <v>1</v>
      </c>
      <c r="F177" s="836">
        <f t="shared" ref="F177:F178" si="57">J177/(1000*1000)</f>
        <v>94.165172400000003</v>
      </c>
      <c r="G177" s="836"/>
      <c r="H177" s="396">
        <v>0.1</v>
      </c>
      <c r="I177" s="456">
        <f t="shared" ref="I177:I179" si="58">PRODUCT(E177:H177)</f>
        <v>9.416517240000001</v>
      </c>
      <c r="J177" s="397">
        <v>94165172.400000006</v>
      </c>
      <c r="O177" s="398"/>
      <c r="P177" s="398"/>
    </row>
    <row r="178" spans="1:19" s="393" customFormat="1">
      <c r="B178" s="400" t="s">
        <v>36</v>
      </c>
      <c r="C178" s="395" t="s">
        <v>436</v>
      </c>
      <c r="D178" s="395"/>
      <c r="E178" s="395">
        <v>1</v>
      </c>
      <c r="F178" s="836">
        <f t="shared" si="57"/>
        <v>50.002229200000002</v>
      </c>
      <c r="G178" s="836"/>
      <c r="H178" s="396">
        <v>0.1</v>
      </c>
      <c r="I178" s="456">
        <f t="shared" si="58"/>
        <v>5.0002229200000006</v>
      </c>
      <c r="J178" s="397">
        <v>50002229.200000003</v>
      </c>
      <c r="O178" s="398"/>
      <c r="P178" s="398"/>
    </row>
    <row r="179" spans="1:19" s="393" customFormat="1">
      <c r="B179" s="400" t="s">
        <v>37</v>
      </c>
      <c r="C179" s="395" t="s">
        <v>428</v>
      </c>
      <c r="D179" s="395"/>
      <c r="E179" s="395">
        <v>1</v>
      </c>
      <c r="F179" s="395">
        <v>120.75</v>
      </c>
      <c r="G179" s="395">
        <v>1.5</v>
      </c>
      <c r="H179" s="396">
        <v>0.1</v>
      </c>
      <c r="I179" s="456">
        <f t="shared" si="58"/>
        <v>18.112500000000001</v>
      </c>
      <c r="J179" s="397">
        <v>181171977</v>
      </c>
      <c r="O179" s="398"/>
      <c r="P179" s="398"/>
    </row>
    <row r="180" spans="1:19" s="393" customFormat="1" ht="15">
      <c r="B180" s="400"/>
      <c r="C180" s="666" t="s">
        <v>261</v>
      </c>
      <c r="D180" s="456"/>
      <c r="E180" s="395"/>
      <c r="F180" s="395"/>
      <c r="G180" s="395"/>
      <c r="H180" s="456"/>
      <c r="I180" s="456"/>
      <c r="J180" s="397"/>
      <c r="O180" s="398"/>
      <c r="P180" s="398"/>
    </row>
    <row r="181" spans="1:19" s="395" customFormat="1">
      <c r="A181" s="402"/>
      <c r="B181" s="400" t="s">
        <v>35</v>
      </c>
      <c r="C181" s="395" t="s">
        <v>434</v>
      </c>
      <c r="E181" s="395">
        <v>1</v>
      </c>
      <c r="F181" s="395">
        <f>J181/1000</f>
        <v>9.7899999999999991</v>
      </c>
      <c r="G181" s="395">
        <v>0.3</v>
      </c>
      <c r="H181" s="403">
        <v>7.4999999999999997E-2</v>
      </c>
      <c r="I181" s="456">
        <f t="shared" ref="I181:I182" si="59">PRODUCT(E181:H181)</f>
        <v>0.22027499999999997</v>
      </c>
      <c r="J181" s="404">
        <f>9.79*1000</f>
        <v>9790</v>
      </c>
      <c r="K181" s="393"/>
    </row>
    <row r="182" spans="1:19" s="395" customFormat="1">
      <c r="A182" s="402"/>
      <c r="B182" s="400" t="s">
        <v>37</v>
      </c>
      <c r="C182" s="395" t="s">
        <v>435</v>
      </c>
      <c r="E182" s="395">
        <v>1</v>
      </c>
      <c r="F182" s="395">
        <f>J182/1000</f>
        <v>49.908699999999996</v>
      </c>
      <c r="G182" s="395">
        <v>0.3</v>
      </c>
      <c r="H182" s="403">
        <v>7.4999999999999997E-2</v>
      </c>
      <c r="I182" s="456">
        <f t="shared" si="59"/>
        <v>1.1229457499999997</v>
      </c>
      <c r="J182" s="404">
        <v>49908.7</v>
      </c>
      <c r="K182" s="393"/>
    </row>
    <row r="183" spans="1:19" s="393" customFormat="1" ht="15">
      <c r="B183" s="400"/>
      <c r="C183" s="666" t="s">
        <v>262</v>
      </c>
      <c r="D183" s="456"/>
      <c r="E183" s="395"/>
      <c r="F183" s="395"/>
      <c r="G183" s="395"/>
      <c r="H183" s="396"/>
      <c r="I183" s="456"/>
      <c r="J183" s="399"/>
    </row>
    <row r="184" spans="1:19" s="395" customFormat="1">
      <c r="A184" s="402"/>
      <c r="B184" s="400" t="s">
        <v>36</v>
      </c>
      <c r="C184" s="395" t="s">
        <v>436</v>
      </c>
      <c r="E184" s="395">
        <v>1</v>
      </c>
      <c r="F184" s="395">
        <f>J184/1000</f>
        <v>9.6128999999999998</v>
      </c>
      <c r="G184" s="395">
        <v>0.3</v>
      </c>
      <c r="H184" s="403">
        <v>7.4999999999999997E-2</v>
      </c>
      <c r="I184" s="456">
        <f>PRODUCT(E184:H184)</f>
        <v>0.21629024999999999</v>
      </c>
      <c r="J184" s="397">
        <v>9612.9</v>
      </c>
      <c r="K184" s="393"/>
      <c r="L184" s="393"/>
      <c r="M184" s="393"/>
      <c r="N184" s="393"/>
      <c r="O184" s="393"/>
      <c r="P184" s="393"/>
      <c r="Q184" s="393"/>
      <c r="R184" s="393"/>
      <c r="S184" s="393"/>
    </row>
    <row r="185" spans="1:19" s="405" customFormat="1">
      <c r="B185" s="400"/>
      <c r="C185" s="395"/>
      <c r="D185" s="395"/>
      <c r="E185" s="395">
        <v>1</v>
      </c>
      <c r="F185" s="395">
        <f t="shared" ref="F185:F186" si="60">J185/1000</f>
        <v>7.6281000000000008</v>
      </c>
      <c r="G185" s="395">
        <v>0.3</v>
      </c>
      <c r="H185" s="403">
        <v>7.4999999999999997E-2</v>
      </c>
      <c r="I185" s="456">
        <f t="shared" ref="I185:I186" si="61">PRODUCT(E185:H185)</f>
        <v>0.17163224999999999</v>
      </c>
      <c r="J185" s="397">
        <v>7628.1</v>
      </c>
      <c r="K185" s="393"/>
      <c r="L185" s="393"/>
      <c r="M185" s="393"/>
      <c r="N185" s="393"/>
      <c r="O185" s="393"/>
      <c r="P185" s="393"/>
      <c r="Q185" s="393"/>
      <c r="R185" s="393"/>
      <c r="S185" s="393"/>
    </row>
    <row r="186" spans="1:19" s="405" customFormat="1">
      <c r="B186" s="400"/>
      <c r="C186" s="395"/>
      <c r="D186" s="395"/>
      <c r="E186" s="395">
        <v>1</v>
      </c>
      <c r="F186" s="395">
        <f t="shared" si="60"/>
        <v>1.25</v>
      </c>
      <c r="G186" s="395">
        <v>0.3</v>
      </c>
      <c r="H186" s="403">
        <v>7.4999999999999997E-2</v>
      </c>
      <c r="I186" s="456">
        <f t="shared" si="61"/>
        <v>2.8124999999999997E-2</v>
      </c>
      <c r="J186" s="397">
        <v>1250</v>
      </c>
      <c r="K186" s="393"/>
      <c r="L186" s="393"/>
      <c r="M186" s="393"/>
      <c r="N186" s="393"/>
      <c r="O186" s="393"/>
      <c r="P186" s="393"/>
      <c r="Q186" s="393"/>
      <c r="R186" s="393"/>
      <c r="S186" s="393"/>
    </row>
    <row r="187" spans="1:19" s="405" customFormat="1">
      <c r="B187" s="400" t="s">
        <v>152</v>
      </c>
      <c r="C187" s="395" t="s">
        <v>437</v>
      </c>
      <c r="D187" s="395"/>
      <c r="E187" s="395">
        <v>1</v>
      </c>
      <c r="F187" s="395">
        <f>J187/1000</f>
        <v>79.588800000000006</v>
      </c>
      <c r="G187" s="395">
        <v>0.3</v>
      </c>
      <c r="H187" s="403">
        <v>7.4999999999999997E-2</v>
      </c>
      <c r="I187" s="456">
        <f>PRODUCT(E187:H187)</f>
        <v>1.790748</v>
      </c>
      <c r="J187" s="397">
        <v>79588.800000000003</v>
      </c>
      <c r="K187" s="393"/>
      <c r="L187" s="393"/>
      <c r="M187" s="393"/>
      <c r="N187" s="393"/>
      <c r="O187" s="393"/>
      <c r="P187" s="393"/>
      <c r="Q187" s="393"/>
      <c r="R187" s="393"/>
      <c r="S187" s="393"/>
    </row>
    <row r="188" spans="1:19" s="405" customFormat="1">
      <c r="B188" s="400"/>
      <c r="C188" s="395"/>
      <c r="D188" s="395"/>
      <c r="E188" s="395">
        <v>1</v>
      </c>
      <c r="F188" s="395">
        <f>J188/1000</f>
        <v>9.8824000000000005</v>
      </c>
      <c r="G188" s="395">
        <v>0.3</v>
      </c>
      <c r="H188" s="403">
        <v>7.4999999999999997E-2</v>
      </c>
      <c r="I188" s="456">
        <f>PRODUCT(E188:H188)</f>
        <v>0.22235400000000002</v>
      </c>
      <c r="J188" s="397">
        <v>9882.4</v>
      </c>
      <c r="K188" s="393"/>
      <c r="L188" s="393"/>
      <c r="M188" s="393"/>
      <c r="N188" s="393"/>
      <c r="O188" s="393"/>
      <c r="P188" s="393"/>
      <c r="Q188" s="393"/>
      <c r="R188" s="393"/>
      <c r="S188" s="393"/>
    </row>
    <row r="189" spans="1:19" s="405" customFormat="1">
      <c r="B189" s="400"/>
      <c r="C189" s="395"/>
      <c r="D189" s="395"/>
      <c r="E189" s="395">
        <v>1</v>
      </c>
      <c r="F189" s="395">
        <f>J189/1000</f>
        <v>66.769100000000009</v>
      </c>
      <c r="G189" s="395">
        <v>0.3</v>
      </c>
      <c r="H189" s="403">
        <v>7.4999999999999997E-2</v>
      </c>
      <c r="I189" s="456">
        <f>PRODUCT(E189:H189)</f>
        <v>1.5023047500000002</v>
      </c>
      <c r="J189" s="397">
        <v>66769.100000000006</v>
      </c>
      <c r="K189" s="393"/>
      <c r="L189" s="393"/>
      <c r="M189" s="393"/>
      <c r="N189" s="393"/>
      <c r="O189" s="393"/>
      <c r="P189" s="393"/>
      <c r="Q189" s="393"/>
      <c r="R189" s="393"/>
      <c r="S189" s="393"/>
    </row>
    <row r="190" spans="1:19" s="393" customFormat="1">
      <c r="B190" s="406"/>
      <c r="C190" s="401" t="s">
        <v>164</v>
      </c>
      <c r="D190" s="407"/>
      <c r="E190" s="407"/>
      <c r="F190" s="395"/>
      <c r="G190" s="407"/>
      <c r="H190" s="408"/>
      <c r="I190" s="456"/>
      <c r="J190" s="409"/>
      <c r="O190" s="398"/>
      <c r="P190" s="398"/>
    </row>
    <row r="191" spans="1:19" s="393" customFormat="1">
      <c r="B191" s="406" t="s">
        <v>35</v>
      </c>
      <c r="C191" s="407" t="s">
        <v>451</v>
      </c>
      <c r="D191" s="407"/>
      <c r="E191" s="407">
        <v>1</v>
      </c>
      <c r="F191" s="395">
        <f>J191/1000</f>
        <v>120.36280000000001</v>
      </c>
      <c r="G191" s="407">
        <v>0.3</v>
      </c>
      <c r="H191" s="408">
        <v>0.1</v>
      </c>
      <c r="I191" s="456">
        <f t="shared" ref="I191" si="62">PRODUCT(E191:H191)</f>
        <v>3.6108840000000004</v>
      </c>
      <c r="J191" s="409">
        <v>120362.8</v>
      </c>
      <c r="O191" s="398"/>
      <c r="P191" s="398"/>
    </row>
    <row r="192" spans="1:19" s="393" customFormat="1">
      <c r="B192" s="394"/>
      <c r="C192" s="395" t="s">
        <v>554</v>
      </c>
      <c r="D192" s="395"/>
      <c r="E192" s="395"/>
      <c r="F192" s="836"/>
      <c r="G192" s="836"/>
      <c r="H192" s="396"/>
      <c r="I192" s="677"/>
      <c r="J192" s="397"/>
      <c r="O192" s="398"/>
      <c r="P192" s="398"/>
    </row>
    <row r="193" spans="2:16" s="393" customFormat="1">
      <c r="B193" s="394" t="s">
        <v>35</v>
      </c>
      <c r="C193" s="395" t="s">
        <v>556</v>
      </c>
      <c r="D193" s="395"/>
      <c r="E193" s="395">
        <v>1</v>
      </c>
      <c r="F193" s="836">
        <f>141-F179</f>
        <v>20.25</v>
      </c>
      <c r="G193" s="836">
        <v>1.5</v>
      </c>
      <c r="H193" s="396">
        <v>0.1</v>
      </c>
      <c r="I193" s="677">
        <f t="shared" ref="I193" si="63">PRODUCT(E193:H193)</f>
        <v>3.0375000000000001</v>
      </c>
      <c r="J193" s="397">
        <v>29508061.600000001</v>
      </c>
      <c r="O193" s="398"/>
      <c r="P193" s="398"/>
    </row>
    <row r="194" spans="2:16" s="393" customFormat="1">
      <c r="B194" s="394" t="s">
        <v>36</v>
      </c>
      <c r="C194" s="395" t="s">
        <v>557</v>
      </c>
      <c r="D194" s="395"/>
      <c r="E194" s="395">
        <v>1</v>
      </c>
      <c r="F194" s="836">
        <f>J194/1000000</f>
        <v>14.3</v>
      </c>
      <c r="G194" s="836"/>
      <c r="H194" s="396">
        <v>0.1</v>
      </c>
      <c r="I194" s="677">
        <f t="shared" ref="I194:I195" si="64">PRODUCT(E194:H194)</f>
        <v>1.4300000000000002</v>
      </c>
      <c r="J194" s="397">
        <v>14300000</v>
      </c>
      <c r="O194" s="398"/>
      <c r="P194" s="398"/>
    </row>
    <row r="195" spans="2:16" s="393" customFormat="1">
      <c r="B195" s="394" t="s">
        <v>37</v>
      </c>
      <c r="C195" s="395" t="s">
        <v>590</v>
      </c>
      <c r="D195" s="395"/>
      <c r="E195" s="395">
        <v>1</v>
      </c>
      <c r="F195" s="836">
        <f>J195/1000000</f>
        <v>54.4066014</v>
      </c>
      <c r="G195" s="836"/>
      <c r="H195" s="396">
        <v>0.1</v>
      </c>
      <c r="I195" s="677">
        <f t="shared" si="64"/>
        <v>5.4406601400000003</v>
      </c>
      <c r="J195" s="397">
        <v>54406601.399999999</v>
      </c>
      <c r="O195" s="398"/>
      <c r="P195" s="398"/>
    </row>
    <row r="196" spans="2:16" s="28" customFormat="1" ht="15">
      <c r="B196" s="41"/>
      <c r="C196" s="42" t="s">
        <v>26</v>
      </c>
      <c r="D196" s="42"/>
      <c r="E196" s="42"/>
      <c r="F196" s="42"/>
      <c r="G196" s="42"/>
      <c r="H196" s="42"/>
      <c r="I196" s="42">
        <f>SUM(I134:I195)</f>
        <v>210.01479287000001</v>
      </c>
      <c r="J196" s="43" t="s">
        <v>28</v>
      </c>
      <c r="K196" s="28">
        <f>I196-I135-I136-I137</f>
        <v>199.38895187</v>
      </c>
      <c r="L196" s="31" t="s">
        <v>28</v>
      </c>
      <c r="O196" s="29"/>
      <c r="P196" s="29"/>
    </row>
    <row r="197" spans="2:16">
      <c r="B197" s="62"/>
      <c r="C197" s="58"/>
      <c r="D197" s="58"/>
      <c r="E197" s="58"/>
      <c r="F197" s="58"/>
      <c r="G197" s="58"/>
      <c r="H197" s="58"/>
      <c r="I197" s="58"/>
      <c r="J197" s="61"/>
    </row>
    <row r="198" spans="2:16">
      <c r="B198" s="62"/>
      <c r="C198" s="58"/>
      <c r="D198" s="58"/>
      <c r="E198" s="58"/>
      <c r="F198" s="58"/>
      <c r="G198" s="58"/>
      <c r="H198" s="58"/>
      <c r="I198" s="58"/>
      <c r="J198" s="61"/>
    </row>
    <row r="199" spans="2:16" s="31" customFormat="1" ht="60">
      <c r="B199" s="27">
        <f>'Abstract '!A31</f>
        <v>30</v>
      </c>
      <c r="C199" s="40" t="str">
        <f>'Abstract '!B31</f>
        <v>Land__SUP/FILL_sweet earth fill
Shifting and Filling of existing soil within the site for planter box and any other location manually
with consolidation.</v>
      </c>
      <c r="D199" s="52" t="s">
        <v>28</v>
      </c>
      <c r="E199" s="455"/>
      <c r="F199" s="455"/>
      <c r="G199" s="455"/>
      <c r="H199" s="455"/>
      <c r="I199" s="455"/>
      <c r="J199" s="30"/>
      <c r="O199" s="32"/>
      <c r="P199" s="32"/>
    </row>
    <row r="200" spans="2:16" s="31" customFormat="1" ht="15">
      <c r="B200" s="27"/>
      <c r="C200" s="34" t="s">
        <v>8</v>
      </c>
      <c r="D200" s="455"/>
      <c r="E200" s="455"/>
      <c r="F200" s="455"/>
      <c r="G200" s="455"/>
      <c r="H200" s="455"/>
      <c r="I200" s="455"/>
      <c r="J200" s="30"/>
      <c r="O200" s="32"/>
      <c r="P200" s="32"/>
    </row>
    <row r="201" spans="2:16" s="31" customFormat="1" ht="15">
      <c r="B201" s="27" t="s">
        <v>35</v>
      </c>
      <c r="C201" s="35" t="s">
        <v>45</v>
      </c>
      <c r="D201" s="35"/>
      <c r="E201" s="35">
        <v>1</v>
      </c>
      <c r="F201" s="837">
        <f>J201/(1000*1000)</f>
        <v>352.14081010000001</v>
      </c>
      <c r="G201" s="837"/>
      <c r="H201" s="39"/>
      <c r="I201" s="455">
        <f>PRODUCT(E201:H201)</f>
        <v>352.14081010000001</v>
      </c>
      <c r="J201" s="30">
        <v>352140810.10000002</v>
      </c>
      <c r="K201" s="31" t="s">
        <v>126</v>
      </c>
      <c r="O201" s="32"/>
      <c r="P201" s="32"/>
    </row>
    <row r="202" spans="2:16" s="31" customFormat="1" ht="15">
      <c r="B202" s="27" t="s">
        <v>36</v>
      </c>
      <c r="C202" s="35" t="s">
        <v>54</v>
      </c>
      <c r="D202" s="35"/>
      <c r="E202" s="35">
        <v>1</v>
      </c>
      <c r="F202" s="837">
        <f>J202/(1000*1000)</f>
        <v>409.0158586</v>
      </c>
      <c r="G202" s="837"/>
      <c r="H202" s="39">
        <v>0.498</v>
      </c>
      <c r="I202" s="455">
        <f>PRODUCT(E202:H202)</f>
        <v>203.6898975828</v>
      </c>
      <c r="J202" s="30">
        <v>409015858.60000002</v>
      </c>
      <c r="K202" s="31" t="s">
        <v>126</v>
      </c>
      <c r="O202" s="32"/>
      <c r="P202" s="32"/>
    </row>
    <row r="203" spans="2:16" s="31" customFormat="1" ht="15">
      <c r="B203" s="27" t="s">
        <v>37</v>
      </c>
      <c r="C203" s="34" t="s">
        <v>53</v>
      </c>
      <c r="D203" s="455"/>
      <c r="E203" s="35">
        <v>1</v>
      </c>
      <c r="F203" s="837">
        <f>J203/(1000*1000)</f>
        <v>329.64819399999999</v>
      </c>
      <c r="G203" s="837"/>
      <c r="H203" s="39">
        <v>0.56999999999999995</v>
      </c>
      <c r="I203" s="455">
        <f>PRODUCT(E203:H203)</f>
        <v>187.89947057999998</v>
      </c>
      <c r="J203" s="30">
        <v>329648194</v>
      </c>
      <c r="K203" s="31" t="s">
        <v>125</v>
      </c>
      <c r="O203" s="32"/>
      <c r="P203" s="32"/>
    </row>
    <row r="204" spans="2:16" s="393" customFormat="1">
      <c r="B204" s="394"/>
      <c r="C204" s="401" t="s">
        <v>426</v>
      </c>
      <c r="D204" s="395"/>
      <c r="E204" s="395"/>
      <c r="F204" s="836"/>
      <c r="G204" s="836"/>
      <c r="H204" s="396"/>
      <c r="I204" s="456"/>
      <c r="J204" s="397"/>
      <c r="O204" s="398"/>
      <c r="P204" s="398"/>
    </row>
    <row r="205" spans="2:16" s="393" customFormat="1">
      <c r="B205" s="394" t="s">
        <v>35</v>
      </c>
      <c r="C205" s="395" t="s">
        <v>446</v>
      </c>
      <c r="D205" s="395"/>
      <c r="E205" s="395">
        <v>1</v>
      </c>
      <c r="F205" s="836">
        <f>J205/1000000</f>
        <v>774.3014682999999</v>
      </c>
      <c r="G205" s="836"/>
      <c r="H205" s="396">
        <f>RLS!F45</f>
        <v>0.24512500000000159</v>
      </c>
      <c r="I205" s="396">
        <f>PRODUCT(E205:H205)</f>
        <v>189.8006474170387</v>
      </c>
      <c r="J205" s="397">
        <v>774301468.29999995</v>
      </c>
      <c r="O205" s="398"/>
      <c r="P205" s="398"/>
    </row>
    <row r="206" spans="2:16" s="393" customFormat="1">
      <c r="B206" s="394" t="s">
        <v>36</v>
      </c>
      <c r="C206" s="395" t="s">
        <v>447</v>
      </c>
      <c r="D206" s="395"/>
      <c r="E206" s="395">
        <v>1</v>
      </c>
      <c r="F206" s="836">
        <f>J206/1000000</f>
        <v>104.8237175</v>
      </c>
      <c r="G206" s="836"/>
      <c r="H206" s="396">
        <f>RLS!F45</f>
        <v>0.24512500000000159</v>
      </c>
      <c r="I206" s="396">
        <f t="shared" ref="I206:I220" si="65">PRODUCT(E206:H206)</f>
        <v>25.694913752187666</v>
      </c>
      <c r="J206" s="397">
        <v>104823717.5</v>
      </c>
      <c r="O206" s="398"/>
      <c r="P206" s="398"/>
    </row>
    <row r="207" spans="2:16" s="393" customFormat="1">
      <c r="B207" s="394" t="s">
        <v>37</v>
      </c>
      <c r="C207" s="395" t="s">
        <v>448</v>
      </c>
      <c r="D207" s="395"/>
      <c r="E207" s="395">
        <v>1</v>
      </c>
      <c r="F207" s="836">
        <f t="shared" ref="F207:F211" si="66">J207/1000000</f>
        <v>123.19960570000001</v>
      </c>
      <c r="G207" s="836"/>
      <c r="H207" s="396">
        <f>RLS!K55</f>
        <v>0.375</v>
      </c>
      <c r="I207" s="396">
        <f t="shared" si="65"/>
        <v>46.199852137500002</v>
      </c>
      <c r="J207" s="397">
        <v>123199605.7</v>
      </c>
      <c r="O207" s="398"/>
      <c r="P207" s="398"/>
    </row>
    <row r="208" spans="2:16" s="393" customFormat="1">
      <c r="B208" s="394" t="s">
        <v>37</v>
      </c>
      <c r="C208" s="395" t="s">
        <v>448</v>
      </c>
      <c r="D208" s="395"/>
      <c r="E208" s="395">
        <v>1</v>
      </c>
      <c r="F208" s="836">
        <f t="shared" si="66"/>
        <v>36.868782600000003</v>
      </c>
      <c r="G208" s="836"/>
      <c r="H208" s="396">
        <f>RLS!K55</f>
        <v>0.375</v>
      </c>
      <c r="I208" s="396">
        <f t="shared" si="65"/>
        <v>13.825793475000001</v>
      </c>
      <c r="J208" s="397">
        <v>36868782.600000001</v>
      </c>
      <c r="O208" s="398"/>
      <c r="P208" s="398"/>
    </row>
    <row r="209" spans="2:16" s="393" customFormat="1">
      <c r="B209" s="394" t="s">
        <v>152</v>
      </c>
      <c r="C209" s="395" t="s">
        <v>449</v>
      </c>
      <c r="D209" s="395"/>
      <c r="E209" s="395">
        <v>1</v>
      </c>
      <c r="F209" s="836">
        <f t="shared" si="66"/>
        <v>54.827575799999998</v>
      </c>
      <c r="G209" s="836"/>
      <c r="H209" s="396">
        <f>RLS!K45</f>
        <v>0.48712499999999181</v>
      </c>
      <c r="I209" s="396">
        <f t="shared" si="65"/>
        <v>26.70788286157455</v>
      </c>
      <c r="J209" s="397">
        <v>54827575.799999997</v>
      </c>
      <c r="O209" s="398"/>
      <c r="P209" s="398"/>
    </row>
    <row r="210" spans="2:16" s="393" customFormat="1">
      <c r="B210" s="394" t="s">
        <v>152</v>
      </c>
      <c r="C210" s="395" t="s">
        <v>449</v>
      </c>
      <c r="D210" s="395"/>
      <c r="E210" s="395">
        <v>1</v>
      </c>
      <c r="F210" s="836">
        <f t="shared" si="66"/>
        <v>15.3290711</v>
      </c>
      <c r="G210" s="836"/>
      <c r="H210" s="396">
        <f>RLS!K45</f>
        <v>0.48712499999999181</v>
      </c>
      <c r="I210" s="396">
        <f t="shared" si="65"/>
        <v>7.4671737595873742</v>
      </c>
      <c r="J210" s="397">
        <v>15329071.1</v>
      </c>
      <c r="O210" s="398"/>
      <c r="P210" s="398"/>
    </row>
    <row r="211" spans="2:16" s="393" customFormat="1">
      <c r="B211" s="394" t="s">
        <v>152</v>
      </c>
      <c r="C211" s="395" t="s">
        <v>449</v>
      </c>
      <c r="D211" s="395"/>
      <c r="E211" s="395">
        <v>1</v>
      </c>
      <c r="F211" s="836">
        <f t="shared" si="66"/>
        <v>12.5238481</v>
      </c>
      <c r="G211" s="836"/>
      <c r="H211" s="396">
        <f>RLS!K45</f>
        <v>0.48712499999999181</v>
      </c>
      <c r="I211" s="396">
        <f t="shared" si="65"/>
        <v>6.1006795057123977</v>
      </c>
      <c r="J211" s="397">
        <v>12523848.1</v>
      </c>
      <c r="O211" s="398"/>
      <c r="P211" s="398"/>
    </row>
    <row r="212" spans="2:16" s="393" customFormat="1">
      <c r="B212" s="394" t="s">
        <v>154</v>
      </c>
      <c r="C212" s="395" t="s">
        <v>150</v>
      </c>
      <c r="D212" s="395"/>
      <c r="E212" s="395">
        <v>1</v>
      </c>
      <c r="F212" s="456">
        <v>13.5</v>
      </c>
      <c r="G212" s="456">
        <v>12</v>
      </c>
      <c r="H212" s="396">
        <f>RLS!F62</f>
        <v>0.84937499999998067</v>
      </c>
      <c r="I212" s="396">
        <f t="shared" si="65"/>
        <v>137.59874999999687</v>
      </c>
      <c r="J212" s="397" t="s">
        <v>450</v>
      </c>
      <c r="O212" s="398"/>
      <c r="P212" s="398"/>
    </row>
    <row r="213" spans="2:16" s="393" customFormat="1">
      <c r="B213" s="394"/>
      <c r="C213" s="395" t="s">
        <v>554</v>
      </c>
      <c r="D213" s="395"/>
      <c r="E213" s="395"/>
      <c r="F213" s="836"/>
      <c r="G213" s="836"/>
      <c r="H213" s="396"/>
      <c r="I213" s="677"/>
      <c r="J213" s="397"/>
      <c r="M213" s="393">
        <f>97.6-97.975</f>
        <v>-0.375</v>
      </c>
      <c r="O213" s="398"/>
      <c r="P213" s="398"/>
    </row>
    <row r="214" spans="2:16" s="393" customFormat="1">
      <c r="B214" s="394" t="s">
        <v>35</v>
      </c>
      <c r="C214" s="395" t="s">
        <v>570</v>
      </c>
      <c r="D214" s="395"/>
      <c r="E214" s="395">
        <v>1</v>
      </c>
      <c r="F214" s="836">
        <f>J214/1000000</f>
        <v>160.71728380000002</v>
      </c>
      <c r="G214" s="836"/>
      <c r="H214" s="396">
        <v>0.375</v>
      </c>
      <c r="I214" s="677">
        <f t="shared" si="65"/>
        <v>60.268981425000007</v>
      </c>
      <c r="J214" s="397">
        <v>160717283.80000001</v>
      </c>
      <c r="O214" s="398"/>
      <c r="P214" s="398"/>
    </row>
    <row r="215" spans="2:16" s="393" customFormat="1">
      <c r="B215" s="394" t="s">
        <v>156</v>
      </c>
      <c r="C215" s="395" t="s">
        <v>570</v>
      </c>
      <c r="D215" s="395"/>
      <c r="E215" s="395">
        <v>1</v>
      </c>
      <c r="F215" s="836">
        <f>J215/1000000</f>
        <v>43.123819500000003</v>
      </c>
      <c r="G215" s="836"/>
      <c r="H215" s="396">
        <v>0.4</v>
      </c>
      <c r="I215" s="677">
        <f t="shared" ref="I215" si="67">PRODUCT(E215:H215)</f>
        <v>17.249527800000003</v>
      </c>
      <c r="J215" s="397">
        <v>43123819.5</v>
      </c>
      <c r="O215" s="398"/>
      <c r="P215" s="398"/>
    </row>
    <row r="216" spans="2:16" s="393" customFormat="1">
      <c r="B216" s="394" t="s">
        <v>36</v>
      </c>
      <c r="C216" s="395" t="s">
        <v>571</v>
      </c>
      <c r="D216" s="395"/>
      <c r="E216" s="395">
        <v>0</v>
      </c>
      <c r="F216" s="836">
        <v>100</v>
      </c>
      <c r="G216" s="836">
        <v>2.2000000000000002</v>
      </c>
      <c r="H216" s="396">
        <v>0.1</v>
      </c>
      <c r="I216" s="677">
        <f t="shared" si="65"/>
        <v>0</v>
      </c>
      <c r="J216" s="397"/>
      <c r="O216" s="398"/>
      <c r="P216" s="398"/>
    </row>
    <row r="217" spans="2:16" s="393" customFormat="1">
      <c r="B217" s="394" t="s">
        <v>37</v>
      </c>
      <c r="C217" s="395" t="s">
        <v>572</v>
      </c>
      <c r="D217" s="395"/>
      <c r="E217" s="395">
        <v>0</v>
      </c>
      <c r="F217" s="836">
        <v>100</v>
      </c>
      <c r="G217" s="836">
        <v>1</v>
      </c>
      <c r="H217" s="396">
        <v>0.38</v>
      </c>
      <c r="I217" s="677">
        <f t="shared" si="65"/>
        <v>0</v>
      </c>
      <c r="J217" s="397"/>
      <c r="O217" s="398"/>
      <c r="P217" s="398"/>
    </row>
    <row r="218" spans="2:16" s="393" customFormat="1">
      <c r="B218" s="394" t="s">
        <v>152</v>
      </c>
      <c r="C218" s="395" t="s">
        <v>590</v>
      </c>
      <c r="D218" s="395"/>
      <c r="E218" s="395">
        <v>0</v>
      </c>
      <c r="F218" s="836">
        <f>J218/1000000</f>
        <v>48.722230000000003</v>
      </c>
      <c r="G218" s="836"/>
      <c r="H218" s="396">
        <v>0.2</v>
      </c>
      <c r="I218" s="677">
        <f t="shared" si="65"/>
        <v>0</v>
      </c>
      <c r="J218" s="397">
        <v>48722230</v>
      </c>
      <c r="O218" s="398"/>
      <c r="P218" s="398"/>
    </row>
    <row r="219" spans="2:16" s="393" customFormat="1">
      <c r="B219" s="394" t="s">
        <v>591</v>
      </c>
      <c r="C219" s="395" t="s">
        <v>592</v>
      </c>
      <c r="D219" s="395"/>
      <c r="E219" s="395">
        <v>1</v>
      </c>
      <c r="F219" s="836">
        <f>J219/1000000</f>
        <v>692.6920824</v>
      </c>
      <c r="G219" s="836"/>
      <c r="H219" s="396">
        <v>0.33600000000000002</v>
      </c>
      <c r="I219" s="677">
        <f t="shared" si="65"/>
        <v>232.7445396864</v>
      </c>
      <c r="J219" s="397">
        <v>692692082.39999998</v>
      </c>
      <c r="O219" s="398"/>
      <c r="P219" s="398"/>
    </row>
    <row r="220" spans="2:16" s="393" customFormat="1">
      <c r="B220" s="394"/>
      <c r="C220" s="395" t="s">
        <v>593</v>
      </c>
      <c r="D220" s="395"/>
      <c r="E220" s="395">
        <v>-1</v>
      </c>
      <c r="F220" s="836">
        <f>J220/1000000</f>
        <v>229.06051360000001</v>
      </c>
      <c r="G220" s="836"/>
      <c r="H220" s="396">
        <v>0.33600000000000002</v>
      </c>
      <c r="I220" s="677">
        <f t="shared" si="65"/>
        <v>-76.964332569600003</v>
      </c>
      <c r="J220" s="397">
        <v>229060513.59999999</v>
      </c>
      <c r="O220" s="398"/>
      <c r="P220" s="398"/>
    </row>
    <row r="221" spans="2:16" s="424" customFormat="1" ht="15">
      <c r="B221" s="99"/>
      <c r="C221" s="100" t="s">
        <v>634</v>
      </c>
      <c r="D221" s="100"/>
      <c r="E221" s="100"/>
      <c r="F221" s="684"/>
      <c r="G221" s="684"/>
      <c r="H221" s="105"/>
      <c r="I221" s="684"/>
      <c r="J221" s="101"/>
      <c r="O221" s="686"/>
      <c r="P221" s="686"/>
    </row>
    <row r="222" spans="2:16" s="424" customFormat="1" ht="15">
      <c r="B222" s="99" t="s">
        <v>37</v>
      </c>
      <c r="C222" s="100" t="s">
        <v>572</v>
      </c>
      <c r="D222" s="100"/>
      <c r="E222" s="100">
        <v>1</v>
      </c>
      <c r="F222" s="847">
        <v>100</v>
      </c>
      <c r="G222" s="847">
        <v>1</v>
      </c>
      <c r="H222" s="105">
        <v>0.375</v>
      </c>
      <c r="I222" s="684">
        <f t="shared" ref="I222:I224" si="68">PRODUCT(E222:H222)</f>
        <v>37.5</v>
      </c>
      <c r="J222" s="101"/>
      <c r="O222" s="686"/>
      <c r="P222" s="686"/>
    </row>
    <row r="223" spans="2:16" s="424" customFormat="1" ht="15">
      <c r="B223" s="99" t="s">
        <v>36</v>
      </c>
      <c r="C223" s="100" t="s">
        <v>571</v>
      </c>
      <c r="D223" s="100"/>
      <c r="E223" s="100">
        <v>1</v>
      </c>
      <c r="F223" s="847">
        <v>100</v>
      </c>
      <c r="G223" s="847">
        <v>2.2000000000000002</v>
      </c>
      <c r="H223" s="105">
        <v>0.1</v>
      </c>
      <c r="I223" s="684">
        <f t="shared" si="68"/>
        <v>22.000000000000004</v>
      </c>
      <c r="J223" s="101"/>
      <c r="O223" s="686"/>
      <c r="P223" s="686"/>
    </row>
    <row r="224" spans="2:16" s="424" customFormat="1" ht="15">
      <c r="B224" s="99" t="s">
        <v>152</v>
      </c>
      <c r="C224" s="100" t="s">
        <v>590</v>
      </c>
      <c r="D224" s="100"/>
      <c r="E224" s="100">
        <v>1</v>
      </c>
      <c r="F224" s="847">
        <f>J224/1000000</f>
        <v>48.722230000000003</v>
      </c>
      <c r="G224" s="847"/>
      <c r="H224" s="105">
        <v>0.2</v>
      </c>
      <c r="I224" s="684">
        <f t="shared" si="68"/>
        <v>9.7444460000000017</v>
      </c>
      <c r="J224" s="101">
        <v>48722230</v>
      </c>
      <c r="O224" s="686"/>
      <c r="P224" s="686"/>
    </row>
    <row r="225" spans="2:18" s="28" customFormat="1" ht="15">
      <c r="B225" s="41"/>
      <c r="C225" s="42" t="s">
        <v>26</v>
      </c>
      <c r="D225" s="42"/>
      <c r="E225" s="42"/>
      <c r="F225" s="42"/>
      <c r="G225" s="42"/>
      <c r="H225" s="42"/>
      <c r="I225" s="42">
        <f>SUM(I201:I224)</f>
        <v>1499.6690335131975</v>
      </c>
      <c r="J225" s="43" t="s">
        <v>28</v>
      </c>
      <c r="N225" s="26"/>
      <c r="O225" s="25"/>
      <c r="P225" s="25"/>
      <c r="Q225" s="26"/>
      <c r="R225" s="26"/>
    </row>
    <row r="226" spans="2:18">
      <c r="B226" s="62"/>
      <c r="C226" s="58"/>
      <c r="D226" s="58"/>
      <c r="E226" s="58"/>
      <c r="F226" s="58"/>
      <c r="G226" s="58"/>
      <c r="H226" s="58"/>
      <c r="I226" s="58"/>
      <c r="J226" s="61"/>
    </row>
    <row r="227" spans="2:18" s="31" customFormat="1" ht="105">
      <c r="B227" s="27">
        <f>'Abstract '!A30</f>
        <v>20</v>
      </c>
      <c r="C227" s="33" t="str">
        <f>'Abstract '!B30</f>
        <v>Land_SUP/FlX_Wet Mix Macadam 
Providing,laying 2 layers WMM (Wet mix macadem) with Stone aggregate with approved quality of 20mm down grade and quarry dust, well packed, correct to level. The surface shall be consolidated by 8 to 10 Tonne power road roller after spreading of well compacted earth or boulder soling as the sub base etc., complete. The finish consolidated thickness shall be 150mm.</v>
      </c>
      <c r="D227" s="455"/>
      <c r="E227" s="455"/>
      <c r="F227" s="455"/>
      <c r="G227" s="455"/>
      <c r="H227" s="455"/>
      <c r="I227" s="455"/>
      <c r="J227" s="30"/>
      <c r="O227" s="32"/>
      <c r="P227" s="32"/>
    </row>
    <row r="228" spans="2:18" s="31" customFormat="1" ht="15">
      <c r="B228" s="27"/>
      <c r="C228" s="34" t="s">
        <v>8</v>
      </c>
      <c r="D228" s="455"/>
      <c r="E228" s="455"/>
      <c r="F228" s="455"/>
      <c r="G228" s="455"/>
      <c r="H228" s="455"/>
      <c r="I228" s="455"/>
      <c r="J228" s="30"/>
      <c r="O228" s="32"/>
      <c r="P228" s="32"/>
    </row>
    <row r="229" spans="2:18" s="31" customFormat="1" ht="15">
      <c r="B229" s="27" t="s">
        <v>35</v>
      </c>
      <c r="C229" s="35" t="s">
        <v>38</v>
      </c>
      <c r="D229" s="35" t="s">
        <v>28</v>
      </c>
      <c r="E229" s="35">
        <v>1</v>
      </c>
      <c r="F229" s="837">
        <f>J229/(1000*1000)</f>
        <v>795.45677739999996</v>
      </c>
      <c r="G229" s="837"/>
      <c r="H229" s="39">
        <v>0.15</v>
      </c>
      <c r="I229" s="455">
        <f>PRODUCT(E229:H229)</f>
        <v>119.31851660999999</v>
      </c>
      <c r="J229" s="30">
        <v>795456777.39999998</v>
      </c>
      <c r="O229" s="32"/>
      <c r="P229" s="32"/>
    </row>
    <row r="230" spans="2:18" s="31" customFormat="1">
      <c r="B230" s="197"/>
      <c r="C230" s="35" t="s">
        <v>148</v>
      </c>
      <c r="D230" s="35"/>
      <c r="E230" s="35"/>
      <c r="F230" s="455"/>
      <c r="G230" s="455"/>
      <c r="H230" s="455"/>
      <c r="I230" s="455"/>
      <c r="J230" s="30"/>
      <c r="O230" s="32"/>
      <c r="P230" s="32"/>
    </row>
    <row r="231" spans="2:18" s="31" customFormat="1">
      <c r="B231" s="197" t="s">
        <v>35</v>
      </c>
      <c r="C231" s="35" t="s">
        <v>179</v>
      </c>
      <c r="D231" s="35"/>
      <c r="E231" s="35">
        <v>1</v>
      </c>
      <c r="F231" s="837">
        <f>J231/(1000*1000)</f>
        <v>1153.8228652</v>
      </c>
      <c r="G231" s="837"/>
      <c r="H231" s="39">
        <v>0.15</v>
      </c>
      <c r="I231" s="455">
        <f>PRODUCT(E231:H231)</f>
        <v>173.07342978</v>
      </c>
      <c r="J231" s="30">
        <v>1153822865.2</v>
      </c>
      <c r="O231" s="32"/>
      <c r="P231" s="32"/>
    </row>
    <row r="232" spans="2:18" s="31" customFormat="1">
      <c r="B232" s="197" t="s">
        <v>36</v>
      </c>
      <c r="C232" s="35" t="s">
        <v>167</v>
      </c>
      <c r="D232" s="35"/>
      <c r="E232" s="35">
        <v>1</v>
      </c>
      <c r="F232" s="837">
        <f>J232/(1000*1000)</f>
        <v>99.827298099999993</v>
      </c>
      <c r="G232" s="837"/>
      <c r="H232" s="39">
        <v>0.15</v>
      </c>
      <c r="I232" s="455">
        <f>PRODUCT(E232:H232)</f>
        <v>14.974094714999998</v>
      </c>
      <c r="J232" s="30">
        <v>99827298.099999994</v>
      </c>
      <c r="O232" s="32"/>
      <c r="P232" s="32"/>
    </row>
    <row r="233" spans="2:18" s="31" customFormat="1">
      <c r="B233" s="197" t="s">
        <v>37</v>
      </c>
      <c r="C233" s="35" t="s">
        <v>167</v>
      </c>
      <c r="D233" s="35"/>
      <c r="E233" s="35">
        <v>1</v>
      </c>
      <c r="F233" s="837">
        <f>J233/(1000*1000)</f>
        <v>408.4367767</v>
      </c>
      <c r="G233" s="837"/>
      <c r="H233" s="39">
        <v>0.15</v>
      </c>
      <c r="I233" s="455">
        <f>PRODUCT(E233:H233)</f>
        <v>61.265516504999994</v>
      </c>
      <c r="J233" s="30">
        <v>408436776.69999999</v>
      </c>
      <c r="O233" s="32"/>
      <c r="P233" s="32"/>
    </row>
    <row r="234" spans="2:18" s="31" customFormat="1">
      <c r="B234" s="197"/>
      <c r="C234" s="35" t="s">
        <v>184</v>
      </c>
      <c r="D234" s="35"/>
      <c r="E234" s="35">
        <v>-1</v>
      </c>
      <c r="F234" s="837">
        <f t="shared" ref="F234" si="69">J234/(1000*1000)</f>
        <v>42.792993000000003</v>
      </c>
      <c r="G234" s="837"/>
      <c r="H234" s="455">
        <v>0.1</v>
      </c>
      <c r="I234" s="455">
        <f t="shared" ref="I234" si="70">PRODUCT(E234:H234)</f>
        <v>-4.2792993000000008</v>
      </c>
      <c r="J234" s="30">
        <v>42792993</v>
      </c>
      <c r="O234" s="32"/>
      <c r="P234" s="32"/>
    </row>
    <row r="235" spans="2:18" s="393" customFormat="1">
      <c r="B235" s="394"/>
      <c r="C235" s="395" t="s">
        <v>426</v>
      </c>
      <c r="D235" s="395"/>
      <c r="E235" s="395"/>
      <c r="F235" s="456"/>
      <c r="G235" s="456"/>
      <c r="H235" s="456"/>
      <c r="I235" s="456"/>
      <c r="J235" s="397"/>
      <c r="O235" s="398"/>
      <c r="P235" s="398"/>
    </row>
    <row r="236" spans="2:18" s="393" customFormat="1">
      <c r="B236" s="394" t="s">
        <v>35</v>
      </c>
      <c r="C236" s="395" t="s">
        <v>435</v>
      </c>
      <c r="D236" s="395"/>
      <c r="E236" s="395">
        <v>1</v>
      </c>
      <c r="F236" s="836">
        <f>J236/(1000*1000)</f>
        <v>216.52101200000001</v>
      </c>
      <c r="G236" s="836"/>
      <c r="H236" s="456">
        <v>0.15</v>
      </c>
      <c r="I236" s="456">
        <f>PRODUCT(E236:H236)</f>
        <v>32.478151799999999</v>
      </c>
      <c r="J236" s="404">
        <v>216521012</v>
      </c>
      <c r="O236" s="398"/>
      <c r="P236" s="398"/>
    </row>
    <row r="237" spans="2:18" s="393" customFormat="1">
      <c r="B237" s="394"/>
      <c r="C237" s="395" t="s">
        <v>554</v>
      </c>
      <c r="D237" s="395"/>
      <c r="E237" s="395"/>
      <c r="F237" s="836"/>
      <c r="G237" s="836"/>
      <c r="H237" s="396"/>
      <c r="I237" s="677"/>
      <c r="J237" s="397"/>
      <c r="O237" s="398"/>
      <c r="P237" s="398"/>
    </row>
    <row r="238" spans="2:18" s="393" customFormat="1">
      <c r="B238" s="394" t="s">
        <v>558</v>
      </c>
      <c r="C238" s="395" t="s">
        <v>451</v>
      </c>
      <c r="D238" s="395"/>
      <c r="E238" s="395">
        <v>1</v>
      </c>
      <c r="F238" s="836">
        <f>J238/1000000</f>
        <v>873.79413150000005</v>
      </c>
      <c r="G238" s="836"/>
      <c r="H238" s="396">
        <v>0.15</v>
      </c>
      <c r="I238" s="677">
        <f>PRODUCT(E238:H238)</f>
        <v>131.06911972500001</v>
      </c>
      <c r="J238" s="397">
        <v>873794131.5</v>
      </c>
      <c r="O238" s="398"/>
      <c r="P238" s="398"/>
    </row>
    <row r="239" spans="2:18" s="393" customFormat="1">
      <c r="B239" s="394" t="s">
        <v>36</v>
      </c>
      <c r="C239" s="395" t="s">
        <v>550</v>
      </c>
      <c r="D239" s="395"/>
      <c r="E239" s="395">
        <v>1</v>
      </c>
      <c r="F239" s="836">
        <f>J239/1000000</f>
        <v>335.14687710000004</v>
      </c>
      <c r="G239" s="836"/>
      <c r="H239" s="396">
        <v>0.2</v>
      </c>
      <c r="I239" s="677">
        <f t="shared" ref="I239:I240" si="71">PRODUCT(E239:H239)</f>
        <v>67.029375420000008</v>
      </c>
      <c r="J239" s="397">
        <v>335146877.10000002</v>
      </c>
      <c r="O239" s="398"/>
      <c r="P239" s="398"/>
    </row>
    <row r="240" spans="2:18" s="393" customFormat="1">
      <c r="B240" s="394" t="s">
        <v>37</v>
      </c>
      <c r="C240" s="395" t="s">
        <v>550</v>
      </c>
      <c r="D240" s="395"/>
      <c r="E240" s="395">
        <v>1</v>
      </c>
      <c r="F240" s="836">
        <f t="shared" ref="F240" si="72">J240/1000000</f>
        <v>273.11108339999998</v>
      </c>
      <c r="G240" s="836"/>
      <c r="H240" s="396">
        <v>0.2</v>
      </c>
      <c r="I240" s="677">
        <f t="shared" si="71"/>
        <v>54.622216680000001</v>
      </c>
      <c r="J240" s="397">
        <v>273111083.39999998</v>
      </c>
      <c r="O240" s="398"/>
      <c r="P240" s="398"/>
    </row>
    <row r="241" spans="2:16" s="28" customFormat="1" ht="15">
      <c r="B241" s="41"/>
      <c r="C241" s="42" t="s">
        <v>26</v>
      </c>
      <c r="D241" s="42"/>
      <c r="E241" s="42"/>
      <c r="F241" s="42"/>
      <c r="G241" s="42"/>
      <c r="H241" s="42"/>
      <c r="I241" s="42">
        <f>SUM(I228:I240)</f>
        <v>649.55112193499997</v>
      </c>
      <c r="J241" s="43" t="s">
        <v>28</v>
      </c>
      <c r="O241" s="29"/>
      <c r="P241" s="29"/>
    </row>
    <row r="242" spans="2:16">
      <c r="B242" s="62"/>
      <c r="C242" s="58"/>
      <c r="D242" s="58"/>
      <c r="E242" s="58"/>
      <c r="F242" s="58"/>
      <c r="G242" s="58"/>
      <c r="H242" s="58"/>
      <c r="I242" s="58"/>
      <c r="J242" s="61"/>
    </row>
    <row r="243" spans="2:16">
      <c r="B243" s="62"/>
      <c r="C243" s="58"/>
      <c r="D243" s="58"/>
      <c r="E243" s="58"/>
      <c r="F243" s="58"/>
      <c r="G243" s="58"/>
      <c r="H243" s="58"/>
      <c r="I243" s="58"/>
      <c r="J243" s="61"/>
    </row>
    <row r="244" spans="2:16">
      <c r="B244" s="62"/>
      <c r="C244" s="58"/>
      <c r="D244" s="58"/>
      <c r="E244" s="58"/>
      <c r="F244" s="58"/>
      <c r="G244" s="58"/>
      <c r="H244" s="58"/>
      <c r="I244" s="58"/>
      <c r="J244" s="61"/>
    </row>
    <row r="245" spans="2:16" s="31" customFormat="1" ht="120">
      <c r="B245" s="27">
        <f>'Abstract '!A24</f>
        <v>130</v>
      </c>
      <c r="C245" s="33" t="str">
        <f>'Abstract '!B24</f>
        <v>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 Pedestrian walkway -80mm Thick Paver</v>
      </c>
      <c r="D245" s="455" t="s">
        <v>27</v>
      </c>
      <c r="E245" s="455"/>
      <c r="F245" s="455"/>
      <c r="G245" s="455"/>
      <c r="H245" s="455"/>
      <c r="I245" s="455"/>
      <c r="J245" s="30"/>
      <c r="O245" s="32"/>
      <c r="P245" s="32"/>
    </row>
    <row r="246" spans="2:16" s="31" customFormat="1">
      <c r="B246" s="197"/>
      <c r="C246" s="34" t="s">
        <v>148</v>
      </c>
      <c r="D246" s="455"/>
      <c r="E246" s="455"/>
      <c r="F246" s="455"/>
      <c r="G246" s="455"/>
      <c r="H246" s="455"/>
      <c r="I246" s="455"/>
      <c r="J246" s="30"/>
      <c r="O246" s="32"/>
      <c r="P246" s="32"/>
    </row>
    <row r="247" spans="2:16" s="31" customFormat="1">
      <c r="B247" s="197" t="s">
        <v>37</v>
      </c>
      <c r="C247" s="35" t="s">
        <v>174</v>
      </c>
      <c r="D247" s="35"/>
      <c r="E247" s="35">
        <v>1</v>
      </c>
      <c r="F247" s="837">
        <f t="shared" ref="F247:F250" si="73">J247/(1000*1000)</f>
        <v>352.11096520000001</v>
      </c>
      <c r="G247" s="837"/>
      <c r="H247" s="39"/>
      <c r="I247" s="455">
        <f t="shared" ref="I247:I250" si="74">PRODUCT(E247:H247)</f>
        <v>352.11096520000001</v>
      </c>
      <c r="J247" s="30">
        <v>352110965.19999999</v>
      </c>
      <c r="K247" s="31">
        <f>I247</f>
        <v>352.11096520000001</v>
      </c>
      <c r="O247" s="32"/>
      <c r="P247" s="32"/>
    </row>
    <row r="248" spans="2:16" s="31" customFormat="1">
      <c r="B248" s="197"/>
      <c r="C248" s="35" t="s">
        <v>170</v>
      </c>
      <c r="D248" s="35"/>
      <c r="E248" s="35">
        <v>-1</v>
      </c>
      <c r="F248" s="837">
        <f t="shared" si="73"/>
        <v>31.539406100000001</v>
      </c>
      <c r="G248" s="837"/>
      <c r="H248" s="39"/>
      <c r="I248" s="455">
        <f t="shared" si="74"/>
        <v>-31.539406100000001</v>
      </c>
      <c r="J248" s="30">
        <v>31539406.100000001</v>
      </c>
      <c r="K248" s="31">
        <f>I248</f>
        <v>-31.539406100000001</v>
      </c>
      <c r="O248" s="32"/>
      <c r="P248" s="32"/>
    </row>
    <row r="249" spans="2:16" s="31" customFormat="1">
      <c r="B249" s="197"/>
      <c r="C249" s="35" t="s">
        <v>173</v>
      </c>
      <c r="D249" s="35"/>
      <c r="E249" s="35">
        <v>1</v>
      </c>
      <c r="F249" s="837">
        <f t="shared" si="73"/>
        <v>79.748773999999997</v>
      </c>
      <c r="G249" s="837"/>
      <c r="H249" s="39"/>
      <c r="I249" s="455">
        <f t="shared" si="74"/>
        <v>79.748773999999997</v>
      </c>
      <c r="J249" s="30">
        <v>79748774</v>
      </c>
      <c r="K249" s="31">
        <f>I249</f>
        <v>79.748773999999997</v>
      </c>
      <c r="O249" s="32"/>
      <c r="P249" s="32"/>
    </row>
    <row r="250" spans="2:16" s="31" customFormat="1">
      <c r="B250" s="197" t="s">
        <v>152</v>
      </c>
      <c r="C250" s="35" t="s">
        <v>172</v>
      </c>
      <c r="D250" s="35"/>
      <c r="E250" s="35">
        <v>1</v>
      </c>
      <c r="F250" s="837">
        <f t="shared" si="73"/>
        <v>101.76021299999999</v>
      </c>
      <c r="G250" s="837"/>
      <c r="H250" s="39"/>
      <c r="I250" s="455">
        <f t="shared" si="74"/>
        <v>101.76021299999999</v>
      </c>
      <c r="J250" s="30">
        <v>101760213</v>
      </c>
      <c r="K250" s="31">
        <f>I250</f>
        <v>101.76021299999999</v>
      </c>
      <c r="O250" s="32"/>
      <c r="P250" s="32"/>
    </row>
    <row r="251" spans="2:16" s="393" customFormat="1">
      <c r="B251" s="394"/>
      <c r="C251" s="401" t="s">
        <v>426</v>
      </c>
      <c r="D251" s="395"/>
      <c r="E251" s="395"/>
      <c r="F251" s="456"/>
      <c r="G251" s="456"/>
      <c r="H251" s="396"/>
      <c r="I251" s="456"/>
      <c r="J251" s="397"/>
      <c r="O251" s="398"/>
      <c r="P251" s="398"/>
    </row>
    <row r="252" spans="2:16" s="393" customFormat="1">
      <c r="B252" s="394" t="s">
        <v>35</v>
      </c>
      <c r="C252" s="395" t="s">
        <v>438</v>
      </c>
      <c r="D252" s="395"/>
      <c r="E252" s="395">
        <v>1</v>
      </c>
      <c r="F252" s="836">
        <f>J252/1000000</f>
        <v>123.3181422</v>
      </c>
      <c r="G252" s="836"/>
      <c r="H252" s="396"/>
      <c r="I252" s="456">
        <f t="shared" ref="I252:I258" si="75">PRODUCT(E252:H252)</f>
        <v>123.3181422</v>
      </c>
      <c r="J252" s="397">
        <v>123318142.2</v>
      </c>
      <c r="K252" s="393">
        <f t="shared" ref="K252:K254" si="76">I252</f>
        <v>123.3181422</v>
      </c>
      <c r="O252" s="398">
        <f>722.54*10.76</f>
        <v>7774.5303999999996</v>
      </c>
      <c r="P252" s="398">
        <f>883*10.76</f>
        <v>9501.08</v>
      </c>
    </row>
    <row r="253" spans="2:16" s="393" customFormat="1">
      <c r="B253" s="394"/>
      <c r="C253" s="395"/>
      <c r="D253" s="395"/>
      <c r="E253" s="395">
        <v>1</v>
      </c>
      <c r="F253" s="836">
        <f>J253/1000000</f>
        <v>35.337655700000006</v>
      </c>
      <c r="G253" s="836"/>
      <c r="H253" s="396"/>
      <c r="I253" s="456">
        <f t="shared" ref="I253" si="77">PRODUCT(E253:H253)</f>
        <v>35.337655700000006</v>
      </c>
      <c r="J253" s="397">
        <v>35337655.700000003</v>
      </c>
      <c r="K253" s="393">
        <f t="shared" si="76"/>
        <v>35.337655700000006</v>
      </c>
      <c r="O253" s="398"/>
      <c r="P253" s="398"/>
    </row>
    <row r="254" spans="2:16" s="393" customFormat="1">
      <c r="B254" s="394" t="s">
        <v>36</v>
      </c>
      <c r="C254" s="395" t="s">
        <v>436</v>
      </c>
      <c r="D254" s="395"/>
      <c r="E254" s="395">
        <v>1</v>
      </c>
      <c r="F254" s="836">
        <f>J254/1000000</f>
        <v>52.521717299999999</v>
      </c>
      <c r="G254" s="836"/>
      <c r="H254" s="396"/>
      <c r="I254" s="456">
        <f t="shared" si="75"/>
        <v>52.521717299999999</v>
      </c>
      <c r="J254" s="397">
        <v>52521717.299999997</v>
      </c>
      <c r="K254" s="393">
        <f t="shared" si="76"/>
        <v>52.521717299999999</v>
      </c>
      <c r="O254" s="398"/>
      <c r="P254" s="398"/>
    </row>
    <row r="255" spans="2:16" s="393" customFormat="1">
      <c r="B255" s="394"/>
      <c r="C255" s="395" t="s">
        <v>554</v>
      </c>
      <c r="D255" s="395"/>
      <c r="E255" s="395"/>
      <c r="F255" s="836"/>
      <c r="G255" s="836"/>
      <c r="H255" s="396"/>
      <c r="I255" s="677"/>
      <c r="J255" s="397"/>
      <c r="O255" s="398"/>
      <c r="P255" s="398"/>
    </row>
    <row r="256" spans="2:16" s="393" customFormat="1">
      <c r="B256" s="394" t="s">
        <v>558</v>
      </c>
      <c r="C256" s="395" t="s">
        <v>562</v>
      </c>
      <c r="D256" s="395"/>
      <c r="E256" s="395">
        <v>1</v>
      </c>
      <c r="F256" s="836">
        <f>J256/1000000</f>
        <v>50.057664000000003</v>
      </c>
      <c r="G256" s="836"/>
      <c r="H256" s="396"/>
      <c r="I256" s="677">
        <f t="shared" ref="I256" si="78">PRODUCT(E256:H256)</f>
        <v>50.057664000000003</v>
      </c>
      <c r="J256" s="397">
        <v>50057664</v>
      </c>
      <c r="O256" s="398"/>
      <c r="P256" s="398"/>
    </row>
    <row r="257" spans="2:16" s="393" customFormat="1">
      <c r="B257" s="394" t="s">
        <v>36</v>
      </c>
      <c r="C257" s="395" t="s">
        <v>561</v>
      </c>
      <c r="D257" s="395"/>
      <c r="E257" s="395">
        <v>0</v>
      </c>
      <c r="F257" s="836">
        <f>J257/1000000</f>
        <v>117.1700874</v>
      </c>
      <c r="G257" s="836"/>
      <c r="H257" s="396"/>
      <c r="I257" s="677">
        <f t="shared" si="75"/>
        <v>0</v>
      </c>
      <c r="J257" s="397">
        <v>117170087.40000001</v>
      </c>
      <c r="K257" s="393" t="s">
        <v>610</v>
      </c>
      <c r="O257" s="398"/>
      <c r="P257" s="398"/>
    </row>
    <row r="258" spans="2:16" s="393" customFormat="1">
      <c r="B258" s="394" t="s">
        <v>575</v>
      </c>
      <c r="C258" s="395" t="s">
        <v>576</v>
      </c>
      <c r="D258" s="395"/>
      <c r="E258" s="395">
        <v>0</v>
      </c>
      <c r="F258" s="836">
        <f>30+21.6</f>
        <v>51.6</v>
      </c>
      <c r="G258" s="836">
        <v>1.2</v>
      </c>
      <c r="H258" s="396"/>
      <c r="I258" s="677">
        <f t="shared" si="75"/>
        <v>0</v>
      </c>
      <c r="J258" s="397"/>
      <c r="K258" s="393" t="s">
        <v>610</v>
      </c>
      <c r="O258" s="398"/>
      <c r="P258" s="398"/>
    </row>
    <row r="259" spans="2:16" s="393" customFormat="1">
      <c r="B259" s="394" t="s">
        <v>152</v>
      </c>
      <c r="C259" s="395" t="s">
        <v>604</v>
      </c>
      <c r="D259" s="395"/>
      <c r="E259" s="395">
        <v>1</v>
      </c>
      <c r="F259" s="836">
        <f>J259/1000000</f>
        <v>8.2537842000000001</v>
      </c>
      <c r="G259" s="836"/>
      <c r="H259" s="396"/>
      <c r="I259" s="677">
        <f t="shared" ref="I259" si="79">PRODUCT(E259:H259)</f>
        <v>8.2537842000000001</v>
      </c>
      <c r="J259" s="397">
        <v>8253784.2000000002</v>
      </c>
      <c r="O259" s="398"/>
      <c r="P259" s="398"/>
    </row>
    <row r="260" spans="2:16" s="654" customFormat="1" ht="15">
      <c r="B260" s="99"/>
      <c r="C260" s="100" t="s">
        <v>634</v>
      </c>
      <c r="D260" s="100"/>
      <c r="E260" s="681"/>
      <c r="F260" s="681"/>
      <c r="G260" s="681"/>
      <c r="H260" s="681"/>
      <c r="I260" s="681"/>
      <c r="J260" s="101"/>
      <c r="O260" s="685"/>
      <c r="P260" s="685"/>
    </row>
    <row r="261" spans="2:16" s="654" customFormat="1" ht="15">
      <c r="B261" s="99" t="s">
        <v>35</v>
      </c>
      <c r="C261" s="100" t="s">
        <v>423</v>
      </c>
      <c r="D261" s="681"/>
      <c r="E261" s="681">
        <v>1</v>
      </c>
      <c r="F261" s="847">
        <f t="shared" ref="F261:F264" si="80">J261/(1000*1000)</f>
        <v>429.810721</v>
      </c>
      <c r="G261" s="847"/>
      <c r="H261" s="105"/>
      <c r="I261" s="681">
        <f t="shared" ref="I261:I265" si="81">PRODUCT(E261:H261)</f>
        <v>429.810721</v>
      </c>
      <c r="J261" s="101">
        <v>429810721</v>
      </c>
      <c r="O261" s="685"/>
      <c r="P261" s="685"/>
    </row>
    <row r="262" spans="2:16" s="654" customFormat="1" ht="15">
      <c r="B262" s="99"/>
      <c r="C262" s="100" t="s">
        <v>168</v>
      </c>
      <c r="D262" s="681"/>
      <c r="E262" s="681">
        <v>-1</v>
      </c>
      <c r="F262" s="847">
        <f t="shared" si="80"/>
        <v>42.793454300000001</v>
      </c>
      <c r="G262" s="847"/>
      <c r="H262" s="105"/>
      <c r="I262" s="681">
        <f t="shared" si="81"/>
        <v>-42.793454300000001</v>
      </c>
      <c r="J262" s="101">
        <v>42793454.299999997</v>
      </c>
      <c r="O262" s="685"/>
      <c r="P262" s="685"/>
    </row>
    <row r="263" spans="2:16" s="654" customFormat="1" ht="15">
      <c r="B263" s="99" t="s">
        <v>36</v>
      </c>
      <c r="C263" s="100" t="s">
        <v>424</v>
      </c>
      <c r="D263" s="681"/>
      <c r="E263" s="681">
        <v>1</v>
      </c>
      <c r="F263" s="847">
        <f t="shared" si="80"/>
        <v>274.9102067</v>
      </c>
      <c r="G263" s="847"/>
      <c r="H263" s="105"/>
      <c r="I263" s="681">
        <f t="shared" si="81"/>
        <v>274.9102067</v>
      </c>
      <c r="J263" s="101">
        <v>274910206.69999999</v>
      </c>
      <c r="O263" s="685"/>
      <c r="P263" s="685"/>
    </row>
    <row r="264" spans="2:16" s="654" customFormat="1" ht="15">
      <c r="B264" s="99"/>
      <c r="C264" s="681"/>
      <c r="D264" s="681"/>
      <c r="E264" s="681">
        <v>1</v>
      </c>
      <c r="F264" s="847">
        <f t="shared" si="80"/>
        <v>221.43299919999998</v>
      </c>
      <c r="G264" s="847"/>
      <c r="H264" s="105"/>
      <c r="I264" s="681">
        <f t="shared" si="81"/>
        <v>221.43299919999998</v>
      </c>
      <c r="J264" s="101">
        <v>221432999.19999999</v>
      </c>
      <c r="O264" s="685"/>
      <c r="P264" s="685"/>
    </row>
    <row r="265" spans="2:16" s="424" customFormat="1" ht="15">
      <c r="B265" s="99" t="s">
        <v>36</v>
      </c>
      <c r="C265" s="100" t="s">
        <v>561</v>
      </c>
      <c r="D265" s="100"/>
      <c r="E265" s="100">
        <v>1</v>
      </c>
      <c r="F265" s="838">
        <f>J265/1000000</f>
        <v>100.5697105</v>
      </c>
      <c r="G265" s="839"/>
      <c r="H265" s="105"/>
      <c r="I265" s="681">
        <f t="shared" si="81"/>
        <v>100.5697105</v>
      </c>
      <c r="J265" s="101">
        <v>100569710.5</v>
      </c>
      <c r="K265" s="424" t="s">
        <v>610</v>
      </c>
      <c r="O265" s="686"/>
      <c r="P265" s="686"/>
    </row>
    <row r="266" spans="2:16" s="424" customFormat="1" ht="15">
      <c r="B266" s="99" t="s">
        <v>575</v>
      </c>
      <c r="C266" s="100" t="s">
        <v>576</v>
      </c>
      <c r="D266" s="100"/>
      <c r="E266" s="100">
        <v>1</v>
      </c>
      <c r="F266" s="838">
        <f>J266/1000000</f>
        <v>63.568266000000001</v>
      </c>
      <c r="G266" s="839">
        <v>1.2</v>
      </c>
      <c r="H266" s="105"/>
      <c r="I266" s="778">
        <v>63.57</v>
      </c>
      <c r="J266" s="101">
        <v>63568266</v>
      </c>
      <c r="K266" s="424" t="s">
        <v>610</v>
      </c>
      <c r="L266" s="424">
        <f>1866.52*10.76</f>
        <v>20083.7552</v>
      </c>
      <c r="O266" s="686"/>
      <c r="P266" s="686"/>
    </row>
    <row r="267" spans="2:16" s="424" customFormat="1" ht="15">
      <c r="B267" s="99" t="s">
        <v>152</v>
      </c>
      <c r="C267" s="100" t="s">
        <v>639</v>
      </c>
      <c r="D267" s="100"/>
      <c r="E267" s="100">
        <v>1</v>
      </c>
      <c r="F267" s="690">
        <v>19</v>
      </c>
      <c r="G267" s="690">
        <v>1</v>
      </c>
      <c r="H267" s="105"/>
      <c r="I267" s="690">
        <f>PRODUCT(E267:H267)</f>
        <v>19</v>
      </c>
      <c r="J267" s="101"/>
      <c r="O267" s="686"/>
      <c r="P267" s="686"/>
    </row>
    <row r="268" spans="2:16" s="28" customFormat="1" ht="15">
      <c r="B268" s="41"/>
      <c r="C268" s="42" t="s">
        <v>26</v>
      </c>
      <c r="D268" s="42"/>
      <c r="E268" s="42"/>
      <c r="F268" s="42"/>
      <c r="G268" s="42"/>
      <c r="H268" s="42"/>
      <c r="I268" s="42">
        <f>SUM(I247:I267)</f>
        <v>1838.0696926000001</v>
      </c>
      <c r="J268" s="43" t="s">
        <v>20</v>
      </c>
      <c r="K268" s="28">
        <f>SUM(K247:K254)</f>
        <v>713.25806130000001</v>
      </c>
      <c r="O268" s="29"/>
      <c r="P268" s="29"/>
    </row>
    <row r="269" spans="2:16">
      <c r="B269" s="62"/>
      <c r="C269" s="58"/>
      <c r="D269" s="58"/>
      <c r="E269" s="58"/>
      <c r="F269" s="58"/>
      <c r="G269" s="58"/>
      <c r="H269" s="58"/>
      <c r="I269" s="58"/>
      <c r="J269" s="61"/>
    </row>
    <row r="270" spans="2:16">
      <c r="B270" s="62"/>
      <c r="C270" s="58"/>
      <c r="D270" s="58"/>
      <c r="E270" s="58"/>
      <c r="F270" s="58"/>
      <c r="G270" s="58"/>
      <c r="H270" s="58"/>
      <c r="I270" s="58"/>
      <c r="J270" s="61"/>
    </row>
    <row r="271" spans="2:16" s="31" customFormat="1" ht="165">
      <c r="B271" s="27">
        <f>'Abstract '!A38</f>
        <v>100</v>
      </c>
      <c r="C271" s="33" t="str">
        <f>'Abstract '!B38</f>
        <v>Receiving and laying controlled Reinforced Cement Concrete of M30 grade at all levels and heights specified below using ordinary Portland cement of grade 43 from approved manufacturer, river sand, 20mm and down size coarse aggregates, necessary admixtures approved by Consultants (Conplast SP-430SRV from Fosroc or equivalent), including all leads and lifts, pumping using line pump or boom placer, vibrating/compaction, scaffolding wherever necessary, all lead and lifts, tools &amp; Plants, pumping the concrete to all levels, curing etc. complete but excluding cost of reinforcement and formwork, centering, shuttering. Depending on the size and location, the maximum depth of concreting will be decided by Engineer in casting at a time.</v>
      </c>
      <c r="D271" s="455" t="s">
        <v>28</v>
      </c>
      <c r="E271" s="455"/>
      <c r="F271" s="455"/>
      <c r="G271" s="455"/>
      <c r="H271" s="455"/>
      <c r="I271" s="455"/>
      <c r="J271" s="30"/>
      <c r="O271" s="32"/>
      <c r="P271" s="32"/>
    </row>
    <row r="272" spans="2:16" s="31" customFormat="1">
      <c r="B272" s="197"/>
      <c r="C272" s="34" t="s">
        <v>148</v>
      </c>
      <c r="D272" s="455"/>
      <c r="E272" s="455"/>
      <c r="F272" s="455"/>
      <c r="G272" s="455"/>
      <c r="H272" s="455"/>
      <c r="I272" s="455"/>
      <c r="J272" s="30"/>
      <c r="O272" s="32"/>
      <c r="P272" s="32"/>
    </row>
    <row r="273" spans="2:25" s="31" customFormat="1">
      <c r="B273" s="197" t="s">
        <v>35</v>
      </c>
      <c r="C273" s="35" t="s">
        <v>169</v>
      </c>
      <c r="D273" s="35"/>
      <c r="E273" s="35">
        <v>0.48299999999999998</v>
      </c>
      <c r="F273" s="837">
        <f>J273/(1000*1000)</f>
        <v>299.76442580000003</v>
      </c>
      <c r="G273" s="837"/>
      <c r="H273" s="39">
        <v>0.2</v>
      </c>
      <c r="I273" s="455">
        <f>PRODUCT(E273:H273)</f>
        <v>28.957243532280003</v>
      </c>
      <c r="J273" s="30">
        <v>299764425.80000001</v>
      </c>
      <c r="O273" s="32"/>
      <c r="P273" s="32"/>
    </row>
    <row r="274" spans="2:25" s="393" customFormat="1">
      <c r="B274" s="394"/>
      <c r="C274" s="395" t="s">
        <v>426</v>
      </c>
      <c r="D274" s="395"/>
      <c r="E274" s="395"/>
      <c r="F274" s="456"/>
      <c r="G274" s="456"/>
      <c r="H274" s="396"/>
      <c r="I274" s="456"/>
      <c r="J274" s="397"/>
      <c r="O274" s="398"/>
      <c r="P274" s="398"/>
    </row>
    <row r="275" spans="2:25" s="393" customFormat="1">
      <c r="B275" s="394" t="s">
        <v>35</v>
      </c>
      <c r="C275" s="395" t="s">
        <v>452</v>
      </c>
      <c r="D275" s="395"/>
      <c r="E275" s="395">
        <f>1-E273</f>
        <v>0.51700000000000002</v>
      </c>
      <c r="F275" s="836">
        <f>J275/(1000*1000)</f>
        <v>299.76442580000003</v>
      </c>
      <c r="G275" s="836"/>
      <c r="H275" s="396">
        <v>0.2</v>
      </c>
      <c r="I275" s="456">
        <f>PRODUCT(E275:H275)</f>
        <v>30.995641627720005</v>
      </c>
      <c r="J275" s="397">
        <v>299764425.80000001</v>
      </c>
      <c r="O275" s="398"/>
      <c r="P275" s="398"/>
    </row>
    <row r="276" spans="2:25" s="393" customFormat="1">
      <c r="B276" s="394" t="s">
        <v>35</v>
      </c>
      <c r="C276" s="395" t="s">
        <v>431</v>
      </c>
      <c r="D276" s="395"/>
      <c r="E276" s="395">
        <v>1</v>
      </c>
      <c r="F276" s="395">
        <v>160</v>
      </c>
      <c r="G276" s="395">
        <v>4.7</v>
      </c>
      <c r="H276" s="396">
        <v>0.2</v>
      </c>
      <c r="I276" s="456">
        <f>PRODUCT(E276:H276)</f>
        <v>150.4</v>
      </c>
      <c r="J276" s="397">
        <v>751644652.20000005</v>
      </c>
      <c r="K276" s="410"/>
      <c r="L276" s="410"/>
      <c r="M276" s="410"/>
      <c r="N276" s="410"/>
      <c r="O276" s="410"/>
      <c r="P276" s="410"/>
      <c r="Q276" s="410"/>
      <c r="R276" s="410"/>
      <c r="S276" s="410"/>
      <c r="T276" s="410"/>
      <c r="U276" s="410"/>
      <c r="V276" s="410"/>
      <c r="W276" s="410"/>
      <c r="X276" s="410"/>
      <c r="Y276" s="410"/>
    </row>
    <row r="277" spans="2:25" s="393" customFormat="1">
      <c r="B277" s="394"/>
      <c r="C277" s="395" t="s">
        <v>554</v>
      </c>
      <c r="D277" s="395"/>
      <c r="E277" s="395"/>
      <c r="F277" s="395"/>
      <c r="G277" s="395"/>
      <c r="H277" s="396"/>
      <c r="I277" s="674"/>
      <c r="J277" s="397"/>
      <c r="K277" s="410"/>
      <c r="L277" s="410"/>
      <c r="M277" s="410"/>
      <c r="N277" s="410"/>
      <c r="O277" s="410"/>
      <c r="P277" s="410"/>
      <c r="Q277" s="410"/>
      <c r="R277" s="410"/>
      <c r="S277" s="410"/>
      <c r="T277" s="410"/>
      <c r="U277" s="410"/>
      <c r="V277" s="410"/>
      <c r="W277" s="410"/>
      <c r="X277" s="410"/>
      <c r="Y277" s="410"/>
    </row>
    <row r="278" spans="2:25" s="393" customFormat="1">
      <c r="B278" s="394" t="s">
        <v>35</v>
      </c>
      <c r="C278" s="395" t="s">
        <v>431</v>
      </c>
      <c r="D278" s="395"/>
      <c r="E278" s="395">
        <v>1</v>
      </c>
      <c r="F278" s="402">
        <v>160</v>
      </c>
      <c r="G278" s="454">
        <v>4.7</v>
      </c>
      <c r="H278" s="396">
        <v>0.2</v>
      </c>
      <c r="I278" s="674">
        <f>PRODUCT(E278:H278)</f>
        <v>150.4</v>
      </c>
      <c r="J278" s="397">
        <v>469504281</v>
      </c>
      <c r="K278" s="410"/>
      <c r="L278" s="410"/>
      <c r="M278" s="410"/>
      <c r="N278" s="410"/>
      <c r="O278" s="410"/>
      <c r="P278" s="410"/>
      <c r="Q278" s="410"/>
      <c r="R278" s="410"/>
      <c r="S278" s="410"/>
      <c r="T278" s="410"/>
      <c r="U278" s="410"/>
      <c r="V278" s="410"/>
      <c r="W278" s="410"/>
      <c r="X278" s="410"/>
      <c r="Y278" s="410"/>
    </row>
    <row r="279" spans="2:25" s="393" customFormat="1">
      <c r="B279" s="394" t="s">
        <v>36</v>
      </c>
      <c r="C279" s="395" t="s">
        <v>550</v>
      </c>
      <c r="D279" s="395"/>
      <c r="E279" s="395">
        <v>1</v>
      </c>
      <c r="F279" s="845">
        <f>J279/1000000</f>
        <v>335.14687710000004</v>
      </c>
      <c r="G279" s="846"/>
      <c r="H279" s="396">
        <v>0.2</v>
      </c>
      <c r="I279" s="674">
        <f t="shared" ref="I279:I307" si="82">PRODUCT(E279:H279)</f>
        <v>67.029375420000008</v>
      </c>
      <c r="J279" s="397">
        <v>335146877.10000002</v>
      </c>
      <c r="K279" s="410"/>
      <c r="L279" s="410"/>
      <c r="M279" s="410"/>
      <c r="N279" s="410"/>
      <c r="O279" s="410"/>
      <c r="P279" s="410"/>
      <c r="Q279" s="410"/>
      <c r="R279" s="410"/>
      <c r="S279" s="410"/>
      <c r="T279" s="410"/>
      <c r="U279" s="410"/>
      <c r="V279" s="410"/>
      <c r="W279" s="410"/>
      <c r="X279" s="410"/>
      <c r="Y279" s="410"/>
    </row>
    <row r="280" spans="2:25" s="393" customFormat="1">
      <c r="B280" s="394"/>
      <c r="C280" s="395" t="s">
        <v>551</v>
      </c>
      <c r="D280" s="395"/>
      <c r="E280" s="395">
        <v>-1</v>
      </c>
      <c r="F280" s="845">
        <f t="shared" ref="F280:F292" si="83">J280/1000000</f>
        <v>8.0101319000000011</v>
      </c>
      <c r="G280" s="846"/>
      <c r="H280" s="396">
        <v>0.2</v>
      </c>
      <c r="I280" s="674">
        <f t="shared" si="82"/>
        <v>-1.6020263800000003</v>
      </c>
      <c r="J280" s="397">
        <v>8010131.9000000004</v>
      </c>
      <c r="K280" s="410"/>
      <c r="L280" s="410"/>
      <c r="M280" s="410"/>
      <c r="N280" s="410"/>
      <c r="O280" s="410"/>
      <c r="P280" s="410"/>
      <c r="Q280" s="410"/>
      <c r="R280" s="410"/>
      <c r="S280" s="410"/>
      <c r="T280" s="410"/>
      <c r="U280" s="410"/>
      <c r="V280" s="410"/>
      <c r="W280" s="410"/>
      <c r="X280" s="410"/>
      <c r="Y280" s="410"/>
    </row>
    <row r="281" spans="2:25" s="393" customFormat="1">
      <c r="B281" s="394"/>
      <c r="C281" s="395"/>
      <c r="D281" s="395"/>
      <c r="E281" s="395">
        <v>-1</v>
      </c>
      <c r="F281" s="845">
        <f t="shared" si="83"/>
        <v>1.2051320000000001</v>
      </c>
      <c r="G281" s="846"/>
      <c r="H281" s="396">
        <v>0.2</v>
      </c>
      <c r="I281" s="674">
        <f t="shared" si="82"/>
        <v>-0.24102640000000003</v>
      </c>
      <c r="J281" s="397">
        <v>1205132</v>
      </c>
      <c r="K281" s="410"/>
      <c r="L281" s="410"/>
      <c r="M281" s="410"/>
      <c r="N281" s="410"/>
      <c r="O281" s="410"/>
      <c r="P281" s="410"/>
      <c r="Q281" s="410"/>
      <c r="R281" s="410"/>
      <c r="S281" s="410"/>
      <c r="T281" s="410"/>
      <c r="U281" s="410"/>
      <c r="V281" s="410"/>
      <c r="W281" s="410"/>
      <c r="X281" s="410"/>
      <c r="Y281" s="410"/>
    </row>
    <row r="282" spans="2:25" s="393" customFormat="1">
      <c r="B282" s="394"/>
      <c r="C282" s="395"/>
      <c r="D282" s="395"/>
      <c r="E282" s="395">
        <v>-1</v>
      </c>
      <c r="F282" s="845">
        <f t="shared" si="83"/>
        <v>0.86386830000000003</v>
      </c>
      <c r="G282" s="846"/>
      <c r="H282" s="396">
        <v>0.2</v>
      </c>
      <c r="I282" s="674">
        <f t="shared" si="82"/>
        <v>-0.17277366000000002</v>
      </c>
      <c r="J282" s="397">
        <v>863868.3</v>
      </c>
      <c r="K282" s="410"/>
      <c r="L282" s="410"/>
      <c r="M282" s="410"/>
      <c r="N282" s="410"/>
      <c r="O282" s="410"/>
      <c r="P282" s="410"/>
      <c r="Q282" s="410"/>
      <c r="R282" s="410"/>
      <c r="S282" s="410"/>
      <c r="T282" s="410"/>
      <c r="U282" s="410"/>
      <c r="V282" s="410"/>
      <c r="W282" s="410"/>
      <c r="X282" s="410"/>
      <c r="Y282" s="410"/>
    </row>
    <row r="283" spans="2:25" s="393" customFormat="1">
      <c r="B283" s="394"/>
      <c r="C283" s="395"/>
      <c r="D283" s="395"/>
      <c r="E283" s="395">
        <v>-1</v>
      </c>
      <c r="F283" s="845">
        <f t="shared" si="83"/>
        <v>6.9738892999999997</v>
      </c>
      <c r="G283" s="846"/>
      <c r="H283" s="396">
        <v>0.2</v>
      </c>
      <c r="I283" s="674">
        <f t="shared" si="82"/>
        <v>-1.39477786</v>
      </c>
      <c r="J283" s="397">
        <v>6973889.2999999998</v>
      </c>
      <c r="K283" s="410"/>
      <c r="L283" s="410"/>
      <c r="M283" s="410"/>
      <c r="N283" s="410"/>
      <c r="O283" s="410"/>
      <c r="P283" s="410"/>
      <c r="Q283" s="410"/>
      <c r="R283" s="410"/>
      <c r="S283" s="410"/>
      <c r="T283" s="410"/>
      <c r="U283" s="410"/>
      <c r="V283" s="410"/>
      <c r="W283" s="410"/>
      <c r="X283" s="410"/>
      <c r="Y283" s="410"/>
    </row>
    <row r="284" spans="2:25" s="393" customFormat="1">
      <c r="B284" s="394"/>
      <c r="C284" s="395"/>
      <c r="D284" s="395"/>
      <c r="E284" s="395">
        <v>-1</v>
      </c>
      <c r="F284" s="845">
        <f t="shared" si="83"/>
        <v>0.9008448</v>
      </c>
      <c r="G284" s="846"/>
      <c r="H284" s="396">
        <v>0.2</v>
      </c>
      <c r="I284" s="674">
        <f t="shared" si="82"/>
        <v>-0.18016896000000002</v>
      </c>
      <c r="J284" s="397">
        <v>900844.8</v>
      </c>
      <c r="K284" s="410"/>
      <c r="L284" s="410"/>
      <c r="M284" s="410"/>
      <c r="N284" s="410"/>
      <c r="O284" s="410"/>
      <c r="P284" s="410"/>
      <c r="Q284" s="410"/>
      <c r="R284" s="410"/>
      <c r="S284" s="410"/>
      <c r="T284" s="410"/>
      <c r="U284" s="410"/>
      <c r="V284" s="410"/>
      <c r="W284" s="410"/>
      <c r="X284" s="410"/>
      <c r="Y284" s="410"/>
    </row>
    <row r="285" spans="2:25" s="393" customFormat="1">
      <c r="B285" s="394"/>
      <c r="C285" s="395"/>
      <c r="D285" s="395"/>
      <c r="E285" s="395">
        <v>-1</v>
      </c>
      <c r="F285" s="845">
        <f t="shared" si="83"/>
        <v>4.4952174000000005</v>
      </c>
      <c r="G285" s="846"/>
      <c r="H285" s="396">
        <v>0.2</v>
      </c>
      <c r="I285" s="674">
        <f t="shared" si="82"/>
        <v>-0.89904348000000012</v>
      </c>
      <c r="J285" s="397">
        <v>4495217.4000000004</v>
      </c>
      <c r="K285" s="410"/>
      <c r="L285" s="410"/>
      <c r="M285" s="410"/>
      <c r="N285" s="410"/>
      <c r="O285" s="410"/>
      <c r="P285" s="410"/>
      <c r="Q285" s="410"/>
      <c r="R285" s="410"/>
      <c r="S285" s="410"/>
      <c r="T285" s="410"/>
      <c r="U285" s="410"/>
      <c r="V285" s="410"/>
      <c r="W285" s="410"/>
      <c r="X285" s="410"/>
      <c r="Y285" s="410"/>
    </row>
    <row r="286" spans="2:25" s="393" customFormat="1">
      <c r="B286" s="394"/>
      <c r="C286" s="395"/>
      <c r="D286" s="395"/>
      <c r="E286" s="395">
        <v>-1</v>
      </c>
      <c r="F286" s="845">
        <f t="shared" si="83"/>
        <v>3.2799895999999999</v>
      </c>
      <c r="G286" s="846"/>
      <c r="H286" s="396">
        <v>0.2</v>
      </c>
      <c r="I286" s="674">
        <f t="shared" si="82"/>
        <v>-0.65599792000000001</v>
      </c>
      <c r="J286" s="397">
        <v>3279989.6</v>
      </c>
      <c r="K286" s="410"/>
      <c r="L286" s="410"/>
      <c r="M286" s="410"/>
      <c r="N286" s="410"/>
      <c r="O286" s="410"/>
      <c r="P286" s="410"/>
      <c r="Q286" s="410"/>
      <c r="R286" s="410"/>
      <c r="S286" s="410"/>
      <c r="T286" s="410"/>
      <c r="U286" s="410"/>
      <c r="V286" s="410"/>
      <c r="W286" s="410"/>
      <c r="X286" s="410"/>
      <c r="Y286" s="410"/>
    </row>
    <row r="287" spans="2:25" s="393" customFormat="1">
      <c r="B287" s="394"/>
      <c r="C287" s="395"/>
      <c r="D287" s="395"/>
      <c r="E287" s="395">
        <v>-1</v>
      </c>
      <c r="F287" s="845">
        <f t="shared" si="83"/>
        <v>5.8909573000000002</v>
      </c>
      <c r="G287" s="846"/>
      <c r="H287" s="396">
        <v>0.2</v>
      </c>
      <c r="I287" s="674">
        <f t="shared" si="82"/>
        <v>-1.1781914600000001</v>
      </c>
      <c r="J287" s="397">
        <v>5890957.2999999998</v>
      </c>
      <c r="K287" s="410"/>
      <c r="L287" s="410"/>
      <c r="M287" s="410"/>
      <c r="N287" s="410"/>
      <c r="O287" s="410"/>
      <c r="P287" s="410"/>
      <c r="Q287" s="410"/>
      <c r="R287" s="410"/>
      <c r="S287" s="410"/>
      <c r="T287" s="410"/>
      <c r="U287" s="410"/>
      <c r="V287" s="410"/>
      <c r="W287" s="410"/>
      <c r="X287" s="410"/>
      <c r="Y287" s="410"/>
    </row>
    <row r="288" spans="2:25" s="393" customFormat="1">
      <c r="B288" s="394"/>
      <c r="C288" s="395"/>
      <c r="D288" s="395"/>
      <c r="E288" s="395">
        <v>-1</v>
      </c>
      <c r="F288" s="845">
        <f t="shared" si="83"/>
        <v>7.5177032000000006</v>
      </c>
      <c r="G288" s="846"/>
      <c r="H288" s="396">
        <v>0.2</v>
      </c>
      <c r="I288" s="674">
        <f t="shared" si="82"/>
        <v>-1.5035406400000002</v>
      </c>
      <c r="J288" s="397">
        <v>7517703.2000000002</v>
      </c>
      <c r="K288" s="410"/>
      <c r="L288" s="410"/>
      <c r="M288" s="410"/>
      <c r="N288" s="410"/>
      <c r="O288" s="410"/>
      <c r="P288" s="410"/>
      <c r="Q288" s="410"/>
      <c r="R288" s="410"/>
      <c r="S288" s="410"/>
      <c r="T288" s="410"/>
      <c r="U288" s="410"/>
      <c r="V288" s="410"/>
      <c r="W288" s="410"/>
      <c r="X288" s="410"/>
      <c r="Y288" s="410"/>
    </row>
    <row r="289" spans="2:25" s="393" customFormat="1">
      <c r="B289" s="394"/>
      <c r="C289" s="395"/>
      <c r="D289" s="395"/>
      <c r="E289" s="395">
        <v>-1</v>
      </c>
      <c r="F289" s="845">
        <f t="shared" si="83"/>
        <v>4.6961415999999998</v>
      </c>
      <c r="G289" s="846"/>
      <c r="H289" s="396">
        <v>0.2</v>
      </c>
      <c r="I289" s="674">
        <f t="shared" si="82"/>
        <v>-0.93922832000000001</v>
      </c>
      <c r="J289" s="397">
        <v>4696141.5999999996</v>
      </c>
      <c r="K289" s="410"/>
      <c r="L289" s="410"/>
      <c r="M289" s="410"/>
      <c r="N289" s="410"/>
      <c r="O289" s="410"/>
      <c r="P289" s="410"/>
      <c r="Q289" s="410"/>
      <c r="R289" s="410"/>
      <c r="S289" s="410"/>
      <c r="T289" s="410"/>
      <c r="U289" s="410"/>
      <c r="V289" s="410"/>
      <c r="W289" s="410"/>
      <c r="X289" s="410"/>
      <c r="Y289" s="410"/>
    </row>
    <row r="290" spans="2:25" s="393" customFormat="1">
      <c r="B290" s="394"/>
      <c r="C290" s="395"/>
      <c r="D290" s="395"/>
      <c r="E290" s="395">
        <v>-1</v>
      </c>
      <c r="F290" s="845">
        <f t="shared" si="83"/>
        <v>2.3182744</v>
      </c>
      <c r="G290" s="846"/>
      <c r="H290" s="396">
        <v>0.2</v>
      </c>
      <c r="I290" s="674">
        <f t="shared" si="82"/>
        <v>-0.46365487999999999</v>
      </c>
      <c r="J290" s="397">
        <v>2318274.4</v>
      </c>
      <c r="K290" s="410"/>
      <c r="L290" s="410"/>
      <c r="M290" s="410"/>
      <c r="N290" s="410"/>
      <c r="O290" s="410"/>
      <c r="P290" s="410"/>
      <c r="Q290" s="410"/>
      <c r="R290" s="410"/>
      <c r="S290" s="410"/>
      <c r="T290" s="410"/>
      <c r="U290" s="410"/>
      <c r="V290" s="410"/>
      <c r="W290" s="410"/>
      <c r="X290" s="410"/>
      <c r="Y290" s="410"/>
    </row>
    <row r="291" spans="2:25" s="393" customFormat="1">
      <c r="B291" s="394"/>
      <c r="C291" s="395"/>
      <c r="D291" s="395"/>
      <c r="E291" s="395">
        <v>-1</v>
      </c>
      <c r="F291" s="845">
        <f t="shared" si="83"/>
        <v>4.4895659999999999</v>
      </c>
      <c r="G291" s="846"/>
      <c r="H291" s="396">
        <v>0.2</v>
      </c>
      <c r="I291" s="674">
        <f t="shared" si="82"/>
        <v>-0.89791320000000008</v>
      </c>
      <c r="J291" s="397">
        <v>4489566</v>
      </c>
      <c r="K291" s="410"/>
      <c r="L291" s="410"/>
      <c r="M291" s="410"/>
      <c r="N291" s="410"/>
      <c r="O291" s="410"/>
      <c r="P291" s="410"/>
      <c r="Q291" s="410"/>
      <c r="R291" s="410"/>
      <c r="S291" s="410"/>
      <c r="T291" s="410"/>
      <c r="U291" s="410"/>
      <c r="V291" s="410"/>
      <c r="W291" s="410"/>
      <c r="X291" s="410"/>
      <c r="Y291" s="410"/>
    </row>
    <row r="292" spans="2:25" s="393" customFormat="1">
      <c r="B292" s="394"/>
      <c r="C292" s="395"/>
      <c r="D292" s="395"/>
      <c r="E292" s="395">
        <v>-1</v>
      </c>
      <c r="F292" s="845">
        <f t="shared" si="83"/>
        <v>2.5483965</v>
      </c>
      <c r="G292" s="846"/>
      <c r="H292" s="396">
        <v>0.2</v>
      </c>
      <c r="I292" s="674">
        <f t="shared" si="82"/>
        <v>-0.50967930000000006</v>
      </c>
      <c r="J292" s="397">
        <v>2548396.5</v>
      </c>
      <c r="K292" s="410"/>
      <c r="L292" s="410"/>
      <c r="M292" s="410"/>
      <c r="N292" s="410"/>
      <c r="O292" s="410"/>
      <c r="P292" s="410"/>
      <c r="Q292" s="410"/>
      <c r="R292" s="410"/>
      <c r="S292" s="410"/>
      <c r="T292" s="410"/>
      <c r="U292" s="410"/>
      <c r="V292" s="410"/>
      <c r="W292" s="410"/>
      <c r="X292" s="410"/>
      <c r="Y292" s="410"/>
    </row>
    <row r="293" spans="2:25" s="393" customFormat="1">
      <c r="B293" s="394" t="s">
        <v>37</v>
      </c>
      <c r="C293" s="395" t="s">
        <v>550</v>
      </c>
      <c r="D293" s="395"/>
      <c r="E293" s="395">
        <v>1</v>
      </c>
      <c r="F293" s="845">
        <f t="shared" ref="F293" si="84">J293/1000000</f>
        <v>191.57469230000001</v>
      </c>
      <c r="G293" s="846"/>
      <c r="H293" s="396">
        <v>0.2</v>
      </c>
      <c r="I293" s="674">
        <f t="shared" si="82"/>
        <v>38.31493846</v>
      </c>
      <c r="J293" s="397">
        <v>191574692.30000001</v>
      </c>
      <c r="K293" s="410"/>
      <c r="L293" s="410"/>
      <c r="M293" s="410"/>
      <c r="N293" s="410"/>
      <c r="O293" s="410"/>
      <c r="P293" s="410"/>
      <c r="Q293" s="410"/>
      <c r="R293" s="410"/>
      <c r="S293" s="410"/>
      <c r="T293" s="410"/>
      <c r="U293" s="410"/>
      <c r="V293" s="410"/>
      <c r="W293" s="410"/>
      <c r="X293" s="410"/>
      <c r="Y293" s="410"/>
    </row>
    <row r="294" spans="2:25" s="393" customFormat="1">
      <c r="B294" s="394"/>
      <c r="C294" s="395" t="s">
        <v>552</v>
      </c>
      <c r="D294" s="395"/>
      <c r="E294" s="395">
        <v>-1</v>
      </c>
      <c r="F294" s="845">
        <f t="shared" ref="F294:F301" si="85">J294/1000000</f>
        <v>5.8686932999999994</v>
      </c>
      <c r="G294" s="846"/>
      <c r="H294" s="396">
        <v>0.2</v>
      </c>
      <c r="I294" s="674">
        <f t="shared" si="82"/>
        <v>-1.1737386599999999</v>
      </c>
      <c r="J294" s="397">
        <v>5868693.2999999998</v>
      </c>
      <c r="K294" s="410"/>
      <c r="L294" s="410"/>
      <c r="M294" s="410"/>
      <c r="N294" s="410"/>
      <c r="O294" s="410"/>
      <c r="P294" s="410"/>
      <c r="Q294" s="410"/>
      <c r="R294" s="410"/>
      <c r="S294" s="410"/>
      <c r="T294" s="410"/>
      <c r="U294" s="410"/>
      <c r="V294" s="410"/>
      <c r="W294" s="410"/>
      <c r="X294" s="410"/>
      <c r="Y294" s="410"/>
    </row>
    <row r="295" spans="2:25" s="393" customFormat="1">
      <c r="B295" s="394"/>
      <c r="C295" s="395"/>
      <c r="D295" s="395"/>
      <c r="E295" s="395">
        <v>-1</v>
      </c>
      <c r="F295" s="845">
        <f t="shared" si="85"/>
        <v>6.7479404000000001</v>
      </c>
      <c r="G295" s="846"/>
      <c r="H295" s="396">
        <v>0.2</v>
      </c>
      <c r="I295" s="674">
        <f t="shared" si="82"/>
        <v>-1.3495880800000002</v>
      </c>
      <c r="J295" s="397">
        <v>6747940.4000000004</v>
      </c>
      <c r="K295" s="410"/>
      <c r="L295" s="410"/>
      <c r="M295" s="410"/>
      <c r="N295" s="410"/>
      <c r="O295" s="410"/>
      <c r="P295" s="410"/>
      <c r="Q295" s="410"/>
      <c r="R295" s="410"/>
      <c r="S295" s="410"/>
      <c r="T295" s="410"/>
      <c r="U295" s="410"/>
      <c r="V295" s="410"/>
      <c r="W295" s="410"/>
      <c r="X295" s="410"/>
      <c r="Y295" s="410"/>
    </row>
    <row r="296" spans="2:25" s="393" customFormat="1">
      <c r="B296" s="394"/>
      <c r="C296" s="395"/>
      <c r="D296" s="395"/>
      <c r="E296" s="395">
        <v>-1</v>
      </c>
      <c r="F296" s="845">
        <f t="shared" ref="F296:F300" si="86">J296/1000000</f>
        <v>0.67741180000000001</v>
      </c>
      <c r="G296" s="846"/>
      <c r="H296" s="396">
        <v>0.2</v>
      </c>
      <c r="I296" s="674">
        <f t="shared" si="82"/>
        <v>-0.13548236</v>
      </c>
      <c r="J296" s="397">
        <v>677411.8</v>
      </c>
      <c r="K296" s="410"/>
      <c r="L296" s="410"/>
      <c r="M296" s="410"/>
      <c r="N296" s="410"/>
      <c r="O296" s="410"/>
      <c r="P296" s="410"/>
      <c r="Q296" s="410"/>
      <c r="R296" s="410"/>
      <c r="S296" s="410"/>
      <c r="T296" s="410"/>
      <c r="U296" s="410"/>
      <c r="V296" s="410"/>
      <c r="W296" s="410"/>
      <c r="X296" s="410"/>
      <c r="Y296" s="410"/>
    </row>
    <row r="297" spans="2:25" s="393" customFormat="1">
      <c r="B297" s="394"/>
      <c r="C297" s="395"/>
      <c r="D297" s="395"/>
      <c r="E297" s="395">
        <v>-1</v>
      </c>
      <c r="F297" s="845">
        <f t="shared" si="86"/>
        <v>3.4570347999999997</v>
      </c>
      <c r="G297" s="846"/>
      <c r="H297" s="396">
        <v>0.2</v>
      </c>
      <c r="I297" s="674">
        <f t="shared" si="82"/>
        <v>-0.69140696000000001</v>
      </c>
      <c r="J297" s="397">
        <v>3457034.8</v>
      </c>
      <c r="K297" s="410"/>
      <c r="L297" s="410"/>
      <c r="M297" s="410"/>
      <c r="N297" s="410"/>
      <c r="O297" s="410"/>
      <c r="P297" s="410"/>
      <c r="Q297" s="410"/>
      <c r="R297" s="410"/>
      <c r="S297" s="410"/>
      <c r="T297" s="410"/>
      <c r="U297" s="410"/>
      <c r="V297" s="410"/>
      <c r="W297" s="410"/>
      <c r="X297" s="410"/>
      <c r="Y297" s="410"/>
    </row>
    <row r="298" spans="2:25" s="393" customFormat="1">
      <c r="B298" s="394"/>
      <c r="C298" s="395"/>
      <c r="D298" s="395"/>
      <c r="E298" s="395">
        <v>-1</v>
      </c>
      <c r="F298" s="845">
        <f t="shared" si="86"/>
        <v>2.3659961000000003</v>
      </c>
      <c r="G298" s="846"/>
      <c r="H298" s="396">
        <v>0.2</v>
      </c>
      <c r="I298" s="674">
        <f t="shared" si="82"/>
        <v>-0.47319922000000009</v>
      </c>
      <c r="J298" s="397">
        <v>2365996.1</v>
      </c>
      <c r="K298" s="410"/>
      <c r="L298" s="410"/>
      <c r="M298" s="410"/>
      <c r="N298" s="410"/>
      <c r="O298" s="410"/>
      <c r="P298" s="410"/>
      <c r="Q298" s="410"/>
      <c r="R298" s="410"/>
      <c r="S298" s="410"/>
      <c r="T298" s="410"/>
      <c r="U298" s="410"/>
      <c r="V298" s="410"/>
      <c r="W298" s="410"/>
      <c r="X298" s="410"/>
      <c r="Y298" s="410"/>
    </row>
    <row r="299" spans="2:25" s="393" customFormat="1">
      <c r="B299" s="394"/>
      <c r="C299" s="395"/>
      <c r="D299" s="395"/>
      <c r="E299" s="395">
        <v>-1</v>
      </c>
      <c r="F299" s="845">
        <f t="shared" si="86"/>
        <v>3.4771658999999997</v>
      </c>
      <c r="G299" s="846"/>
      <c r="H299" s="396">
        <v>0.2</v>
      </c>
      <c r="I299" s="674">
        <f t="shared" si="82"/>
        <v>-0.69543317999999998</v>
      </c>
      <c r="J299" s="397">
        <v>3477165.9</v>
      </c>
      <c r="K299" s="410"/>
      <c r="L299" s="410"/>
      <c r="M299" s="410"/>
      <c r="N299" s="410"/>
      <c r="O299" s="410"/>
      <c r="P299" s="410"/>
      <c r="Q299" s="410"/>
      <c r="R299" s="410"/>
      <c r="S299" s="410"/>
      <c r="T299" s="410"/>
      <c r="U299" s="410"/>
      <c r="V299" s="410"/>
      <c r="W299" s="410"/>
      <c r="X299" s="410"/>
      <c r="Y299" s="410"/>
    </row>
    <row r="300" spans="2:25" s="393" customFormat="1">
      <c r="B300" s="394"/>
      <c r="C300" s="395"/>
      <c r="D300" s="395"/>
      <c r="E300" s="395">
        <v>-1</v>
      </c>
      <c r="F300" s="845">
        <f t="shared" si="86"/>
        <v>1.9890045000000001</v>
      </c>
      <c r="G300" s="846"/>
      <c r="H300" s="396">
        <v>0.2</v>
      </c>
      <c r="I300" s="674">
        <f t="shared" si="82"/>
        <v>-0.39780090000000001</v>
      </c>
      <c r="J300" s="397">
        <v>1989004.5</v>
      </c>
      <c r="K300" s="410"/>
      <c r="L300" s="410"/>
      <c r="M300" s="410"/>
      <c r="N300" s="410"/>
      <c r="O300" s="410"/>
      <c r="P300" s="410"/>
      <c r="Q300" s="410"/>
      <c r="R300" s="410"/>
      <c r="S300" s="410"/>
      <c r="T300" s="410"/>
      <c r="U300" s="410"/>
      <c r="V300" s="410"/>
      <c r="W300" s="410"/>
      <c r="X300" s="410"/>
      <c r="Y300" s="410"/>
    </row>
    <row r="301" spans="2:25" s="393" customFormat="1">
      <c r="B301" s="394" t="s">
        <v>152</v>
      </c>
      <c r="C301" s="395" t="s">
        <v>553</v>
      </c>
      <c r="D301" s="395"/>
      <c r="E301" s="395">
        <v>1</v>
      </c>
      <c r="F301" s="845">
        <f t="shared" si="85"/>
        <v>215.1643612</v>
      </c>
      <c r="G301" s="846"/>
      <c r="H301" s="396">
        <v>0.2</v>
      </c>
      <c r="I301" s="674">
        <f t="shared" si="82"/>
        <v>43.032872240000003</v>
      </c>
      <c r="J301" s="397">
        <v>215164361.19999999</v>
      </c>
      <c r="K301" s="410"/>
      <c r="L301" s="410"/>
      <c r="M301" s="410"/>
      <c r="N301" s="410"/>
      <c r="O301" s="410"/>
      <c r="P301" s="410"/>
      <c r="Q301" s="410"/>
      <c r="R301" s="410"/>
      <c r="S301" s="410"/>
      <c r="T301" s="410"/>
      <c r="U301" s="410"/>
      <c r="V301" s="410"/>
      <c r="W301" s="410"/>
      <c r="X301" s="410"/>
      <c r="Y301" s="410"/>
    </row>
    <row r="302" spans="2:25" s="393" customFormat="1">
      <c r="B302" s="394" t="s">
        <v>154</v>
      </c>
      <c r="C302" s="395" t="s">
        <v>607</v>
      </c>
      <c r="D302" s="395"/>
      <c r="E302" s="395">
        <v>1</v>
      </c>
      <c r="F302" s="845">
        <f t="shared" ref="F302" si="87">J302/1000000</f>
        <v>4.8931204000000008</v>
      </c>
      <c r="G302" s="846"/>
      <c r="H302" s="396">
        <v>0.2</v>
      </c>
      <c r="I302" s="674">
        <f t="shared" si="82"/>
        <v>0.97862408000000023</v>
      </c>
      <c r="J302" s="397">
        <v>4893120.4000000004</v>
      </c>
      <c r="K302" s="410"/>
      <c r="L302" s="410"/>
      <c r="M302" s="410"/>
      <c r="N302" s="410"/>
      <c r="O302" s="410"/>
      <c r="P302" s="410"/>
      <c r="Q302" s="410"/>
      <c r="R302" s="410"/>
      <c r="S302" s="410"/>
      <c r="T302" s="410"/>
      <c r="U302" s="410"/>
      <c r="V302" s="410"/>
      <c r="W302" s="410"/>
      <c r="X302" s="410"/>
      <c r="Y302" s="410"/>
    </row>
    <row r="303" spans="2:25" s="424" customFormat="1" ht="15">
      <c r="B303" s="99"/>
      <c r="C303" s="100" t="s">
        <v>634</v>
      </c>
      <c r="D303" s="100"/>
      <c r="E303" s="100"/>
      <c r="F303" s="678"/>
      <c r="G303" s="679"/>
      <c r="H303" s="105"/>
      <c r="I303" s="680"/>
      <c r="J303" s="101"/>
      <c r="K303" s="423"/>
      <c r="L303" s="423"/>
      <c r="M303" s="423"/>
      <c r="N303" s="423"/>
      <c r="O303" s="423"/>
      <c r="P303" s="423"/>
      <c r="Q303" s="423"/>
      <c r="R303" s="423"/>
      <c r="S303" s="423"/>
      <c r="T303" s="423"/>
      <c r="U303" s="423"/>
      <c r="V303" s="423"/>
      <c r="W303" s="423"/>
      <c r="X303" s="423"/>
      <c r="Y303" s="423"/>
    </row>
    <row r="304" spans="2:25" s="424" customFormat="1" ht="15">
      <c r="B304" s="99" t="s">
        <v>35</v>
      </c>
      <c r="C304" s="100" t="s">
        <v>550</v>
      </c>
      <c r="D304" s="100"/>
      <c r="E304" s="100">
        <v>1</v>
      </c>
      <c r="F304" s="838">
        <f t="shared" ref="F304" si="88">J304/1000000</f>
        <v>535.4467932</v>
      </c>
      <c r="G304" s="839"/>
      <c r="H304" s="105">
        <v>0.2</v>
      </c>
      <c r="I304" s="680">
        <f t="shared" si="82"/>
        <v>107.08935864</v>
      </c>
      <c r="J304" s="101">
        <v>535446793.19999999</v>
      </c>
      <c r="K304" s="423"/>
      <c r="L304" s="423"/>
      <c r="M304" s="423"/>
      <c r="N304" s="423"/>
      <c r="O304" s="423"/>
      <c r="P304" s="423"/>
      <c r="Q304" s="423"/>
      <c r="R304" s="423"/>
      <c r="S304" s="423"/>
      <c r="T304" s="423"/>
      <c r="U304" s="423"/>
      <c r="V304" s="423"/>
      <c r="W304" s="423"/>
      <c r="X304" s="423"/>
      <c r="Y304" s="423"/>
    </row>
    <row r="305" spans="2:25" s="424" customFormat="1" ht="15">
      <c r="B305" s="99" t="s">
        <v>36</v>
      </c>
      <c r="C305" s="100" t="s">
        <v>633</v>
      </c>
      <c r="D305" s="100"/>
      <c r="E305" s="100">
        <v>1</v>
      </c>
      <c r="F305" s="100">
        <v>4</v>
      </c>
      <c r="G305" s="100">
        <v>12.6</v>
      </c>
      <c r="H305" s="105">
        <v>0.2</v>
      </c>
      <c r="I305" s="690">
        <f t="shared" si="82"/>
        <v>10.08</v>
      </c>
      <c r="J305" s="101">
        <v>85323125.799999997</v>
      </c>
      <c r="K305" s="692">
        <f>+G305*F305</f>
        <v>50.4</v>
      </c>
      <c r="L305" s="423"/>
      <c r="M305" s="423"/>
      <c r="N305" s="423"/>
      <c r="O305" s="423"/>
      <c r="P305" s="423"/>
      <c r="Q305" s="423"/>
      <c r="R305" s="423"/>
      <c r="S305" s="423"/>
      <c r="T305" s="423"/>
      <c r="U305" s="423"/>
      <c r="V305" s="423"/>
      <c r="W305" s="423"/>
      <c r="X305" s="423"/>
      <c r="Y305" s="423"/>
    </row>
    <row r="306" spans="2:25" s="424" customFormat="1" ht="15">
      <c r="B306" s="99"/>
      <c r="C306" s="100"/>
      <c r="D306" s="100"/>
      <c r="E306" s="100">
        <v>1</v>
      </c>
      <c r="F306" s="100">
        <v>4</v>
      </c>
      <c r="G306" s="100">
        <v>2.7</v>
      </c>
      <c r="H306" s="105">
        <v>0.2</v>
      </c>
      <c r="I306" s="690">
        <f t="shared" si="82"/>
        <v>2.16</v>
      </c>
      <c r="J306" s="101"/>
      <c r="K306" s="692">
        <f>+G306*F306</f>
        <v>10.8</v>
      </c>
      <c r="L306" s="423"/>
      <c r="M306" s="423"/>
      <c r="N306" s="423"/>
      <c r="O306" s="423"/>
      <c r="P306" s="423"/>
      <c r="Q306" s="423"/>
      <c r="R306" s="423"/>
      <c r="S306" s="423"/>
      <c r="T306" s="423"/>
      <c r="U306" s="423"/>
      <c r="V306" s="423"/>
      <c r="W306" s="423"/>
      <c r="X306" s="423"/>
      <c r="Y306" s="423"/>
    </row>
    <row r="307" spans="2:25" s="424" customFormat="1" ht="15">
      <c r="B307" s="99"/>
      <c r="C307" s="100"/>
      <c r="D307" s="100"/>
      <c r="E307" s="100">
        <v>1</v>
      </c>
      <c r="F307" s="100">
        <v>5</v>
      </c>
      <c r="G307" s="100">
        <v>2.8</v>
      </c>
      <c r="H307" s="105">
        <v>0.2</v>
      </c>
      <c r="I307" s="690">
        <f t="shared" si="82"/>
        <v>2.8000000000000003</v>
      </c>
      <c r="J307" s="101"/>
      <c r="K307" s="692">
        <f>+G307*F307</f>
        <v>14</v>
      </c>
      <c r="L307" s="423"/>
      <c r="M307" s="423"/>
      <c r="N307" s="423"/>
      <c r="O307" s="423"/>
      <c r="P307" s="423"/>
      <c r="Q307" s="423"/>
      <c r="R307" s="423"/>
      <c r="S307" s="423"/>
      <c r="T307" s="423"/>
      <c r="U307" s="423"/>
      <c r="V307" s="423"/>
      <c r="W307" s="423"/>
      <c r="X307" s="423"/>
      <c r="Y307" s="423"/>
    </row>
    <row r="308" spans="2:25" s="28" customFormat="1" ht="15">
      <c r="B308" s="41"/>
      <c r="C308" s="106" t="s">
        <v>26</v>
      </c>
      <c r="D308" s="42"/>
      <c r="E308" s="42"/>
      <c r="F308" s="42"/>
      <c r="G308" s="42"/>
      <c r="H308" s="42"/>
      <c r="I308" s="42">
        <f>SUM(I273:I307)</f>
        <v>616.68338217999997</v>
      </c>
      <c r="J308" s="43"/>
      <c r="O308" s="29"/>
      <c r="P308" s="29"/>
    </row>
    <row r="309" spans="2:25">
      <c r="B309" s="62"/>
      <c r="C309" s="58"/>
      <c r="D309" s="58"/>
      <c r="E309" s="58"/>
      <c r="F309" s="58"/>
      <c r="G309" s="58"/>
      <c r="H309" s="58"/>
      <c r="I309" s="58"/>
      <c r="J309" s="61"/>
    </row>
    <row r="310" spans="2:25" ht="120">
      <c r="B310" s="308">
        <f>'Abstract '!A33</f>
        <v>50</v>
      </c>
      <c r="C310" s="751" t="str">
        <f>'Abstract '!B33</f>
        <v xml:space="preserve"> CHAMBER WORK (900*900* Depth up to 1.5mt)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10" s="163" t="s">
        <v>34</v>
      </c>
      <c r="E310" s="58"/>
      <c r="F310" s="58"/>
      <c r="G310" s="58"/>
      <c r="H310" s="58"/>
      <c r="I310" s="58"/>
      <c r="J310" s="61"/>
    </row>
    <row r="311" spans="2:25" s="410" customFormat="1">
      <c r="B311" s="414"/>
      <c r="C311" s="415" t="s">
        <v>148</v>
      </c>
      <c r="D311" s="416"/>
      <c r="E311" s="416"/>
      <c r="F311" s="416"/>
      <c r="G311" s="416"/>
      <c r="H311" s="416"/>
      <c r="I311" s="416"/>
      <c r="J311" s="399"/>
      <c r="O311" s="411"/>
      <c r="P311" s="412"/>
    </row>
    <row r="312" spans="2:25" s="410" customFormat="1">
      <c r="B312" s="414"/>
      <c r="C312" s="416" t="s">
        <v>230</v>
      </c>
      <c r="D312" s="416"/>
      <c r="E312" s="416"/>
      <c r="F312" s="416"/>
      <c r="G312" s="416"/>
      <c r="H312" s="416"/>
      <c r="I312" s="416"/>
      <c r="J312" s="399"/>
      <c r="O312" s="411"/>
      <c r="P312" s="412"/>
    </row>
    <row r="313" spans="2:25" s="410" customFormat="1">
      <c r="B313" s="414"/>
      <c r="C313" s="416" t="s">
        <v>231</v>
      </c>
      <c r="D313" s="416"/>
      <c r="E313" s="417">
        <v>11</v>
      </c>
      <c r="F313" s="416"/>
      <c r="G313" s="416"/>
      <c r="H313" s="416"/>
      <c r="I313" s="456">
        <f>PRODUCT(E313:H313)</f>
        <v>11</v>
      </c>
      <c r="J313" s="399"/>
      <c r="O313" s="411"/>
      <c r="P313" s="412"/>
    </row>
    <row r="314" spans="2:25" s="424" customFormat="1" ht="15">
      <c r="B314" s="99"/>
      <c r="C314" s="100" t="s">
        <v>634</v>
      </c>
      <c r="D314" s="100"/>
      <c r="E314" s="100"/>
      <c r="F314" s="767"/>
      <c r="G314" s="768"/>
      <c r="H314" s="105"/>
      <c r="I314" s="770"/>
      <c r="J314" s="101"/>
      <c r="K314" s="423"/>
      <c r="L314" s="423"/>
      <c r="M314" s="423"/>
      <c r="N314" s="423"/>
      <c r="O314" s="423"/>
      <c r="P314" s="423"/>
      <c r="Q314" s="423"/>
      <c r="R314" s="423"/>
      <c r="S314" s="423"/>
      <c r="T314" s="423"/>
      <c r="U314" s="423"/>
      <c r="V314" s="423"/>
      <c r="W314" s="423"/>
      <c r="X314" s="423"/>
      <c r="Y314" s="423"/>
    </row>
    <row r="315" spans="2:25" s="424" customFormat="1" ht="15">
      <c r="B315" s="99"/>
      <c r="C315" s="100" t="s">
        <v>654</v>
      </c>
      <c r="D315" s="100"/>
      <c r="E315" s="100">
        <v>8</v>
      </c>
      <c r="F315" s="416"/>
      <c r="G315" s="771"/>
      <c r="H315" s="105"/>
      <c r="I315" s="770">
        <f t="shared" ref="I315" si="89">PRODUCT(E315:H315)</f>
        <v>8</v>
      </c>
      <c r="J315" s="101"/>
      <c r="K315" s="423"/>
      <c r="L315" s="423"/>
      <c r="M315" s="423"/>
      <c r="N315" s="423"/>
      <c r="O315" s="423"/>
      <c r="P315" s="423"/>
      <c r="Q315" s="423"/>
      <c r="R315" s="423"/>
      <c r="S315" s="423"/>
      <c r="T315" s="423"/>
      <c r="U315" s="423"/>
      <c r="V315" s="423"/>
      <c r="W315" s="423"/>
      <c r="X315" s="423"/>
      <c r="Y315" s="423"/>
    </row>
    <row r="316" spans="2:25" s="28" customFormat="1" ht="15">
      <c r="B316" s="41"/>
      <c r="C316" s="106" t="s">
        <v>26</v>
      </c>
      <c r="D316" s="42"/>
      <c r="E316" s="42"/>
      <c r="F316" s="42"/>
      <c r="G316" s="42"/>
      <c r="H316" s="42"/>
      <c r="I316" s="42">
        <f>SUM(I313:I315)</f>
        <v>19</v>
      </c>
      <c r="J316" s="43" t="s">
        <v>34</v>
      </c>
      <c r="O316" s="29"/>
      <c r="P316" s="29"/>
    </row>
    <row r="317" spans="2:25">
      <c r="B317" s="62"/>
      <c r="C317" s="58"/>
      <c r="D317" s="58"/>
      <c r="E317" s="58"/>
      <c r="F317" s="58"/>
      <c r="G317" s="58"/>
      <c r="H317" s="58"/>
      <c r="I317" s="58"/>
      <c r="J317" s="61"/>
    </row>
    <row r="318" spans="2:25" ht="120">
      <c r="B318" s="308">
        <f>'Abstract '!A35</f>
        <v>70</v>
      </c>
      <c r="C318" s="751" t="str">
        <f>'Abstract '!B35</f>
        <v xml:space="preserve"> CHAMBER WORK (600*600*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and including chamber cover fixing on the top etc., complete. (Note: chamber cover supply by sattva)</v>
      </c>
      <c r="D318" s="163" t="s">
        <v>34</v>
      </c>
      <c r="E318" s="58"/>
      <c r="F318" s="58"/>
      <c r="G318" s="58"/>
      <c r="H318" s="58"/>
      <c r="I318" s="58"/>
      <c r="J318" s="61"/>
    </row>
    <row r="319" spans="2:25" s="410" customFormat="1">
      <c r="B319" s="418"/>
      <c r="C319" s="419" t="s">
        <v>148</v>
      </c>
      <c r="D319" s="417"/>
      <c r="E319" s="417"/>
      <c r="F319" s="417"/>
      <c r="G319" s="417"/>
      <c r="H319" s="417"/>
      <c r="I319" s="417"/>
      <c r="J319" s="420"/>
      <c r="O319" s="411"/>
      <c r="P319" s="412"/>
    </row>
    <row r="320" spans="2:25" s="410" customFormat="1">
      <c r="B320" s="418"/>
      <c r="C320" s="417" t="s">
        <v>233</v>
      </c>
      <c r="D320" s="417"/>
      <c r="E320" s="417"/>
      <c r="F320" s="417"/>
      <c r="G320" s="417"/>
      <c r="H320" s="417"/>
      <c r="I320" s="417"/>
      <c r="J320" s="420"/>
      <c r="O320" s="411"/>
      <c r="P320" s="412"/>
    </row>
    <row r="321" spans="2:16" s="410" customFormat="1">
      <c r="B321" s="418"/>
      <c r="C321" s="417" t="s">
        <v>232</v>
      </c>
      <c r="D321" s="417"/>
      <c r="E321" s="417">
        <v>2</v>
      </c>
      <c r="F321" s="417"/>
      <c r="G321" s="417"/>
      <c r="H321" s="417"/>
      <c r="I321" s="456">
        <f>PRODUCT(E321:H321)</f>
        <v>2</v>
      </c>
      <c r="J321" s="420"/>
      <c r="O321" s="411"/>
      <c r="P321" s="412"/>
    </row>
    <row r="322" spans="2:16" s="410" customFormat="1">
      <c r="B322" s="418"/>
      <c r="C322" s="417" t="s">
        <v>235</v>
      </c>
      <c r="D322" s="417"/>
      <c r="E322" s="417"/>
      <c r="F322" s="417"/>
      <c r="G322" s="417"/>
      <c r="H322" s="417"/>
      <c r="I322" s="417"/>
      <c r="J322" s="420"/>
      <c r="O322" s="411"/>
      <c r="P322" s="412"/>
    </row>
    <row r="323" spans="2:16" s="410" customFormat="1">
      <c r="B323" s="418"/>
      <c r="C323" s="419" t="s">
        <v>232</v>
      </c>
      <c r="D323" s="417"/>
      <c r="E323" s="417">
        <v>2</v>
      </c>
      <c r="F323" s="417"/>
      <c r="G323" s="417"/>
      <c r="H323" s="417"/>
      <c r="I323" s="417">
        <f>PRODUCT(E323:H323)</f>
        <v>2</v>
      </c>
      <c r="J323" s="420"/>
      <c r="O323" s="411"/>
      <c r="P323" s="412"/>
    </row>
    <row r="324" spans="2:16" s="28" customFormat="1" ht="15">
      <c r="B324" s="41"/>
      <c r="C324" s="106" t="s">
        <v>26</v>
      </c>
      <c r="D324" s="42"/>
      <c r="E324" s="42"/>
      <c r="F324" s="42"/>
      <c r="G324" s="42"/>
      <c r="H324" s="42"/>
      <c r="I324" s="42">
        <f>SUM(I320:I323)</f>
        <v>4</v>
      </c>
      <c r="J324" s="43" t="s">
        <v>34</v>
      </c>
      <c r="O324" s="29"/>
      <c r="P324" s="29"/>
    </row>
    <row r="325" spans="2:16" ht="120">
      <c r="B325" s="308">
        <f>'Abstract '!A36</f>
        <v>80</v>
      </c>
      <c r="C325" s="751" t="str">
        <f>'Abstract '!B36</f>
        <v xml:space="preserve"> CHAMBER WORK (750*750*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25" s="163" t="s">
        <v>34</v>
      </c>
      <c r="E325" s="58"/>
      <c r="F325" s="58"/>
      <c r="G325" s="58"/>
      <c r="H325" s="58"/>
      <c r="I325" s="58"/>
      <c r="J325" s="61"/>
    </row>
    <row r="326" spans="2:16" s="410" customFormat="1">
      <c r="B326" s="418"/>
      <c r="C326" s="419" t="s">
        <v>148</v>
      </c>
      <c r="D326" s="417"/>
      <c r="E326" s="417"/>
      <c r="F326" s="417"/>
      <c r="G326" s="417"/>
      <c r="H326" s="417"/>
      <c r="I326" s="417"/>
      <c r="J326" s="420"/>
      <c r="O326" s="411"/>
      <c r="P326" s="412"/>
    </row>
    <row r="327" spans="2:16" s="410" customFormat="1">
      <c r="B327" s="418"/>
      <c r="C327" s="417" t="s">
        <v>227</v>
      </c>
      <c r="D327" s="417"/>
      <c r="E327" s="417"/>
      <c r="F327" s="417"/>
      <c r="G327" s="417"/>
      <c r="H327" s="417"/>
      <c r="I327" s="417"/>
      <c r="J327" s="420"/>
      <c r="O327" s="411"/>
      <c r="P327" s="412"/>
    </row>
    <row r="328" spans="2:16" s="410" customFormat="1">
      <c r="B328" s="418"/>
      <c r="C328" s="417" t="s">
        <v>228</v>
      </c>
      <c r="D328" s="417"/>
      <c r="E328" s="417">
        <v>1</v>
      </c>
      <c r="F328" s="417"/>
      <c r="G328" s="417"/>
      <c r="H328" s="417"/>
      <c r="I328" s="456">
        <f>PRODUCT(E328:H328)</f>
        <v>1</v>
      </c>
      <c r="J328" s="420"/>
      <c r="O328" s="411"/>
      <c r="P328" s="412"/>
    </row>
    <row r="329" spans="2:16" s="410" customFormat="1">
      <c r="B329" s="418"/>
      <c r="C329" s="417" t="s">
        <v>230</v>
      </c>
      <c r="D329" s="417"/>
      <c r="E329" s="417"/>
      <c r="F329" s="417"/>
      <c r="G329" s="417"/>
      <c r="H329" s="417"/>
      <c r="I329" s="417"/>
      <c r="J329" s="420"/>
      <c r="O329" s="411"/>
      <c r="P329" s="412"/>
    </row>
    <row r="330" spans="2:16" s="410" customFormat="1">
      <c r="B330" s="418"/>
      <c r="C330" s="419" t="s">
        <v>228</v>
      </c>
      <c r="D330" s="417"/>
      <c r="E330" s="417">
        <v>2</v>
      </c>
      <c r="F330" s="417"/>
      <c r="G330" s="417"/>
      <c r="H330" s="417"/>
      <c r="I330" s="417">
        <f>PRODUCT(E330:H330)</f>
        <v>2</v>
      </c>
      <c r="J330" s="420"/>
      <c r="O330" s="411"/>
      <c r="P330" s="412"/>
    </row>
    <row r="331" spans="2:16" s="410" customFormat="1">
      <c r="B331" s="418"/>
      <c r="C331" s="419" t="s">
        <v>234</v>
      </c>
      <c r="D331" s="417"/>
      <c r="E331" s="417"/>
      <c r="F331" s="417"/>
      <c r="G331" s="417"/>
      <c r="H331" s="417"/>
      <c r="I331" s="417"/>
      <c r="J331" s="420"/>
      <c r="O331" s="411"/>
      <c r="P331" s="412"/>
    </row>
    <row r="332" spans="2:16" s="410" customFormat="1">
      <c r="B332" s="418"/>
      <c r="C332" s="417" t="s">
        <v>228</v>
      </c>
      <c r="D332" s="417"/>
      <c r="E332" s="417">
        <v>1</v>
      </c>
      <c r="F332" s="417"/>
      <c r="G332" s="417"/>
      <c r="H332" s="417"/>
      <c r="I332" s="417">
        <f>PRODUCT(E332:H332)</f>
        <v>1</v>
      </c>
      <c r="J332" s="420"/>
      <c r="O332" s="411"/>
      <c r="P332" s="412"/>
    </row>
    <row r="333" spans="2:16" s="28" customFormat="1" ht="15">
      <c r="B333" s="41"/>
      <c r="C333" s="106" t="s">
        <v>26</v>
      </c>
      <c r="D333" s="42"/>
      <c r="E333" s="42"/>
      <c r="F333" s="42"/>
      <c r="G333" s="42"/>
      <c r="H333" s="42"/>
      <c r="I333" s="42">
        <f>SUM(I327:I332)</f>
        <v>4</v>
      </c>
      <c r="J333" s="43" t="s">
        <v>34</v>
      </c>
      <c r="O333" s="29"/>
      <c r="P333" s="29"/>
    </row>
    <row r="334" spans="2:16" ht="114">
      <c r="B334" s="308">
        <f>'Abstract '!A37</f>
        <v>90</v>
      </c>
      <c r="C334" s="164" t="str">
        <f>'Abstract '!B37</f>
        <v xml:space="preserve"> CHAMBER WORK (300*300*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v>
      </c>
      <c r="D334" s="163" t="s">
        <v>34</v>
      </c>
      <c r="E334" s="58"/>
      <c r="F334" s="58"/>
      <c r="G334" s="58"/>
      <c r="H334" s="58"/>
      <c r="I334" s="58"/>
      <c r="J334" s="61"/>
    </row>
    <row r="335" spans="2:16" s="410" customFormat="1">
      <c r="B335" s="418"/>
      <c r="C335" s="419" t="s">
        <v>148</v>
      </c>
      <c r="D335" s="417"/>
      <c r="E335" s="417"/>
      <c r="F335" s="417"/>
      <c r="G335" s="417"/>
      <c r="H335" s="417"/>
      <c r="I335" s="417"/>
      <c r="J335" s="420"/>
      <c r="O335" s="411"/>
      <c r="P335" s="412"/>
    </row>
    <row r="336" spans="2:16" s="410" customFormat="1">
      <c r="B336" s="418"/>
      <c r="C336" s="417" t="s">
        <v>227</v>
      </c>
      <c r="D336" s="417"/>
      <c r="E336" s="417"/>
      <c r="F336" s="417"/>
      <c r="G336" s="417"/>
      <c r="H336" s="417"/>
      <c r="I336" s="417"/>
      <c r="J336" s="420"/>
      <c r="O336" s="411"/>
      <c r="P336" s="412"/>
    </row>
    <row r="337" spans="2:25" s="410" customFormat="1">
      <c r="B337" s="418"/>
      <c r="C337" s="417" t="s">
        <v>229</v>
      </c>
      <c r="D337" s="417"/>
      <c r="E337" s="417">
        <v>1</v>
      </c>
      <c r="F337" s="417"/>
      <c r="G337" s="417"/>
      <c r="H337" s="417"/>
      <c r="I337" s="456">
        <f>PRODUCT(E337:H337)</f>
        <v>1</v>
      </c>
      <c r="J337" s="420"/>
      <c r="O337" s="411"/>
      <c r="P337" s="412"/>
    </row>
    <row r="338" spans="2:25" s="410" customFormat="1">
      <c r="B338" s="418"/>
      <c r="C338" s="417" t="s">
        <v>236</v>
      </c>
      <c r="D338" s="417"/>
      <c r="E338" s="417"/>
      <c r="F338" s="417"/>
      <c r="G338" s="417"/>
      <c r="H338" s="417"/>
      <c r="I338" s="417"/>
      <c r="J338" s="420"/>
      <c r="O338" s="411"/>
      <c r="P338" s="412"/>
    </row>
    <row r="339" spans="2:25" s="410" customFormat="1">
      <c r="B339" s="418"/>
      <c r="C339" s="419" t="s">
        <v>229</v>
      </c>
      <c r="D339" s="417"/>
      <c r="E339" s="417">
        <v>4</v>
      </c>
      <c r="F339" s="417"/>
      <c r="G339" s="417"/>
      <c r="H339" s="417"/>
      <c r="I339" s="417">
        <f>PRODUCT(E339:H339)</f>
        <v>4</v>
      </c>
      <c r="J339" s="420"/>
      <c r="O339" s="411"/>
      <c r="P339" s="412"/>
    </row>
    <row r="340" spans="2:25" s="410" customFormat="1">
      <c r="B340" s="418"/>
      <c r="C340" s="419" t="s">
        <v>237</v>
      </c>
      <c r="D340" s="417"/>
      <c r="E340" s="417"/>
      <c r="F340" s="417"/>
      <c r="G340" s="417"/>
      <c r="H340" s="417"/>
      <c r="I340" s="417"/>
      <c r="J340" s="420"/>
      <c r="O340" s="411"/>
      <c r="P340" s="412"/>
    </row>
    <row r="341" spans="2:25" s="410" customFormat="1">
      <c r="B341" s="418"/>
      <c r="C341" s="417" t="s">
        <v>229</v>
      </c>
      <c r="D341" s="417"/>
      <c r="E341" s="417">
        <v>5</v>
      </c>
      <c r="F341" s="417"/>
      <c r="G341" s="417"/>
      <c r="H341" s="417"/>
      <c r="I341" s="417">
        <f>PRODUCT(E341:H341)</f>
        <v>5</v>
      </c>
      <c r="J341" s="420"/>
      <c r="O341" s="411"/>
      <c r="P341" s="412"/>
    </row>
    <row r="342" spans="2:25" s="410" customFormat="1">
      <c r="B342" s="418"/>
      <c r="C342" s="417" t="s">
        <v>238</v>
      </c>
      <c r="D342" s="417"/>
      <c r="E342" s="417">
        <v>2</v>
      </c>
      <c r="F342" s="417"/>
      <c r="G342" s="417"/>
      <c r="H342" s="417"/>
      <c r="I342" s="456">
        <f>PRODUCT(E342:H342)</f>
        <v>2</v>
      </c>
      <c r="J342" s="420"/>
      <c r="O342" s="411"/>
      <c r="P342" s="412"/>
    </row>
    <row r="343" spans="2:25" s="424" customFormat="1" ht="15">
      <c r="B343" s="99"/>
      <c r="C343" s="100" t="s">
        <v>634</v>
      </c>
      <c r="D343" s="100"/>
      <c r="E343" s="100"/>
      <c r="F343" s="767"/>
      <c r="G343" s="768"/>
      <c r="H343" s="105"/>
      <c r="I343" s="770"/>
      <c r="J343" s="101"/>
      <c r="K343" s="423"/>
      <c r="L343" s="423"/>
      <c r="M343" s="423"/>
      <c r="N343" s="423"/>
      <c r="O343" s="423"/>
      <c r="P343" s="423"/>
      <c r="Q343" s="423"/>
      <c r="R343" s="423"/>
      <c r="S343" s="423"/>
      <c r="T343" s="423"/>
      <c r="U343" s="423"/>
      <c r="V343" s="423"/>
      <c r="W343" s="423"/>
      <c r="X343" s="423"/>
      <c r="Y343" s="423"/>
    </row>
    <row r="344" spans="2:25" s="424" customFormat="1" ht="15">
      <c r="B344" s="99"/>
      <c r="C344" s="100" t="s">
        <v>654</v>
      </c>
      <c r="D344" s="100"/>
      <c r="E344" s="100">
        <v>18</v>
      </c>
      <c r="F344" s="416"/>
      <c r="G344" s="771"/>
      <c r="H344" s="105"/>
      <c r="I344" s="770">
        <f t="shared" ref="I344" si="90">PRODUCT(E344:H344)</f>
        <v>18</v>
      </c>
      <c r="J344" s="101"/>
      <c r="K344" s="423"/>
      <c r="L344" s="423"/>
      <c r="M344" s="423"/>
      <c r="N344" s="423"/>
      <c r="O344" s="423"/>
      <c r="P344" s="423"/>
      <c r="Q344" s="423"/>
      <c r="R344" s="423"/>
      <c r="S344" s="423"/>
      <c r="T344" s="423"/>
      <c r="U344" s="423"/>
      <c r="V344" s="423"/>
      <c r="W344" s="423"/>
      <c r="X344" s="423"/>
      <c r="Y344" s="423"/>
    </row>
    <row r="345" spans="2:25" s="410" customFormat="1">
      <c r="B345" s="418"/>
      <c r="C345" s="417"/>
      <c r="D345" s="417"/>
      <c r="E345" s="417"/>
      <c r="F345" s="417"/>
      <c r="G345" s="417"/>
      <c r="H345" s="417"/>
      <c r="I345" s="769"/>
      <c r="J345" s="420"/>
      <c r="O345" s="411"/>
      <c r="P345" s="412"/>
    </row>
    <row r="346" spans="2:25" s="28" customFormat="1" ht="15">
      <c r="B346" s="41"/>
      <c r="C346" s="106" t="s">
        <v>26</v>
      </c>
      <c r="D346" s="42"/>
      <c r="E346" s="42"/>
      <c r="F346" s="42"/>
      <c r="G346" s="42"/>
      <c r="H346" s="42"/>
      <c r="I346" s="42">
        <f>SUM(I336:I344)</f>
        <v>30</v>
      </c>
      <c r="J346" s="43" t="s">
        <v>34</v>
      </c>
      <c r="O346" s="29"/>
      <c r="P346" s="29"/>
    </row>
    <row r="347" spans="2:25">
      <c r="B347" s="62"/>
      <c r="C347" s="58"/>
      <c r="D347" s="58"/>
      <c r="E347" s="58"/>
      <c r="F347" s="58"/>
      <c r="G347" s="58"/>
      <c r="H347" s="58"/>
      <c r="I347" s="58"/>
      <c r="J347" s="61"/>
    </row>
    <row r="348" spans="2:25">
      <c r="B348" s="62"/>
      <c r="C348" s="58"/>
      <c r="D348" s="58"/>
      <c r="E348" s="58"/>
      <c r="F348" s="58"/>
      <c r="G348" s="58"/>
      <c r="H348" s="58"/>
      <c r="I348" s="58"/>
      <c r="J348" s="61"/>
    </row>
    <row r="349" spans="2:25">
      <c r="B349" s="62"/>
      <c r="C349" s="58"/>
      <c r="D349" s="58"/>
      <c r="E349" s="58"/>
      <c r="F349" s="58"/>
      <c r="G349" s="58"/>
      <c r="H349" s="58"/>
      <c r="I349" s="58"/>
      <c r="J349" s="61"/>
    </row>
    <row r="350" spans="2:25" ht="120">
      <c r="B350" s="309">
        <f>'Abstract '!A14</f>
        <v>30</v>
      </c>
      <c r="C350" s="750" t="str">
        <f>'Abstract '!B14</f>
        <v>55009582
LAND_SUP/FIX_GRANITE COBBLE HARDSCAPE WORKS
Black flamed Granite Cobble Stone Providing &amp; laying of Black Granite Cobble stones of 100X100mm  over 50mm thick pcc bed to required shape, size and pattern .to required line, level, etc. all complete cost including of all materials at site, necessary earth compaction, all labour charges and other charges required to complete.
Location - Driveway paving band (75mm thick)</v>
      </c>
      <c r="D350" s="455" t="s">
        <v>429</v>
      </c>
      <c r="E350" s="310"/>
      <c r="F350" s="310"/>
      <c r="G350" s="310"/>
      <c r="H350" s="310"/>
      <c r="I350" s="310"/>
      <c r="J350" s="311" t="s">
        <v>103</v>
      </c>
    </row>
    <row r="351" spans="2:25" s="410" customFormat="1">
      <c r="B351" s="418"/>
      <c r="C351" s="419" t="s">
        <v>426</v>
      </c>
      <c r="D351" s="417"/>
      <c r="E351" s="417"/>
      <c r="F351" s="417"/>
      <c r="G351" s="417"/>
      <c r="H351" s="417"/>
      <c r="I351" s="417"/>
      <c r="J351" s="420"/>
      <c r="O351" s="411"/>
      <c r="P351" s="412"/>
    </row>
    <row r="352" spans="2:25" s="410" customFormat="1">
      <c r="B352" s="418" t="s">
        <v>35</v>
      </c>
      <c r="C352" s="417" t="s">
        <v>433</v>
      </c>
      <c r="D352" s="417"/>
      <c r="E352" s="417">
        <v>1</v>
      </c>
      <c r="F352" s="421">
        <v>105</v>
      </c>
      <c r="G352" s="421">
        <v>1.5</v>
      </c>
      <c r="H352" s="417"/>
      <c r="I352" s="456">
        <f>PRODUCT(E352:H352)</f>
        <v>157.5</v>
      </c>
      <c r="J352" s="420"/>
      <c r="O352" s="411"/>
      <c r="P352" s="412"/>
    </row>
    <row r="353" spans="2:25" s="410" customFormat="1">
      <c r="B353" s="682"/>
      <c r="C353" s="426" t="s">
        <v>554</v>
      </c>
      <c r="D353" s="426"/>
      <c r="E353" s="427"/>
      <c r="F353" s="426"/>
      <c r="G353" s="426"/>
      <c r="H353" s="426"/>
      <c r="I353" s="677"/>
      <c r="J353" s="683"/>
      <c r="O353" s="411"/>
      <c r="P353" s="412"/>
    </row>
    <row r="354" spans="2:25" s="410" customFormat="1">
      <c r="B354" s="682" t="s">
        <v>35</v>
      </c>
      <c r="C354" s="426" t="s">
        <v>431</v>
      </c>
      <c r="D354" s="426"/>
      <c r="E354" s="427">
        <v>1</v>
      </c>
      <c r="F354" s="426">
        <f>141-F352</f>
        <v>36</v>
      </c>
      <c r="G354" s="426">
        <v>1.5</v>
      </c>
      <c r="H354" s="426"/>
      <c r="I354" s="677">
        <f>PRODUCT(E354:H354)</f>
        <v>54</v>
      </c>
      <c r="J354" s="683"/>
      <c r="O354" s="411"/>
      <c r="P354" s="412"/>
    </row>
    <row r="355" spans="2:25" s="28" customFormat="1" ht="15">
      <c r="B355" s="41"/>
      <c r="C355" s="106" t="s">
        <v>26</v>
      </c>
      <c r="D355" s="42"/>
      <c r="E355" s="42"/>
      <c r="F355" s="42"/>
      <c r="G355" s="42"/>
      <c r="H355" s="42"/>
      <c r="I355" s="42">
        <f>SUM(I352:I354)</f>
        <v>211.5</v>
      </c>
      <c r="J355" s="43" t="s">
        <v>429</v>
      </c>
      <c r="O355" s="29"/>
      <c r="P355" s="29"/>
    </row>
    <row r="356" spans="2:25">
      <c r="B356" s="62"/>
      <c r="C356" s="58"/>
      <c r="D356" s="58"/>
      <c r="E356" s="58"/>
      <c r="F356" s="58"/>
      <c r="G356" s="58"/>
      <c r="H356" s="58"/>
      <c r="I356" s="58"/>
      <c r="J356" s="61"/>
    </row>
    <row r="357" spans="2:25" ht="30">
      <c r="B357" s="309">
        <f>'Abstract '!A26</f>
        <v>150</v>
      </c>
      <c r="C357" s="750" t="str">
        <f>'Abstract '!B26</f>
        <v>LAND_POW ER TROWEL
Power Trowel with broom finish for above item</v>
      </c>
      <c r="D357" s="455" t="str">
        <f>'Abstract '!D26</f>
        <v>M2</v>
      </c>
      <c r="E357" s="310"/>
      <c r="F357" s="310"/>
      <c r="G357" s="310"/>
      <c r="H357" s="310"/>
      <c r="I357" s="310"/>
      <c r="J357" s="311" t="s">
        <v>103</v>
      </c>
    </row>
    <row r="358" spans="2:25" s="410" customFormat="1">
      <c r="B358" s="418"/>
      <c r="C358" s="419" t="s">
        <v>426</v>
      </c>
      <c r="D358" s="417"/>
      <c r="E358" s="417"/>
      <c r="F358" s="417"/>
      <c r="G358" s="417"/>
      <c r="H358" s="417"/>
      <c r="I358" s="417"/>
      <c r="J358" s="420"/>
      <c r="O358" s="411"/>
      <c r="P358" s="412"/>
    </row>
    <row r="359" spans="2:25" s="410" customFormat="1">
      <c r="B359" s="418" t="s">
        <v>430</v>
      </c>
      <c r="C359" s="417" t="s">
        <v>431</v>
      </c>
      <c r="D359" s="417"/>
      <c r="E359" s="417">
        <v>1</v>
      </c>
      <c r="F359" s="421">
        <v>160</v>
      </c>
      <c r="G359" s="421">
        <v>4.7</v>
      </c>
      <c r="H359" s="417"/>
      <c r="I359" s="456">
        <f>PRODUCT(E359:H359)</f>
        <v>752</v>
      </c>
      <c r="J359" s="420">
        <v>751644652.20000005</v>
      </c>
      <c r="O359" s="411"/>
      <c r="P359" s="412"/>
    </row>
    <row r="360" spans="2:25" s="410" customFormat="1">
      <c r="B360" s="418" t="s">
        <v>483</v>
      </c>
      <c r="C360" s="417" t="s">
        <v>484</v>
      </c>
      <c r="D360" s="417"/>
      <c r="E360" s="417">
        <v>1</v>
      </c>
      <c r="F360" s="848">
        <f>J360/1000000</f>
        <v>299.05849139999998</v>
      </c>
      <c r="G360" s="848"/>
      <c r="H360" s="417"/>
      <c r="I360" s="456">
        <f>PRODUCT(E360:H360)</f>
        <v>299.05849139999998</v>
      </c>
      <c r="J360" s="420">
        <v>299058491.39999998</v>
      </c>
      <c r="O360" s="411"/>
      <c r="P360" s="412"/>
    </row>
    <row r="361" spans="2:25" s="393" customFormat="1">
      <c r="B361" s="394"/>
      <c r="C361" s="395" t="s">
        <v>554</v>
      </c>
      <c r="D361" s="395"/>
      <c r="E361" s="395"/>
      <c r="F361" s="395"/>
      <c r="G361" s="395"/>
      <c r="H361" s="396"/>
      <c r="I361" s="677"/>
      <c r="J361" s="397"/>
      <c r="K361" s="410"/>
      <c r="L361" s="410"/>
      <c r="M361" s="410"/>
      <c r="N361" s="410"/>
      <c r="O361" s="410"/>
      <c r="P361" s="410"/>
      <c r="Q361" s="410"/>
      <c r="R361" s="410"/>
      <c r="S361" s="410"/>
      <c r="T361" s="410"/>
      <c r="U361" s="410"/>
      <c r="V361" s="410"/>
      <c r="W361" s="410"/>
      <c r="X361" s="410"/>
      <c r="Y361" s="410"/>
    </row>
    <row r="362" spans="2:25" s="393" customFormat="1">
      <c r="B362" s="394" t="s">
        <v>35</v>
      </c>
      <c r="C362" s="395" t="s">
        <v>431</v>
      </c>
      <c r="D362" s="395"/>
      <c r="E362" s="395">
        <v>1</v>
      </c>
      <c r="F362" s="402">
        <v>160</v>
      </c>
      <c r="G362" s="454">
        <v>4.7</v>
      </c>
      <c r="H362" s="396"/>
      <c r="I362" s="677">
        <f>PRODUCT(E362:H362)</f>
        <v>752</v>
      </c>
      <c r="J362" s="397">
        <v>469504281</v>
      </c>
      <c r="K362" s="410"/>
      <c r="L362" s="410">
        <v>160</v>
      </c>
      <c r="M362" s="410">
        <v>4.7</v>
      </c>
      <c r="N362" s="410"/>
      <c r="O362" s="410"/>
      <c r="P362" s="410"/>
      <c r="Q362" s="410"/>
      <c r="R362" s="410"/>
      <c r="S362" s="410"/>
      <c r="T362" s="410"/>
      <c r="U362" s="410"/>
      <c r="V362" s="410"/>
      <c r="W362" s="410"/>
      <c r="X362" s="410"/>
      <c r="Y362" s="410"/>
    </row>
    <row r="363" spans="2:25" s="393" customFormat="1">
      <c r="B363" s="394" t="s">
        <v>36</v>
      </c>
      <c r="C363" s="395" t="s">
        <v>550</v>
      </c>
      <c r="D363" s="395"/>
      <c r="E363" s="395">
        <v>1</v>
      </c>
      <c r="F363" s="845">
        <f>J363/1000000</f>
        <v>335.14687710000004</v>
      </c>
      <c r="G363" s="846"/>
      <c r="H363" s="396"/>
      <c r="I363" s="677">
        <f t="shared" ref="I363:I385" si="91">PRODUCT(E363:H363)</f>
        <v>335.14687710000004</v>
      </c>
      <c r="J363" s="397">
        <v>335146877.10000002</v>
      </c>
      <c r="K363" s="410"/>
      <c r="L363" s="410">
        <v>335.14687710000004</v>
      </c>
      <c r="M363" s="410"/>
      <c r="N363" s="410"/>
      <c r="O363" s="410"/>
      <c r="P363" s="410"/>
      <c r="Q363" s="410"/>
      <c r="R363" s="410"/>
      <c r="S363" s="410"/>
      <c r="T363" s="410"/>
      <c r="U363" s="410"/>
      <c r="V363" s="410"/>
      <c r="W363" s="410"/>
      <c r="X363" s="410"/>
      <c r="Y363" s="410"/>
    </row>
    <row r="364" spans="2:25" s="393" customFormat="1">
      <c r="B364" s="394"/>
      <c r="C364" s="395" t="s">
        <v>551</v>
      </c>
      <c r="D364" s="395"/>
      <c r="E364" s="395">
        <v>-1</v>
      </c>
      <c r="F364" s="845">
        <f t="shared" ref="F364:F385" si="92">J364/1000000</f>
        <v>8.0101319000000011</v>
      </c>
      <c r="G364" s="846"/>
      <c r="H364" s="396"/>
      <c r="I364" s="677">
        <f t="shared" si="91"/>
        <v>-8.0101319000000011</v>
      </c>
      <c r="J364" s="397">
        <v>8010131.9000000004</v>
      </c>
      <c r="K364" s="410"/>
      <c r="L364" s="410">
        <v>8.0101319000000011</v>
      </c>
      <c r="M364" s="410"/>
      <c r="N364" s="410"/>
      <c r="O364" s="410"/>
      <c r="P364" s="410"/>
      <c r="Q364" s="410"/>
      <c r="R364" s="410"/>
      <c r="S364" s="410"/>
      <c r="T364" s="410"/>
      <c r="U364" s="410"/>
      <c r="V364" s="410"/>
      <c r="W364" s="410"/>
      <c r="X364" s="410"/>
      <c r="Y364" s="410"/>
    </row>
    <row r="365" spans="2:25" s="393" customFormat="1">
      <c r="B365" s="394"/>
      <c r="C365" s="395"/>
      <c r="D365" s="395"/>
      <c r="E365" s="395">
        <v>-1</v>
      </c>
      <c r="F365" s="845">
        <f t="shared" si="92"/>
        <v>1.2051320000000001</v>
      </c>
      <c r="G365" s="846"/>
      <c r="H365" s="396"/>
      <c r="I365" s="677">
        <f t="shared" si="91"/>
        <v>-1.2051320000000001</v>
      </c>
      <c r="J365" s="397">
        <v>1205132</v>
      </c>
      <c r="K365" s="410"/>
      <c r="L365" s="410">
        <v>1.2051320000000001</v>
      </c>
      <c r="M365" s="410"/>
      <c r="N365" s="410"/>
      <c r="O365" s="410"/>
      <c r="P365" s="410"/>
      <c r="Q365" s="410"/>
      <c r="R365" s="410"/>
      <c r="S365" s="410"/>
      <c r="T365" s="410"/>
      <c r="U365" s="410"/>
      <c r="V365" s="410"/>
      <c r="W365" s="410"/>
      <c r="X365" s="410"/>
      <c r="Y365" s="410"/>
    </row>
    <row r="366" spans="2:25" s="393" customFormat="1">
      <c r="B366" s="394"/>
      <c r="C366" s="395"/>
      <c r="D366" s="395"/>
      <c r="E366" s="395">
        <v>-1</v>
      </c>
      <c r="F366" s="845">
        <f t="shared" si="92"/>
        <v>0.86386830000000003</v>
      </c>
      <c r="G366" s="846"/>
      <c r="H366" s="396"/>
      <c r="I366" s="677">
        <f t="shared" si="91"/>
        <v>-0.86386830000000003</v>
      </c>
      <c r="J366" s="397">
        <v>863868.3</v>
      </c>
      <c r="K366" s="410"/>
      <c r="L366" s="410">
        <v>0.86386830000000003</v>
      </c>
      <c r="M366" s="410"/>
      <c r="N366" s="410"/>
      <c r="O366" s="410"/>
      <c r="P366" s="410"/>
      <c r="Q366" s="410"/>
      <c r="R366" s="410"/>
      <c r="S366" s="410"/>
      <c r="T366" s="410"/>
      <c r="U366" s="410"/>
      <c r="V366" s="410"/>
      <c r="W366" s="410"/>
      <c r="X366" s="410"/>
      <c r="Y366" s="410"/>
    </row>
    <row r="367" spans="2:25" s="393" customFormat="1">
      <c r="B367" s="394"/>
      <c r="C367" s="395"/>
      <c r="D367" s="395"/>
      <c r="E367" s="395">
        <v>-1</v>
      </c>
      <c r="F367" s="845">
        <f t="shared" si="92"/>
        <v>6.9738892999999997</v>
      </c>
      <c r="G367" s="846"/>
      <c r="H367" s="396"/>
      <c r="I367" s="677">
        <f t="shared" si="91"/>
        <v>-6.9738892999999997</v>
      </c>
      <c r="J367" s="397">
        <v>6973889.2999999998</v>
      </c>
      <c r="K367" s="410"/>
      <c r="L367" s="410">
        <v>6.9738892999999997</v>
      </c>
      <c r="M367" s="410"/>
      <c r="N367" s="410"/>
      <c r="O367" s="410"/>
      <c r="P367" s="410"/>
      <c r="Q367" s="410"/>
      <c r="R367" s="410"/>
      <c r="S367" s="410"/>
      <c r="T367" s="410"/>
      <c r="U367" s="410"/>
      <c r="V367" s="410"/>
      <c r="W367" s="410"/>
      <c r="X367" s="410"/>
      <c r="Y367" s="410"/>
    </row>
    <row r="368" spans="2:25" s="393" customFormat="1">
      <c r="B368" s="394"/>
      <c r="C368" s="395"/>
      <c r="D368" s="395"/>
      <c r="E368" s="395">
        <v>-1</v>
      </c>
      <c r="F368" s="845">
        <f t="shared" si="92"/>
        <v>0.9008448</v>
      </c>
      <c r="G368" s="846"/>
      <c r="H368" s="396"/>
      <c r="I368" s="677">
        <f t="shared" si="91"/>
        <v>-0.9008448</v>
      </c>
      <c r="J368" s="397">
        <v>900844.8</v>
      </c>
      <c r="K368" s="410"/>
      <c r="L368" s="410">
        <v>0.9008448</v>
      </c>
      <c r="M368" s="410"/>
      <c r="N368" s="410"/>
      <c r="O368" s="410"/>
      <c r="P368" s="410"/>
      <c r="Q368" s="410"/>
      <c r="R368" s="410"/>
      <c r="S368" s="410"/>
      <c r="T368" s="410"/>
      <c r="U368" s="410"/>
      <c r="V368" s="410"/>
      <c r="W368" s="410"/>
      <c r="X368" s="410"/>
      <c r="Y368" s="410"/>
    </row>
    <row r="369" spans="2:25" s="393" customFormat="1">
      <c r="B369" s="394"/>
      <c r="C369" s="395"/>
      <c r="D369" s="395"/>
      <c r="E369" s="395">
        <v>-1</v>
      </c>
      <c r="F369" s="845">
        <f t="shared" si="92"/>
        <v>4.4952174000000005</v>
      </c>
      <c r="G369" s="846"/>
      <c r="H369" s="396"/>
      <c r="I369" s="677">
        <f t="shared" si="91"/>
        <v>-4.4952174000000005</v>
      </c>
      <c r="J369" s="397">
        <v>4495217.4000000004</v>
      </c>
      <c r="K369" s="410"/>
      <c r="L369" s="410">
        <v>4.4952174000000005</v>
      </c>
      <c r="M369" s="410"/>
      <c r="N369" s="410"/>
      <c r="O369" s="410"/>
      <c r="P369" s="410"/>
      <c r="Q369" s="410"/>
      <c r="R369" s="410"/>
      <c r="S369" s="410"/>
      <c r="T369" s="410"/>
      <c r="U369" s="410"/>
      <c r="V369" s="410"/>
      <c r="W369" s="410"/>
      <c r="X369" s="410"/>
      <c r="Y369" s="410"/>
    </row>
    <row r="370" spans="2:25" s="393" customFormat="1">
      <c r="B370" s="394"/>
      <c r="C370" s="395"/>
      <c r="D370" s="395"/>
      <c r="E370" s="395">
        <v>-1</v>
      </c>
      <c r="F370" s="845">
        <f t="shared" si="92"/>
        <v>3.2799895999999999</v>
      </c>
      <c r="G370" s="846"/>
      <c r="H370" s="396"/>
      <c r="I370" s="677">
        <f t="shared" si="91"/>
        <v>-3.2799895999999999</v>
      </c>
      <c r="J370" s="397">
        <v>3279989.6</v>
      </c>
      <c r="K370" s="410"/>
      <c r="L370" s="410">
        <v>3.2799895999999999</v>
      </c>
      <c r="M370" s="410"/>
      <c r="N370" s="410"/>
      <c r="O370" s="410"/>
      <c r="P370" s="410"/>
      <c r="Q370" s="410"/>
      <c r="R370" s="410"/>
      <c r="S370" s="410"/>
      <c r="T370" s="410"/>
      <c r="U370" s="410"/>
      <c r="V370" s="410"/>
      <c r="W370" s="410"/>
      <c r="X370" s="410"/>
      <c r="Y370" s="410"/>
    </row>
    <row r="371" spans="2:25" s="393" customFormat="1">
      <c r="B371" s="394"/>
      <c r="C371" s="395"/>
      <c r="D371" s="395"/>
      <c r="E371" s="395">
        <v>-1</v>
      </c>
      <c r="F371" s="845">
        <f t="shared" si="92"/>
        <v>5.8909573000000002</v>
      </c>
      <c r="G371" s="846"/>
      <c r="H371" s="396"/>
      <c r="I371" s="677">
        <f t="shared" si="91"/>
        <v>-5.8909573000000002</v>
      </c>
      <c r="J371" s="397">
        <v>5890957.2999999998</v>
      </c>
      <c r="K371" s="410"/>
      <c r="L371" s="410">
        <v>5.8909573000000002</v>
      </c>
      <c r="M371" s="410"/>
      <c r="N371" s="410"/>
      <c r="O371" s="410"/>
      <c r="P371" s="410"/>
      <c r="Q371" s="410"/>
      <c r="R371" s="410"/>
      <c r="S371" s="410"/>
      <c r="T371" s="410"/>
      <c r="U371" s="410"/>
      <c r="V371" s="410"/>
      <c r="W371" s="410"/>
      <c r="X371" s="410"/>
      <c r="Y371" s="410"/>
    </row>
    <row r="372" spans="2:25" s="393" customFormat="1">
      <c r="B372" s="394"/>
      <c r="C372" s="395"/>
      <c r="D372" s="395"/>
      <c r="E372" s="395">
        <v>-1</v>
      </c>
      <c r="F372" s="845">
        <f t="shared" si="92"/>
        <v>7.5177032000000006</v>
      </c>
      <c r="G372" s="846"/>
      <c r="H372" s="396"/>
      <c r="I372" s="677">
        <f t="shared" si="91"/>
        <v>-7.5177032000000006</v>
      </c>
      <c r="J372" s="397">
        <v>7517703.2000000002</v>
      </c>
      <c r="K372" s="410"/>
      <c r="L372" s="410">
        <v>7.5177032000000006</v>
      </c>
      <c r="M372" s="410"/>
      <c r="N372" s="410"/>
      <c r="O372" s="410"/>
      <c r="P372" s="410"/>
      <c r="Q372" s="410"/>
      <c r="R372" s="410"/>
      <c r="S372" s="410"/>
      <c r="T372" s="410"/>
      <c r="U372" s="410"/>
      <c r="V372" s="410"/>
      <c r="W372" s="410"/>
      <c r="X372" s="410"/>
      <c r="Y372" s="410"/>
    </row>
    <row r="373" spans="2:25" s="393" customFormat="1">
      <c r="B373" s="394"/>
      <c r="C373" s="395"/>
      <c r="D373" s="395"/>
      <c r="E373" s="395">
        <v>-1</v>
      </c>
      <c r="F373" s="845">
        <f t="shared" si="92"/>
        <v>4.6961415999999998</v>
      </c>
      <c r="G373" s="846"/>
      <c r="H373" s="396"/>
      <c r="I373" s="677">
        <f t="shared" si="91"/>
        <v>-4.6961415999999998</v>
      </c>
      <c r="J373" s="397">
        <v>4696141.5999999996</v>
      </c>
      <c r="K373" s="410"/>
      <c r="L373" s="410">
        <v>4.6961415999999998</v>
      </c>
      <c r="M373" s="410"/>
      <c r="N373" s="410"/>
      <c r="O373" s="410"/>
      <c r="P373" s="410"/>
      <c r="Q373" s="410"/>
      <c r="R373" s="410"/>
      <c r="S373" s="410"/>
      <c r="T373" s="410"/>
      <c r="U373" s="410"/>
      <c r="V373" s="410"/>
      <c r="W373" s="410"/>
      <c r="X373" s="410"/>
      <c r="Y373" s="410"/>
    </row>
    <row r="374" spans="2:25" s="393" customFormat="1">
      <c r="B374" s="394"/>
      <c r="C374" s="395"/>
      <c r="D374" s="395"/>
      <c r="E374" s="395">
        <v>-1</v>
      </c>
      <c r="F374" s="845">
        <f t="shared" si="92"/>
        <v>2.3182744</v>
      </c>
      <c r="G374" s="846"/>
      <c r="H374" s="396"/>
      <c r="I374" s="677">
        <f t="shared" si="91"/>
        <v>-2.3182744</v>
      </c>
      <c r="J374" s="397">
        <v>2318274.4</v>
      </c>
      <c r="K374" s="410"/>
      <c r="L374" s="410">
        <v>2.3182744</v>
      </c>
      <c r="M374" s="410"/>
      <c r="N374" s="410"/>
      <c r="O374" s="410"/>
      <c r="P374" s="410"/>
      <c r="Q374" s="410"/>
      <c r="R374" s="410"/>
      <c r="S374" s="410"/>
      <c r="T374" s="410"/>
      <c r="U374" s="410"/>
      <c r="V374" s="410"/>
      <c r="W374" s="410"/>
      <c r="X374" s="410"/>
      <c r="Y374" s="410"/>
    </row>
    <row r="375" spans="2:25" s="393" customFormat="1">
      <c r="B375" s="394"/>
      <c r="C375" s="395"/>
      <c r="D375" s="395"/>
      <c r="E375" s="395">
        <v>-1</v>
      </c>
      <c r="F375" s="845">
        <f t="shared" si="92"/>
        <v>4.4895659999999999</v>
      </c>
      <c r="G375" s="846"/>
      <c r="H375" s="396"/>
      <c r="I375" s="677">
        <f t="shared" si="91"/>
        <v>-4.4895659999999999</v>
      </c>
      <c r="J375" s="397">
        <v>4489566</v>
      </c>
      <c r="K375" s="410"/>
      <c r="L375" s="410">
        <v>4.4895659999999999</v>
      </c>
      <c r="M375" s="410"/>
      <c r="N375" s="410"/>
      <c r="O375" s="410"/>
      <c r="P375" s="410"/>
      <c r="Q375" s="410"/>
      <c r="R375" s="410"/>
      <c r="S375" s="410"/>
      <c r="T375" s="410"/>
      <c r="U375" s="410"/>
      <c r="V375" s="410"/>
      <c r="W375" s="410"/>
      <c r="X375" s="410"/>
      <c r="Y375" s="410"/>
    </row>
    <row r="376" spans="2:25" s="393" customFormat="1">
      <c r="B376" s="394"/>
      <c r="C376" s="395"/>
      <c r="D376" s="395"/>
      <c r="E376" s="395">
        <v>-1</v>
      </c>
      <c r="F376" s="845">
        <f t="shared" si="92"/>
        <v>2.5483965</v>
      </c>
      <c r="G376" s="846"/>
      <c r="H376" s="396"/>
      <c r="I376" s="677">
        <f t="shared" si="91"/>
        <v>-2.5483965</v>
      </c>
      <c r="J376" s="397">
        <v>2548396.5</v>
      </c>
      <c r="K376" s="410"/>
      <c r="L376" s="410">
        <v>2.5483965</v>
      </c>
      <c r="M376" s="410"/>
      <c r="N376" s="410"/>
      <c r="O376" s="410"/>
      <c r="P376" s="410"/>
      <c r="Q376" s="410"/>
      <c r="R376" s="410"/>
      <c r="S376" s="410"/>
      <c r="T376" s="410"/>
      <c r="U376" s="410"/>
      <c r="V376" s="410"/>
      <c r="W376" s="410"/>
      <c r="X376" s="410"/>
      <c r="Y376" s="410"/>
    </row>
    <row r="377" spans="2:25" s="393" customFormat="1">
      <c r="B377" s="394" t="s">
        <v>37</v>
      </c>
      <c r="C377" s="395" t="s">
        <v>550</v>
      </c>
      <c r="D377" s="395"/>
      <c r="E377" s="395">
        <v>1</v>
      </c>
      <c r="F377" s="845">
        <f t="shared" si="92"/>
        <v>191.57469230000001</v>
      </c>
      <c r="G377" s="846"/>
      <c r="H377" s="396"/>
      <c r="I377" s="677">
        <f t="shared" si="91"/>
        <v>191.57469230000001</v>
      </c>
      <c r="J377" s="397">
        <v>191574692.30000001</v>
      </c>
      <c r="K377" s="410"/>
      <c r="L377" s="410">
        <v>154.31990530000002</v>
      </c>
      <c r="M377" s="410"/>
      <c r="N377" s="410"/>
      <c r="O377" s="410"/>
      <c r="P377" s="410"/>
      <c r="Q377" s="410"/>
      <c r="R377" s="410"/>
      <c r="S377" s="410"/>
      <c r="T377" s="410"/>
      <c r="U377" s="410"/>
      <c r="V377" s="410"/>
      <c r="W377" s="410"/>
      <c r="X377" s="410"/>
      <c r="Y377" s="410"/>
    </row>
    <row r="378" spans="2:25" s="393" customFormat="1">
      <c r="B378" s="394"/>
      <c r="C378" s="395" t="s">
        <v>552</v>
      </c>
      <c r="D378" s="395"/>
      <c r="E378" s="395">
        <v>-1</v>
      </c>
      <c r="F378" s="849">
        <f t="shared" si="92"/>
        <v>5.8686932999999994</v>
      </c>
      <c r="G378" s="850"/>
      <c r="H378" s="396"/>
      <c r="I378" s="677">
        <f t="shared" si="91"/>
        <v>-5.8686932999999994</v>
      </c>
      <c r="J378" s="397">
        <v>5868693.2999999998</v>
      </c>
      <c r="K378" s="410"/>
      <c r="L378" s="410">
        <v>5.8686932999999994</v>
      </c>
      <c r="M378" s="410">
        <v>5868693.2999999998</v>
      </c>
      <c r="N378" s="410"/>
      <c r="O378" s="410"/>
      <c r="P378" s="410"/>
      <c r="Q378" s="410"/>
      <c r="R378" s="410"/>
      <c r="S378" s="410"/>
      <c r="T378" s="410"/>
      <c r="U378" s="410"/>
      <c r="V378" s="410"/>
      <c r="W378" s="410"/>
      <c r="X378" s="410"/>
      <c r="Y378" s="410"/>
    </row>
    <row r="379" spans="2:25" s="393" customFormat="1">
      <c r="B379" s="394"/>
      <c r="C379" s="395"/>
      <c r="D379" s="395"/>
      <c r="E379" s="395">
        <v>-1</v>
      </c>
      <c r="F379" s="849">
        <f t="shared" si="92"/>
        <v>6.7479404000000001</v>
      </c>
      <c r="G379" s="850"/>
      <c r="H379" s="396"/>
      <c r="I379" s="677">
        <f t="shared" si="91"/>
        <v>-6.7479404000000001</v>
      </c>
      <c r="J379" s="397">
        <v>6747940.4000000004</v>
      </c>
      <c r="K379" s="410"/>
      <c r="L379" s="410">
        <v>6.7479404000000001</v>
      </c>
      <c r="M379" s="410">
        <v>6747940.4000000004</v>
      </c>
      <c r="N379" s="410"/>
      <c r="O379" s="410"/>
      <c r="P379" s="410"/>
      <c r="Q379" s="410"/>
      <c r="R379" s="410"/>
      <c r="S379" s="410"/>
      <c r="T379" s="410"/>
      <c r="U379" s="410"/>
      <c r="V379" s="410"/>
      <c r="W379" s="410"/>
      <c r="X379" s="410"/>
      <c r="Y379" s="410"/>
    </row>
    <row r="380" spans="2:25" s="393" customFormat="1">
      <c r="B380" s="394"/>
      <c r="C380" s="395"/>
      <c r="D380" s="395"/>
      <c r="E380" s="395">
        <v>-1</v>
      </c>
      <c r="F380" s="849">
        <f t="shared" si="92"/>
        <v>0.67741180000000001</v>
      </c>
      <c r="G380" s="850"/>
      <c r="H380" s="396"/>
      <c r="I380" s="677">
        <f t="shared" si="91"/>
        <v>-0.67741180000000001</v>
      </c>
      <c r="J380" s="397">
        <v>677411.8</v>
      </c>
      <c r="K380" s="410"/>
      <c r="L380" s="410">
        <v>0.67741180000000001</v>
      </c>
      <c r="M380" s="410">
        <v>677411.8</v>
      </c>
      <c r="N380" s="410"/>
      <c r="O380" s="410"/>
      <c r="P380" s="410"/>
      <c r="Q380" s="410"/>
      <c r="R380" s="410"/>
      <c r="S380" s="410"/>
      <c r="T380" s="410"/>
      <c r="U380" s="410"/>
      <c r="V380" s="410"/>
      <c r="W380" s="410"/>
      <c r="X380" s="410"/>
      <c r="Y380" s="410"/>
    </row>
    <row r="381" spans="2:25" s="393" customFormat="1">
      <c r="B381" s="394"/>
      <c r="C381" s="395"/>
      <c r="D381" s="395"/>
      <c r="E381" s="395">
        <v>-1</v>
      </c>
      <c r="F381" s="849">
        <f t="shared" si="92"/>
        <v>3.4570347999999997</v>
      </c>
      <c r="G381" s="850"/>
      <c r="H381" s="396"/>
      <c r="I381" s="677">
        <f t="shared" si="91"/>
        <v>-3.4570347999999997</v>
      </c>
      <c r="J381" s="397">
        <v>3457034.8</v>
      </c>
      <c r="K381" s="410"/>
      <c r="L381" s="410">
        <v>3.4570347999999997</v>
      </c>
      <c r="M381" s="410">
        <v>3457034.8</v>
      </c>
      <c r="N381" s="410"/>
      <c r="O381" s="410"/>
      <c r="P381" s="410"/>
      <c r="Q381" s="410"/>
      <c r="R381" s="410"/>
      <c r="S381" s="410"/>
      <c r="T381" s="410"/>
      <c r="U381" s="410"/>
      <c r="V381" s="410"/>
      <c r="W381" s="410"/>
      <c r="X381" s="410"/>
      <c r="Y381" s="410"/>
    </row>
    <row r="382" spans="2:25" s="393" customFormat="1">
      <c r="B382" s="394"/>
      <c r="C382" s="395"/>
      <c r="D382" s="395"/>
      <c r="E382" s="395">
        <v>-1</v>
      </c>
      <c r="F382" s="845">
        <f t="shared" si="92"/>
        <v>2.3659961000000003</v>
      </c>
      <c r="G382" s="846"/>
      <c r="H382" s="396"/>
      <c r="I382" s="677">
        <f t="shared" si="91"/>
        <v>-2.3659961000000003</v>
      </c>
      <c r="J382" s="397">
        <v>2365996.1</v>
      </c>
      <c r="K382" s="410"/>
      <c r="L382" s="410">
        <v>2.3659961000000003</v>
      </c>
      <c r="M382" s="410">
        <v>2365996.1</v>
      </c>
      <c r="N382" s="410"/>
      <c r="O382" s="410"/>
      <c r="P382" s="410"/>
      <c r="Q382" s="410"/>
      <c r="R382" s="410"/>
      <c r="S382" s="410"/>
      <c r="T382" s="410"/>
      <c r="U382" s="410"/>
      <c r="V382" s="410"/>
      <c r="W382" s="410"/>
      <c r="X382" s="410"/>
      <c r="Y382" s="410"/>
    </row>
    <row r="383" spans="2:25" s="393" customFormat="1">
      <c r="B383" s="394"/>
      <c r="C383" s="395"/>
      <c r="D383" s="395"/>
      <c r="E383" s="395">
        <v>-1</v>
      </c>
      <c r="F383" s="845">
        <f t="shared" si="92"/>
        <v>3.4771658999999997</v>
      </c>
      <c r="G383" s="846"/>
      <c r="H383" s="396"/>
      <c r="I383" s="677">
        <f t="shared" si="91"/>
        <v>-3.4771658999999997</v>
      </c>
      <c r="J383" s="397">
        <v>3477165.9</v>
      </c>
      <c r="K383" s="410"/>
      <c r="L383" s="410">
        <v>3.4771658999999997</v>
      </c>
      <c r="M383" s="410">
        <v>3477165.9</v>
      </c>
      <c r="N383" s="410"/>
      <c r="O383" s="410"/>
      <c r="P383" s="410"/>
      <c r="Q383" s="410"/>
      <c r="R383" s="410"/>
      <c r="S383" s="410"/>
      <c r="T383" s="410"/>
      <c r="U383" s="410"/>
      <c r="V383" s="410"/>
      <c r="W383" s="410"/>
      <c r="X383" s="410"/>
      <c r="Y383" s="410"/>
    </row>
    <row r="384" spans="2:25" s="393" customFormat="1">
      <c r="B384" s="394"/>
      <c r="C384" s="395"/>
      <c r="D384" s="395"/>
      <c r="E384" s="395">
        <v>-1</v>
      </c>
      <c r="F384" s="845">
        <f t="shared" si="92"/>
        <v>1.9890045000000001</v>
      </c>
      <c r="G384" s="846"/>
      <c r="H384" s="396"/>
      <c r="I384" s="677">
        <f t="shared" si="91"/>
        <v>-1.9890045000000001</v>
      </c>
      <c r="J384" s="397">
        <v>1989004.5</v>
      </c>
      <c r="K384" s="410"/>
      <c r="L384" s="410">
        <v>1.9890045000000001</v>
      </c>
      <c r="M384" s="410">
        <v>1989004.5</v>
      </c>
      <c r="N384" s="410"/>
      <c r="O384" s="410"/>
      <c r="P384" s="410"/>
      <c r="Q384" s="410"/>
      <c r="R384" s="410"/>
      <c r="S384" s="410"/>
      <c r="T384" s="410"/>
      <c r="U384" s="410"/>
      <c r="V384" s="410"/>
      <c r="W384" s="410"/>
      <c r="X384" s="410"/>
      <c r="Y384" s="410"/>
    </row>
    <row r="385" spans="2:25" s="393" customFormat="1">
      <c r="B385" s="394" t="s">
        <v>152</v>
      </c>
      <c r="C385" s="395" t="s">
        <v>553</v>
      </c>
      <c r="D385" s="395"/>
      <c r="E385" s="395">
        <v>1</v>
      </c>
      <c r="F385" s="845">
        <f t="shared" si="92"/>
        <v>215.1643612</v>
      </c>
      <c r="G385" s="846"/>
      <c r="H385" s="396"/>
      <c r="I385" s="677">
        <f t="shared" si="91"/>
        <v>215.1643612</v>
      </c>
      <c r="J385" s="397">
        <v>215164361.19999999</v>
      </c>
      <c r="K385" s="410"/>
      <c r="L385" s="410"/>
      <c r="M385" s="410"/>
      <c r="N385" s="410"/>
      <c r="O385" s="410"/>
      <c r="P385" s="410"/>
      <c r="Q385" s="410"/>
      <c r="R385" s="410"/>
      <c r="S385" s="410"/>
      <c r="T385" s="410"/>
      <c r="U385" s="410"/>
      <c r="V385" s="410"/>
      <c r="W385" s="410"/>
      <c r="X385" s="410"/>
      <c r="Y385" s="410"/>
    </row>
    <row r="386" spans="2:25" s="410" customFormat="1" ht="15">
      <c r="B386" s="418"/>
      <c r="C386" s="100" t="s">
        <v>634</v>
      </c>
      <c r="D386" s="417"/>
      <c r="E386" s="417"/>
      <c r="F386" s="457"/>
      <c r="G386" s="457"/>
      <c r="H386" s="417"/>
      <c r="I386" s="456"/>
      <c r="J386" s="420"/>
      <c r="O386" s="411"/>
      <c r="P386" s="412"/>
    </row>
    <row r="387" spans="2:25" s="424" customFormat="1" ht="15">
      <c r="B387" s="99" t="s">
        <v>35</v>
      </c>
      <c r="C387" s="100" t="s">
        <v>550</v>
      </c>
      <c r="D387" s="100"/>
      <c r="E387" s="100">
        <v>1</v>
      </c>
      <c r="F387" s="838">
        <f t="shared" ref="F387:F388" si="93">J387/1000000</f>
        <v>535.4467932</v>
      </c>
      <c r="G387" s="839"/>
      <c r="H387" s="105"/>
      <c r="I387" s="675">
        <f t="shared" ref="I387:I388" si="94">PRODUCT(E387:H387)</f>
        <v>535.4467932</v>
      </c>
      <c r="J387" s="101">
        <v>535446793.19999999</v>
      </c>
      <c r="K387" s="423"/>
      <c r="L387" s="423"/>
      <c r="M387" s="423"/>
      <c r="N387" s="423"/>
      <c r="O387" s="423"/>
      <c r="P387" s="423"/>
      <c r="Q387" s="423"/>
      <c r="R387" s="423"/>
      <c r="S387" s="423"/>
      <c r="T387" s="423"/>
      <c r="U387" s="423"/>
      <c r="V387" s="423"/>
      <c r="W387" s="423"/>
      <c r="X387" s="423"/>
      <c r="Y387" s="423"/>
    </row>
    <row r="388" spans="2:25" s="424" customFormat="1" ht="15">
      <c r="B388" s="99" t="s">
        <v>36</v>
      </c>
      <c r="C388" s="100" t="s">
        <v>633</v>
      </c>
      <c r="D388" s="100"/>
      <c r="E388" s="100">
        <v>1</v>
      </c>
      <c r="F388" s="838">
        <f t="shared" si="93"/>
        <v>85.3231258</v>
      </c>
      <c r="G388" s="839"/>
      <c r="H388" s="105"/>
      <c r="I388" s="675">
        <f t="shared" si="94"/>
        <v>85.3231258</v>
      </c>
      <c r="J388" s="101">
        <v>85323125.799999997</v>
      </c>
      <c r="K388" s="423"/>
      <c r="L388" s="423"/>
      <c r="M388" s="423"/>
      <c r="N388" s="423"/>
      <c r="O388" s="423"/>
      <c r="P388" s="423"/>
      <c r="Q388" s="423"/>
      <c r="R388" s="423"/>
      <c r="S388" s="423"/>
      <c r="T388" s="423"/>
      <c r="U388" s="423"/>
      <c r="V388" s="423"/>
      <c r="W388" s="423"/>
      <c r="X388" s="423"/>
      <c r="Y388" s="423"/>
    </row>
    <row r="389" spans="2:25" s="28" customFormat="1" ht="15">
      <c r="B389" s="41"/>
      <c r="C389" s="106" t="s">
        <v>26</v>
      </c>
      <c r="D389" s="42"/>
      <c r="E389" s="42"/>
      <c r="F389" s="42"/>
      <c r="G389" s="42"/>
      <c r="H389" s="42"/>
      <c r="I389" s="42">
        <f>SUM(I359:I388)</f>
        <v>3087.9409818999998</v>
      </c>
      <c r="J389" s="43" t="s">
        <v>429</v>
      </c>
      <c r="O389" s="29"/>
      <c r="P389" s="29"/>
    </row>
    <row r="390" spans="2:25">
      <c r="B390" s="62"/>
      <c r="C390" s="58"/>
      <c r="D390" s="58"/>
      <c r="E390" s="58"/>
      <c r="F390" s="58"/>
      <c r="G390" s="58"/>
      <c r="H390" s="58"/>
      <c r="I390" s="58"/>
      <c r="J390" s="61"/>
    </row>
    <row r="391" spans="2:25" ht="30">
      <c r="B391" s="371">
        <f>'Abstract '!A27</f>
        <v>160</v>
      </c>
      <c r="C391" s="752" t="str">
        <f>'Abstract '!B27</f>
        <v>LAND_GROOVE  CUTTING
Groove cutting for above item</v>
      </c>
      <c r="D391" s="455" t="s">
        <v>46</v>
      </c>
      <c r="E391" s="165"/>
      <c r="F391" s="165"/>
      <c r="G391" s="165"/>
      <c r="H391" s="165"/>
      <c r="I391" s="165"/>
      <c r="J391" s="167"/>
    </row>
    <row r="392" spans="2:25" s="410" customFormat="1">
      <c r="B392" s="413"/>
      <c r="C392" s="417" t="s">
        <v>426</v>
      </c>
      <c r="D392" s="417"/>
      <c r="E392" s="417"/>
      <c r="F392" s="417"/>
      <c r="G392" s="417"/>
      <c r="H392" s="417"/>
      <c r="I392" s="417"/>
      <c r="J392" s="420"/>
      <c r="O392" s="411"/>
      <c r="P392" s="412"/>
    </row>
    <row r="393" spans="2:25" s="410" customFormat="1">
      <c r="B393" s="418" t="s">
        <v>35</v>
      </c>
      <c r="C393" s="417" t="s">
        <v>432</v>
      </c>
      <c r="D393" s="417"/>
      <c r="E393" s="422">
        <v>24</v>
      </c>
      <c r="F393" s="417">
        <v>4.7</v>
      </c>
      <c r="G393" s="417"/>
      <c r="H393" s="417"/>
      <c r="I393" s="456">
        <f>PRODUCT(E393:H393)</f>
        <v>112.80000000000001</v>
      </c>
      <c r="J393" s="420"/>
      <c r="O393" s="411"/>
      <c r="P393" s="412"/>
    </row>
    <row r="394" spans="2:25" s="410" customFormat="1">
      <c r="B394" s="418" t="s">
        <v>483</v>
      </c>
      <c r="C394" s="417" t="s">
        <v>484</v>
      </c>
      <c r="D394" s="417"/>
      <c r="E394" s="422">
        <v>1</v>
      </c>
      <c r="F394" s="417">
        <v>50</v>
      </c>
      <c r="G394" s="417"/>
      <c r="H394" s="417"/>
      <c r="I394" s="456">
        <f>PRODUCT(E394:H394)</f>
        <v>50</v>
      </c>
      <c r="J394" s="420"/>
      <c r="O394" s="411"/>
      <c r="P394" s="412"/>
    </row>
    <row r="395" spans="2:25" ht="15">
      <c r="B395" s="166"/>
      <c r="C395" s="165"/>
      <c r="D395" s="426"/>
      <c r="E395" s="427">
        <v>8</v>
      </c>
      <c r="F395" s="426">
        <v>6</v>
      </c>
      <c r="G395" s="426"/>
      <c r="H395" s="426"/>
      <c r="I395" s="456">
        <f>PRODUCT(E395:H395)</f>
        <v>48</v>
      </c>
      <c r="J395" s="167"/>
    </row>
    <row r="396" spans="2:25" s="410" customFormat="1">
      <c r="B396" s="682"/>
      <c r="C396" s="426" t="s">
        <v>554</v>
      </c>
      <c r="D396" s="426"/>
      <c r="E396" s="427"/>
      <c r="F396" s="426"/>
      <c r="G396" s="426"/>
      <c r="H396" s="426"/>
      <c r="I396" s="677"/>
      <c r="J396" s="683"/>
      <c r="O396" s="411"/>
      <c r="P396" s="412"/>
    </row>
    <row r="397" spans="2:25" s="410" customFormat="1">
      <c r="B397" s="682" t="s">
        <v>35</v>
      </c>
      <c r="C397" s="426" t="s">
        <v>432</v>
      </c>
      <c r="D397" s="426"/>
      <c r="E397" s="427">
        <v>24</v>
      </c>
      <c r="F397" s="426">
        <v>4.7</v>
      </c>
      <c r="G397" s="426"/>
      <c r="H397" s="426"/>
      <c r="I397" s="677">
        <f t="shared" ref="I397:I399" si="95">PRODUCT(E397:H397)</f>
        <v>112.80000000000001</v>
      </c>
      <c r="J397" s="683"/>
      <c r="O397" s="411"/>
      <c r="P397" s="412"/>
    </row>
    <row r="398" spans="2:25" s="410" customFormat="1">
      <c r="B398" s="682" t="s">
        <v>36</v>
      </c>
      <c r="C398" s="426" t="s">
        <v>555</v>
      </c>
      <c r="D398" s="426"/>
      <c r="E398" s="427">
        <v>1</v>
      </c>
      <c r="F398" s="426">
        <v>6</v>
      </c>
      <c r="G398" s="426"/>
      <c r="H398" s="426"/>
      <c r="I398" s="677">
        <f t="shared" si="95"/>
        <v>6</v>
      </c>
      <c r="J398" s="683"/>
      <c r="O398" s="411"/>
      <c r="P398" s="412"/>
    </row>
    <row r="399" spans="2:25" s="410" customFormat="1">
      <c r="B399" s="682"/>
      <c r="C399" s="426"/>
      <c r="D399" s="426"/>
      <c r="E399" s="427">
        <v>6</v>
      </c>
      <c r="F399" s="426">
        <v>4.7</v>
      </c>
      <c r="G399" s="426"/>
      <c r="H399" s="426"/>
      <c r="I399" s="677">
        <f t="shared" si="95"/>
        <v>28.200000000000003</v>
      </c>
      <c r="J399" s="683">
        <f>32.45/5</f>
        <v>6.49</v>
      </c>
      <c r="O399" s="411"/>
      <c r="P399" s="412"/>
    </row>
    <row r="400" spans="2:25" s="28" customFormat="1" ht="15">
      <c r="B400" s="41"/>
      <c r="C400" s="106" t="s">
        <v>26</v>
      </c>
      <c r="D400" s="42"/>
      <c r="E400" s="42"/>
      <c r="F400" s="42"/>
      <c r="G400" s="42"/>
      <c r="H400" s="42"/>
      <c r="I400" s="42">
        <f>SUM(I393:I399)</f>
        <v>357.8</v>
      </c>
      <c r="J400" s="43" t="s">
        <v>46</v>
      </c>
      <c r="N400" s="425"/>
      <c r="O400" s="29"/>
      <c r="P400" s="29"/>
    </row>
    <row r="401" spans="2:18" ht="15" thickBot="1">
      <c r="B401" s="63"/>
      <c r="C401" s="64"/>
      <c r="D401" s="64"/>
      <c r="E401" s="64"/>
      <c r="F401" s="64"/>
      <c r="G401" s="64"/>
      <c r="H401" s="64"/>
      <c r="I401" s="64"/>
      <c r="J401" s="65"/>
    </row>
    <row r="402" spans="2:18">
      <c r="B402" s="107"/>
      <c r="J402" s="108"/>
    </row>
    <row r="403" spans="2:18">
      <c r="B403" s="107"/>
      <c r="J403" s="108"/>
    </row>
    <row r="404" spans="2:18" ht="60">
      <c r="B404" s="372">
        <f>'Abstract '!A12</f>
        <v>10</v>
      </c>
      <c r="C404" s="753" t="str">
        <f>'Abstract '!B12</f>
        <v>LAND_BASE PREPARATION BASE PREPARATION  WORKS
Clearing and grubbing of top 150mm top soil including cutting, removing and disposing of all materials such as trees, bushes, shrubs, stumps, roots, grass, weeds, top organic soil  etc. complete.</v>
      </c>
      <c r="D404" s="58"/>
      <c r="E404" s="58"/>
      <c r="F404" s="58"/>
      <c r="G404" s="58"/>
      <c r="H404" s="58"/>
      <c r="I404" s="58"/>
      <c r="J404" s="61"/>
    </row>
    <row r="405" spans="2:18" s="393" customFormat="1">
      <c r="B405" s="394" t="s">
        <v>154</v>
      </c>
      <c r="C405" s="395" t="s">
        <v>150</v>
      </c>
      <c r="D405" s="395"/>
      <c r="E405" s="395">
        <v>1</v>
      </c>
      <c r="F405" s="456">
        <v>13.5</v>
      </c>
      <c r="G405" s="456">
        <v>12</v>
      </c>
      <c r="H405" s="396"/>
      <c r="I405" s="396">
        <f t="shared" ref="I405:I407" si="96">PRODUCT(E405:H405)</f>
        <v>162</v>
      </c>
      <c r="J405" s="397" t="s">
        <v>450</v>
      </c>
      <c r="O405" s="398"/>
      <c r="P405" s="398"/>
    </row>
    <row r="406" spans="2:18" s="410" customFormat="1">
      <c r="B406" s="682"/>
      <c r="C406" s="426" t="s">
        <v>554</v>
      </c>
      <c r="D406" s="426"/>
      <c r="E406" s="427"/>
      <c r="F406" s="426"/>
      <c r="G406" s="426"/>
      <c r="H406" s="426"/>
      <c r="I406" s="677"/>
      <c r="J406" s="683"/>
      <c r="O406" s="411"/>
      <c r="P406" s="412"/>
    </row>
    <row r="407" spans="2:18" s="410" customFormat="1">
      <c r="B407" s="682" t="s">
        <v>35</v>
      </c>
      <c r="C407" s="426" t="s">
        <v>577</v>
      </c>
      <c r="D407" s="426"/>
      <c r="E407" s="427">
        <v>2</v>
      </c>
      <c r="F407" s="426">
        <f>30+21.6</f>
        <v>51.6</v>
      </c>
      <c r="G407" s="426"/>
      <c r="H407" s="426">
        <v>0.4</v>
      </c>
      <c r="I407" s="677">
        <f t="shared" si="96"/>
        <v>41.28</v>
      </c>
      <c r="J407" s="683"/>
      <c r="O407" s="411"/>
      <c r="P407" s="412"/>
    </row>
    <row r="408" spans="2:18" s="410" customFormat="1">
      <c r="B408" s="682" t="s">
        <v>36</v>
      </c>
      <c r="C408" s="426" t="s">
        <v>577</v>
      </c>
      <c r="D408" s="426"/>
      <c r="E408" s="427">
        <v>1</v>
      </c>
      <c r="F408" s="426">
        <f>J408/1000</f>
        <v>81.182500000000005</v>
      </c>
      <c r="G408" s="426"/>
      <c r="H408" s="426">
        <v>0.4</v>
      </c>
      <c r="I408" s="677">
        <f t="shared" ref="I408" si="97">PRODUCT(E408:H408)</f>
        <v>32.473000000000006</v>
      </c>
      <c r="J408" s="683">
        <v>81182.5</v>
      </c>
      <c r="O408" s="411"/>
      <c r="P408" s="412"/>
    </row>
    <row r="409" spans="2:18" s="410" customFormat="1">
      <c r="B409" s="682" t="s">
        <v>36</v>
      </c>
      <c r="C409" s="426" t="s">
        <v>577</v>
      </c>
      <c r="D409" s="426"/>
      <c r="E409" s="427">
        <v>1</v>
      </c>
      <c r="F409" s="426">
        <f>J409/1000</f>
        <v>84.335800000000006</v>
      </c>
      <c r="G409" s="426"/>
      <c r="H409" s="426">
        <v>0.4</v>
      </c>
      <c r="I409" s="677">
        <f t="shared" ref="I409" si="98">PRODUCT(E409:H409)</f>
        <v>33.734320000000004</v>
      </c>
      <c r="J409" s="683">
        <v>84335.8</v>
      </c>
      <c r="O409" s="411"/>
      <c r="P409" s="412"/>
    </row>
    <row r="410" spans="2:18" s="28" customFormat="1" ht="15">
      <c r="B410" s="41"/>
      <c r="C410" s="42" t="s">
        <v>26</v>
      </c>
      <c r="D410" s="42"/>
      <c r="E410" s="42"/>
      <c r="F410" s="42"/>
      <c r="G410" s="42"/>
      <c r="H410" s="42"/>
      <c r="I410" s="42">
        <f>SUM(I404:I409)</f>
        <v>269.48732000000001</v>
      </c>
      <c r="J410" s="43" t="s">
        <v>482</v>
      </c>
      <c r="N410" s="26"/>
      <c r="O410" s="25"/>
      <c r="P410" s="25"/>
      <c r="Q410" s="26"/>
      <c r="R410" s="26"/>
    </row>
    <row r="411" spans="2:18">
      <c r="B411" s="62"/>
      <c r="C411" s="58"/>
      <c r="D411" s="58"/>
      <c r="E411" s="58"/>
      <c r="F411" s="58"/>
      <c r="G411" s="58"/>
      <c r="H411" s="58"/>
      <c r="I411" s="58"/>
      <c r="J411" s="61"/>
    </row>
    <row r="412" spans="2:18" ht="15" thickBot="1">
      <c r="B412" s="168"/>
      <c r="C412" s="169"/>
      <c r="D412" s="169"/>
      <c r="E412" s="169"/>
      <c r="F412" s="169"/>
      <c r="G412" s="169"/>
      <c r="H412" s="169"/>
      <c r="I412" s="169"/>
      <c r="J412" s="170"/>
    </row>
  </sheetData>
  <mergeCells count="163">
    <mergeCell ref="F387:G387"/>
    <mergeCell ref="F388:G388"/>
    <mergeCell ref="F385:G385"/>
    <mergeCell ref="F194:G194"/>
    <mergeCell ref="F381:G381"/>
    <mergeCell ref="F382:G382"/>
    <mergeCell ref="F383:G383"/>
    <mergeCell ref="F384:G384"/>
    <mergeCell ref="F376:G376"/>
    <mergeCell ref="F377:G377"/>
    <mergeCell ref="F378:G378"/>
    <mergeCell ref="F379:G379"/>
    <mergeCell ref="F380:G380"/>
    <mergeCell ref="F371:G371"/>
    <mergeCell ref="F372:G372"/>
    <mergeCell ref="F373:G373"/>
    <mergeCell ref="F374:G374"/>
    <mergeCell ref="F375:G375"/>
    <mergeCell ref="F366:G366"/>
    <mergeCell ref="F367:G367"/>
    <mergeCell ref="F368:G368"/>
    <mergeCell ref="F369:G369"/>
    <mergeCell ref="F261:G261"/>
    <mergeCell ref="F262:G262"/>
    <mergeCell ref="F370:G370"/>
    <mergeCell ref="F301:G301"/>
    <mergeCell ref="F363:G363"/>
    <mergeCell ref="F364:G364"/>
    <mergeCell ref="F365:G365"/>
    <mergeCell ref="F297:G297"/>
    <mergeCell ref="F298:G298"/>
    <mergeCell ref="F299:G299"/>
    <mergeCell ref="F300:G300"/>
    <mergeCell ref="F360:G360"/>
    <mergeCell ref="F302:G302"/>
    <mergeCell ref="F304:G304"/>
    <mergeCell ref="F222:G222"/>
    <mergeCell ref="F223:G223"/>
    <mergeCell ref="F224:G224"/>
    <mergeCell ref="F229:G229"/>
    <mergeCell ref="F293:G293"/>
    <mergeCell ref="F294:G294"/>
    <mergeCell ref="F295:G295"/>
    <mergeCell ref="F296:G296"/>
    <mergeCell ref="F288:G288"/>
    <mergeCell ref="F289:G289"/>
    <mergeCell ref="F290:G290"/>
    <mergeCell ref="F291:G291"/>
    <mergeCell ref="F292:G292"/>
    <mergeCell ref="F287:G287"/>
    <mergeCell ref="F279:G279"/>
    <mergeCell ref="F280:G280"/>
    <mergeCell ref="F281:G281"/>
    <mergeCell ref="F282:G282"/>
    <mergeCell ref="F285:G285"/>
    <mergeCell ref="F286:G286"/>
    <mergeCell ref="F283:G283"/>
    <mergeCell ref="F284:G284"/>
    <mergeCell ref="K135:K137"/>
    <mergeCell ref="F150:G150"/>
    <mergeCell ref="F149:G149"/>
    <mergeCell ref="F62:G62"/>
    <mergeCell ref="F122:G122"/>
    <mergeCell ref="F123:G123"/>
    <mergeCell ref="F124:G124"/>
    <mergeCell ref="F64:G64"/>
    <mergeCell ref="F125:G125"/>
    <mergeCell ref="F126:G126"/>
    <mergeCell ref="F127:G127"/>
    <mergeCell ref="F85:G85"/>
    <mergeCell ref="F86:G86"/>
    <mergeCell ref="F87:G87"/>
    <mergeCell ref="F88:G88"/>
    <mergeCell ref="F89:G89"/>
    <mergeCell ref="F90:G90"/>
    <mergeCell ref="F146:G146"/>
    <mergeCell ref="F147:G147"/>
    <mergeCell ref="F148:G148"/>
    <mergeCell ref="F138:G138"/>
    <mergeCell ref="F139:G139"/>
    <mergeCell ref="F140:G140"/>
    <mergeCell ref="F233:G233"/>
    <mergeCell ref="F213:G213"/>
    <mergeCell ref="F216:G216"/>
    <mergeCell ref="F217:G217"/>
    <mergeCell ref="F29:G29"/>
    <mergeCell ref="F30:G30"/>
    <mergeCell ref="F58:G58"/>
    <mergeCell ref="F59:G59"/>
    <mergeCell ref="F61:G61"/>
    <mergeCell ref="F63:G63"/>
    <mergeCell ref="F65:G65"/>
    <mergeCell ref="F203:G203"/>
    <mergeCell ref="F202:G202"/>
    <mergeCell ref="F201:G201"/>
    <mergeCell ref="F192:G192"/>
    <mergeCell ref="F193:G193"/>
    <mergeCell ref="F195:G195"/>
    <mergeCell ref="F177:G177"/>
    <mergeCell ref="F178:G178"/>
    <mergeCell ref="F232:G232"/>
    <mergeCell ref="F205:G205"/>
    <mergeCell ref="F206:G206"/>
    <mergeCell ref="F151:G151"/>
    <mergeCell ref="F231:G231"/>
    <mergeCell ref="H8:I8"/>
    <mergeCell ref="F31:G31"/>
    <mergeCell ref="B9:J9"/>
    <mergeCell ref="F14:G14"/>
    <mergeCell ref="F15:G15"/>
    <mergeCell ref="F17:G17"/>
    <mergeCell ref="F141:G141"/>
    <mergeCell ref="F143:G143"/>
    <mergeCell ref="F144:G144"/>
    <mergeCell ref="F16:G16"/>
    <mergeCell ref="F22:G22"/>
    <mergeCell ref="F23:G23"/>
    <mergeCell ref="F24:G24"/>
    <mergeCell ref="F25:G25"/>
    <mergeCell ref="F26:G26"/>
    <mergeCell ref="F27:G27"/>
    <mergeCell ref="F28:G28"/>
    <mergeCell ref="F66:G66"/>
    <mergeCell ref="F91:G91"/>
    <mergeCell ref="F92:G92"/>
    <mergeCell ref="F93:G93"/>
    <mergeCell ref="F275:G275"/>
    <mergeCell ref="F236:G236"/>
    <mergeCell ref="F253:G253"/>
    <mergeCell ref="F234:G234"/>
    <mergeCell ref="F273:G273"/>
    <mergeCell ref="F248:G248"/>
    <mergeCell ref="F249:G249"/>
    <mergeCell ref="F250:G250"/>
    <mergeCell ref="F247:G247"/>
    <mergeCell ref="F257:G257"/>
    <mergeCell ref="F256:G256"/>
    <mergeCell ref="F239:G239"/>
    <mergeCell ref="F240:G240"/>
    <mergeCell ref="F238:G238"/>
    <mergeCell ref="F252:G252"/>
    <mergeCell ref="F254:G254"/>
    <mergeCell ref="F266:G266"/>
    <mergeCell ref="F265:G265"/>
    <mergeCell ref="F255:G255"/>
    <mergeCell ref="F258:G258"/>
    <mergeCell ref="F237:G237"/>
    <mergeCell ref="F259:G259"/>
    <mergeCell ref="F263:G263"/>
    <mergeCell ref="F264:G264"/>
    <mergeCell ref="F218:G218"/>
    <mergeCell ref="F219:G219"/>
    <mergeCell ref="F220:G220"/>
    <mergeCell ref="F215:G215"/>
    <mergeCell ref="F145:G145"/>
    <mergeCell ref="F68:G68"/>
    <mergeCell ref="F207:G207"/>
    <mergeCell ref="F208:G208"/>
    <mergeCell ref="F209:G209"/>
    <mergeCell ref="F204:G204"/>
    <mergeCell ref="F210:G210"/>
    <mergeCell ref="F211:G211"/>
    <mergeCell ref="F214:G214"/>
  </mergeCells>
  <phoneticPr fontId="160" type="noConversion"/>
  <printOptions horizontalCentered="1"/>
  <pageMargins left="0.11811023622047245" right="0.11811023622047245" top="0.35433070866141736" bottom="0.35433070866141736" header="0" footer="0"/>
  <pageSetup paperSize="9" scale="55" fitToHeight="6" orientation="portrait" r:id="rId1"/>
  <headerFooter>
    <oddFooter>Page &amp;P of &amp;N</oddFooter>
  </headerFooter>
  <rowBreaks count="1" manualBreakCount="1">
    <brk id="389" min="1" max="9"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70"/>
  <sheetViews>
    <sheetView view="pageBreakPreview" zoomScale="70" zoomScaleNormal="70" zoomScaleSheetLayoutView="70" workbookViewId="0">
      <pane xSplit="1" ySplit="4" topLeftCell="B5" activePane="bottomRight" state="frozen"/>
      <selection pane="topRight" activeCell="B1" sqref="B1"/>
      <selection pane="bottomLeft" activeCell="A5" sqref="A5"/>
      <selection pane="bottomRight" activeCell="L45" sqref="L45"/>
    </sheetView>
  </sheetViews>
  <sheetFormatPr defaultColWidth="9.140625" defaultRowHeight="18.75"/>
  <cols>
    <col min="1" max="1" width="11.5703125" style="109" customWidth="1"/>
    <col min="2" max="2" width="14.28515625" style="110" bestFit="1" customWidth="1"/>
    <col min="3" max="3" width="8.7109375" style="110" bestFit="1" customWidth="1"/>
    <col min="4" max="4" width="58.7109375" style="110" customWidth="1"/>
    <col min="5" max="5" width="4.42578125" style="110" bestFit="1" customWidth="1"/>
    <col min="6" max="6" width="10.7109375" style="110" bestFit="1" customWidth="1"/>
    <col min="7" max="7" width="4.42578125" style="110" bestFit="1" customWidth="1"/>
    <col min="8" max="8" width="7.28515625" style="110" customWidth="1"/>
    <col min="9" max="9" width="8" style="110" bestFit="1" customWidth="1"/>
    <col min="10" max="10" width="13" style="110" customWidth="1"/>
    <col min="11" max="11" width="15.28515625" style="110" customWidth="1"/>
    <col min="12" max="12" width="11.42578125" style="110" bestFit="1" customWidth="1"/>
    <col min="13" max="13" width="11" style="110" customWidth="1"/>
    <col min="14" max="14" width="14.85546875" style="110" customWidth="1"/>
    <col min="15" max="15" width="17.28515625" style="110" bestFit="1" customWidth="1"/>
    <col min="16" max="16" width="10.28515625" style="162" bestFit="1" customWidth="1"/>
    <col min="17" max="17" width="9.85546875" style="110" bestFit="1" customWidth="1"/>
    <col min="18" max="18" width="9.5703125" style="110" hidden="1" customWidth="1"/>
    <col min="19" max="22" width="9.7109375" style="110" hidden="1" customWidth="1"/>
    <col min="23" max="23" width="15.5703125" style="110" bestFit="1" customWidth="1"/>
    <col min="24" max="24" width="15.140625" style="110" bestFit="1" customWidth="1"/>
    <col min="25" max="25" width="16.42578125" style="110" bestFit="1" customWidth="1"/>
    <col min="26" max="26" width="10.7109375" style="110" bestFit="1" customWidth="1"/>
    <col min="27" max="27" width="13.42578125" style="110" bestFit="1" customWidth="1"/>
    <col min="28" max="28" width="9.42578125" style="110" bestFit="1" customWidth="1"/>
    <col min="29" max="29" width="13.85546875" style="110" bestFit="1" customWidth="1"/>
    <col min="30" max="16384" width="9.140625" style="110"/>
  </cols>
  <sheetData>
    <row r="1" spans="2:29">
      <c r="B1" s="851" t="s">
        <v>636</v>
      </c>
      <c r="C1" s="852"/>
      <c r="D1" s="852"/>
      <c r="E1" s="852"/>
      <c r="F1" s="852"/>
      <c r="G1" s="852"/>
      <c r="H1" s="852"/>
      <c r="I1" s="852"/>
      <c r="J1" s="852"/>
      <c r="K1" s="852"/>
      <c r="L1" s="852"/>
      <c r="M1" s="852"/>
      <c r="N1" s="852"/>
      <c r="O1" s="852"/>
      <c r="P1" s="852"/>
      <c r="Q1" s="852"/>
      <c r="R1" s="852"/>
      <c r="S1" s="852"/>
      <c r="T1" s="852"/>
      <c r="U1" s="852"/>
      <c r="V1" s="852"/>
      <c r="W1" s="852"/>
      <c r="X1" s="853"/>
    </row>
    <row r="2" spans="2:29">
      <c r="B2" s="854" t="s">
        <v>222</v>
      </c>
      <c r="C2" s="855"/>
      <c r="D2" s="855"/>
      <c r="E2" s="855"/>
      <c r="F2" s="855"/>
      <c r="G2" s="855"/>
      <c r="H2" s="855"/>
      <c r="I2" s="855"/>
      <c r="J2" s="855"/>
      <c r="K2" s="855"/>
      <c r="L2" s="855"/>
      <c r="M2" s="855"/>
      <c r="N2" s="855"/>
      <c r="O2" s="855"/>
      <c r="P2" s="855"/>
      <c r="Q2" s="855"/>
      <c r="R2" s="855"/>
      <c r="S2" s="855"/>
      <c r="T2" s="855"/>
      <c r="U2" s="855"/>
      <c r="V2" s="855"/>
      <c r="W2" s="855"/>
      <c r="X2" s="856"/>
    </row>
    <row r="3" spans="2:29" ht="37.5">
      <c r="B3" s="111" t="s">
        <v>192</v>
      </c>
      <c r="C3" s="112" t="s">
        <v>193</v>
      </c>
      <c r="D3" s="113" t="s">
        <v>137</v>
      </c>
      <c r="E3" s="857" t="s">
        <v>194</v>
      </c>
      <c r="F3" s="857"/>
      <c r="G3" s="857"/>
      <c r="H3" s="857"/>
      <c r="I3" s="114" t="s">
        <v>195</v>
      </c>
      <c r="J3" s="114" t="s">
        <v>196</v>
      </c>
      <c r="K3" s="115" t="s">
        <v>197</v>
      </c>
      <c r="L3" s="115" t="s">
        <v>198</v>
      </c>
      <c r="M3" s="115" t="s">
        <v>199</v>
      </c>
      <c r="N3" s="115" t="s">
        <v>200</v>
      </c>
      <c r="O3" s="115" t="s">
        <v>264</v>
      </c>
      <c r="P3" s="115" t="s">
        <v>265</v>
      </c>
      <c r="Q3" s="112" t="s">
        <v>201</v>
      </c>
      <c r="R3" s="112" t="s">
        <v>202</v>
      </c>
      <c r="S3" s="112" t="s">
        <v>203</v>
      </c>
      <c r="T3" s="112" t="s">
        <v>204</v>
      </c>
      <c r="U3" s="112" t="s">
        <v>205</v>
      </c>
      <c r="V3" s="112" t="s">
        <v>206</v>
      </c>
      <c r="W3" s="112" t="s">
        <v>26</v>
      </c>
      <c r="X3" s="116" t="s">
        <v>143</v>
      </c>
    </row>
    <row r="4" spans="2:29">
      <c r="B4" s="117"/>
      <c r="C4" s="118"/>
      <c r="D4" s="119"/>
      <c r="E4" s="120" t="s">
        <v>207</v>
      </c>
      <c r="F4" s="120" t="s">
        <v>208</v>
      </c>
      <c r="G4" s="120" t="s">
        <v>209</v>
      </c>
      <c r="H4" s="120" t="s">
        <v>210</v>
      </c>
      <c r="I4" s="121"/>
      <c r="J4" s="118"/>
      <c r="K4" s="118"/>
      <c r="L4" s="118"/>
      <c r="M4" s="118"/>
      <c r="N4" s="118"/>
      <c r="O4" s="118"/>
      <c r="P4" s="122"/>
      <c r="Q4" s="118"/>
      <c r="R4" s="118"/>
      <c r="S4" s="118"/>
      <c r="T4" s="118"/>
      <c r="U4" s="118"/>
      <c r="V4" s="118"/>
      <c r="W4" s="118"/>
      <c r="X4" s="123"/>
    </row>
    <row r="5" spans="2:29" hidden="1">
      <c r="B5" s="124" t="s">
        <v>35</v>
      </c>
      <c r="C5" s="125"/>
      <c r="D5" s="126" t="s">
        <v>169</v>
      </c>
      <c r="E5" s="443"/>
      <c r="F5" s="443"/>
      <c r="G5" s="443"/>
      <c r="H5" s="443"/>
      <c r="I5" s="127"/>
      <c r="J5" s="128"/>
      <c r="K5" s="128"/>
      <c r="L5" s="128"/>
      <c r="M5" s="128"/>
      <c r="N5" s="128"/>
      <c r="O5" s="128"/>
      <c r="P5" s="129"/>
      <c r="Q5" s="128"/>
      <c r="R5" s="128"/>
      <c r="S5" s="128"/>
      <c r="T5" s="128"/>
      <c r="U5" s="128"/>
      <c r="V5" s="128"/>
      <c r="W5" s="128"/>
      <c r="X5" s="130"/>
      <c r="Y5" s="131"/>
      <c r="Z5" s="131"/>
      <c r="AA5" s="132"/>
    </row>
    <row r="6" spans="2:29" hidden="1">
      <c r="B6" s="124"/>
      <c r="C6" s="125" t="s">
        <v>211</v>
      </c>
      <c r="D6" s="126" t="s">
        <v>212</v>
      </c>
      <c r="E6" s="864"/>
      <c r="F6" s="864"/>
      <c r="G6" s="864"/>
      <c r="H6" s="864"/>
      <c r="I6" s="127">
        <v>8</v>
      </c>
      <c r="J6" s="201">
        <v>0.22500000000000001</v>
      </c>
      <c r="K6" s="128">
        <v>1</v>
      </c>
      <c r="L6" s="128">
        <f>ROUND(F9/J6+1,0)</f>
        <v>223</v>
      </c>
      <c r="M6" s="128"/>
      <c r="N6" s="128">
        <f>SUM(E7:H7)</f>
        <v>5.95</v>
      </c>
      <c r="O6" s="128">
        <f>N6*L6*K6</f>
        <v>1326.8500000000001</v>
      </c>
      <c r="P6" s="129"/>
      <c r="Q6" s="128"/>
      <c r="R6" s="128"/>
      <c r="S6" s="128"/>
      <c r="T6" s="128"/>
      <c r="U6" s="128"/>
      <c r="V6" s="128"/>
      <c r="W6" s="128">
        <f>O6</f>
        <v>1326.8500000000001</v>
      </c>
      <c r="X6" s="130"/>
      <c r="Y6" s="131"/>
      <c r="Z6" s="131"/>
      <c r="AA6" s="132"/>
      <c r="AC6" s="133"/>
    </row>
    <row r="7" spans="2:29" hidden="1">
      <c r="B7" s="124"/>
      <c r="C7" s="125"/>
      <c r="D7" s="126"/>
      <c r="E7" s="444"/>
      <c r="F7" s="445">
        <f>6-0.05</f>
        <v>5.95</v>
      </c>
      <c r="G7" s="444"/>
      <c r="H7" s="445"/>
      <c r="I7" s="127"/>
      <c r="J7" s="128"/>
      <c r="K7" s="128"/>
      <c r="L7" s="128"/>
      <c r="M7" s="128"/>
      <c r="N7" s="128"/>
      <c r="O7" s="128"/>
      <c r="P7" s="129"/>
      <c r="Q7" s="128"/>
      <c r="R7" s="128"/>
      <c r="S7" s="128"/>
      <c r="T7" s="128"/>
      <c r="U7" s="128"/>
      <c r="V7" s="128"/>
      <c r="W7" s="128"/>
      <c r="X7" s="130"/>
      <c r="Y7" s="131"/>
      <c r="Z7" s="131"/>
      <c r="AA7" s="132"/>
      <c r="AC7" s="133"/>
    </row>
    <row r="8" spans="2:29" hidden="1">
      <c r="B8" s="124"/>
      <c r="C8" s="125"/>
      <c r="D8" s="126" t="s">
        <v>213</v>
      </c>
      <c r="E8" s="443"/>
      <c r="F8" s="443"/>
      <c r="G8" s="443"/>
      <c r="H8" s="443"/>
      <c r="I8" s="127">
        <v>8</v>
      </c>
      <c r="J8" s="201">
        <v>0.22500000000000001</v>
      </c>
      <c r="K8" s="128">
        <v>1</v>
      </c>
      <c r="L8" s="128">
        <f>ROUND(F7/J8+1,0)</f>
        <v>27</v>
      </c>
      <c r="M8" s="134"/>
      <c r="N8" s="128">
        <f>SUM(E9:H9)</f>
        <v>51.5</v>
      </c>
      <c r="O8" s="128">
        <f>N8*L8*K8</f>
        <v>1390.5</v>
      </c>
      <c r="P8" s="129"/>
      <c r="Q8" s="128"/>
      <c r="R8" s="128"/>
      <c r="S8" s="128"/>
      <c r="T8" s="128"/>
      <c r="U8" s="128"/>
      <c r="V8" s="128"/>
      <c r="W8" s="128">
        <f t="shared" ref="W8:W28" si="0">O8</f>
        <v>1390.5</v>
      </c>
      <c r="X8" s="130"/>
      <c r="Y8" s="313"/>
      <c r="Z8" s="131"/>
      <c r="AA8" s="132"/>
      <c r="AC8" s="133"/>
    </row>
    <row r="9" spans="2:29" hidden="1">
      <c r="B9" s="124"/>
      <c r="C9" s="125"/>
      <c r="D9" s="126"/>
      <c r="E9" s="444"/>
      <c r="F9" s="446">
        <f>(25-0.05)*2</f>
        <v>49.9</v>
      </c>
      <c r="G9" s="444"/>
      <c r="H9" s="134">
        <f>4*50*0.008</f>
        <v>1.6</v>
      </c>
      <c r="I9" s="127"/>
      <c r="J9" s="128"/>
      <c r="K9" s="128"/>
      <c r="L9" s="128"/>
      <c r="M9" s="128"/>
      <c r="N9" s="128"/>
      <c r="O9" s="128"/>
      <c r="P9" s="129"/>
      <c r="Q9" s="128"/>
      <c r="R9" s="128"/>
      <c r="S9" s="128"/>
      <c r="T9" s="128"/>
      <c r="U9" s="128"/>
      <c r="V9" s="128"/>
      <c r="W9" s="128"/>
      <c r="X9" s="130"/>
      <c r="Y9" s="131"/>
      <c r="Z9" s="131"/>
      <c r="AA9" s="132"/>
      <c r="AC9" s="133"/>
    </row>
    <row r="10" spans="2:29" hidden="1">
      <c r="B10" s="124"/>
      <c r="C10" s="125"/>
      <c r="D10" s="126"/>
      <c r="E10" s="443"/>
      <c r="F10" s="443"/>
      <c r="G10" s="443"/>
      <c r="H10" s="443"/>
      <c r="I10" s="127"/>
      <c r="J10" s="128"/>
      <c r="K10" s="128"/>
      <c r="L10" s="128"/>
      <c r="M10" s="128"/>
      <c r="N10" s="128"/>
      <c r="O10" s="128"/>
      <c r="P10" s="129"/>
      <c r="Q10" s="128"/>
      <c r="R10" s="128"/>
      <c r="S10" s="128"/>
      <c r="T10" s="128"/>
      <c r="U10" s="128"/>
      <c r="V10" s="128"/>
      <c r="W10" s="128"/>
      <c r="X10" s="130"/>
      <c r="Y10" s="131"/>
      <c r="Z10" s="131"/>
      <c r="AA10" s="132"/>
      <c r="AC10" s="133"/>
    </row>
    <row r="11" spans="2:29" s="429" customFormat="1" hidden="1">
      <c r="B11" s="430"/>
      <c r="C11" s="431"/>
      <c r="D11" s="667" t="s">
        <v>426</v>
      </c>
      <c r="E11" s="447"/>
      <c r="F11" s="447"/>
      <c r="G11" s="447"/>
      <c r="H11" s="447"/>
      <c r="I11" s="433"/>
      <c r="J11" s="434"/>
      <c r="K11" s="434"/>
      <c r="L11" s="434"/>
      <c r="M11" s="434"/>
      <c r="N11" s="434"/>
      <c r="O11" s="434"/>
      <c r="P11" s="435"/>
      <c r="Q11" s="434"/>
      <c r="R11" s="434"/>
      <c r="S11" s="434"/>
      <c r="T11" s="434"/>
      <c r="U11" s="434"/>
      <c r="V11" s="434"/>
      <c r="W11" s="128"/>
      <c r="X11" s="436"/>
      <c r="Y11" s="437"/>
      <c r="Z11" s="437"/>
      <c r="AA11" s="438"/>
      <c r="AC11" s="439"/>
    </row>
    <row r="12" spans="2:29" s="429" customFormat="1" ht="18" hidden="1">
      <c r="B12" s="430" t="s">
        <v>35</v>
      </c>
      <c r="C12" s="431"/>
      <c r="D12" s="432" t="s">
        <v>451</v>
      </c>
      <c r="E12" s="447"/>
      <c r="F12" s="447"/>
      <c r="G12" s="447"/>
      <c r="H12" s="447"/>
      <c r="I12" s="433"/>
      <c r="J12" s="434"/>
      <c r="K12" s="434"/>
      <c r="L12" s="434"/>
      <c r="M12" s="434"/>
      <c r="N12" s="434"/>
      <c r="O12" s="434"/>
      <c r="P12" s="435"/>
      <c r="Q12" s="434"/>
      <c r="R12" s="434"/>
      <c r="S12" s="434"/>
      <c r="T12" s="434"/>
      <c r="U12" s="434"/>
      <c r="V12" s="434"/>
      <c r="W12" s="128"/>
      <c r="X12" s="436"/>
      <c r="Y12" s="437"/>
      <c r="Z12" s="437"/>
      <c r="AA12" s="438"/>
    </row>
    <row r="13" spans="2:29" s="429" customFormat="1" ht="18" hidden="1">
      <c r="B13" s="430"/>
      <c r="C13" s="431" t="s">
        <v>211</v>
      </c>
      <c r="D13" s="432" t="s">
        <v>212</v>
      </c>
      <c r="E13" s="865"/>
      <c r="F13" s="865"/>
      <c r="G13" s="865"/>
      <c r="H13" s="865"/>
      <c r="I13" s="433">
        <v>8</v>
      </c>
      <c r="J13" s="440">
        <v>0.22500000000000001</v>
      </c>
      <c r="K13" s="434">
        <v>1</v>
      </c>
      <c r="L13" s="434">
        <f>ROUND(F16/J13+1,0)</f>
        <v>712</v>
      </c>
      <c r="M13" s="434"/>
      <c r="N13" s="434">
        <f>SUM(E14:H14)</f>
        <v>4.6500000000000004</v>
      </c>
      <c r="O13" s="434">
        <f>N13*L13*K13</f>
        <v>3310.8</v>
      </c>
      <c r="P13" s="435"/>
      <c r="Q13" s="434"/>
      <c r="R13" s="434"/>
      <c r="S13" s="434"/>
      <c r="T13" s="434"/>
      <c r="U13" s="434"/>
      <c r="V13" s="434"/>
      <c r="W13" s="128">
        <f t="shared" si="0"/>
        <v>3310.8</v>
      </c>
      <c r="X13" s="436"/>
      <c r="Y13" s="437"/>
      <c r="Z13" s="437"/>
      <c r="AA13" s="438"/>
      <c r="AC13" s="439"/>
    </row>
    <row r="14" spans="2:29" s="429" customFormat="1" ht="18" hidden="1">
      <c r="B14" s="430"/>
      <c r="C14" s="431"/>
      <c r="D14" s="432"/>
      <c r="E14" s="448"/>
      <c r="F14" s="449">
        <f>4.7-0.05</f>
        <v>4.6500000000000004</v>
      </c>
      <c r="G14" s="448"/>
      <c r="H14" s="449"/>
      <c r="I14" s="433"/>
      <c r="J14" s="434"/>
      <c r="K14" s="434"/>
      <c r="L14" s="434"/>
      <c r="M14" s="434"/>
      <c r="N14" s="434"/>
      <c r="O14" s="434"/>
      <c r="P14" s="435"/>
      <c r="Q14" s="434"/>
      <c r="R14" s="434"/>
      <c r="S14" s="434"/>
      <c r="T14" s="434"/>
      <c r="U14" s="434"/>
      <c r="V14" s="434"/>
      <c r="W14" s="128"/>
      <c r="X14" s="436"/>
      <c r="Y14" s="437"/>
      <c r="Z14" s="437"/>
      <c r="AA14" s="438"/>
      <c r="AC14" s="439"/>
    </row>
    <row r="15" spans="2:29" s="429" customFormat="1" ht="18" hidden="1">
      <c r="B15" s="430"/>
      <c r="C15" s="431"/>
      <c r="D15" s="432" t="s">
        <v>213</v>
      </c>
      <c r="E15" s="447"/>
      <c r="F15" s="447"/>
      <c r="G15" s="447"/>
      <c r="H15" s="447"/>
      <c r="I15" s="433">
        <v>8</v>
      </c>
      <c r="J15" s="440">
        <v>0.22500000000000001</v>
      </c>
      <c r="K15" s="434">
        <v>1</v>
      </c>
      <c r="L15" s="434">
        <f>ROUND(F14/J15+1,0)</f>
        <v>22</v>
      </c>
      <c r="M15" s="441"/>
      <c r="N15" s="434">
        <f>SUM(E16:H16)</f>
        <v>165.14999999999998</v>
      </c>
      <c r="O15" s="434">
        <f>N15*L15*K15</f>
        <v>3633.2999999999993</v>
      </c>
      <c r="P15" s="435"/>
      <c r="Q15" s="434"/>
      <c r="R15" s="434"/>
      <c r="S15" s="434"/>
      <c r="T15" s="434"/>
      <c r="U15" s="434"/>
      <c r="V15" s="434"/>
      <c r="W15" s="128">
        <f t="shared" si="0"/>
        <v>3633.2999999999993</v>
      </c>
      <c r="X15" s="436"/>
      <c r="Y15" s="442"/>
      <c r="Z15" s="437"/>
      <c r="AA15" s="438"/>
      <c r="AC15" s="439"/>
    </row>
    <row r="16" spans="2:29" s="429" customFormat="1" ht="18" hidden="1">
      <c r="B16" s="430"/>
      <c r="C16" s="431"/>
      <c r="D16" s="432"/>
      <c r="E16" s="448"/>
      <c r="F16" s="450">
        <f>(160-0.05)</f>
        <v>159.94999999999999</v>
      </c>
      <c r="G16" s="448"/>
      <c r="H16" s="441">
        <f>13*50*0.008</f>
        <v>5.2</v>
      </c>
      <c r="I16" s="433"/>
      <c r="J16" s="434"/>
      <c r="K16" s="434"/>
      <c r="L16" s="434"/>
      <c r="M16" s="434"/>
      <c r="N16" s="434"/>
      <c r="O16" s="434"/>
      <c r="P16" s="435"/>
      <c r="Q16" s="434"/>
      <c r="R16" s="434"/>
      <c r="S16" s="434"/>
      <c r="T16" s="434"/>
      <c r="U16" s="434"/>
      <c r="V16" s="434"/>
      <c r="W16" s="128"/>
      <c r="X16" s="436"/>
      <c r="Y16" s="437"/>
      <c r="Z16" s="437"/>
      <c r="AA16" s="438"/>
      <c r="AC16" s="439"/>
    </row>
    <row r="17" spans="2:29" hidden="1">
      <c r="B17" s="314"/>
      <c r="C17" s="315"/>
      <c r="D17" s="316"/>
      <c r="E17" s="451"/>
      <c r="F17" s="452"/>
      <c r="G17" s="451"/>
      <c r="H17" s="428"/>
      <c r="I17" s="317"/>
      <c r="J17" s="318"/>
      <c r="K17" s="318"/>
      <c r="L17" s="318"/>
      <c r="M17" s="318"/>
      <c r="N17" s="318"/>
      <c r="O17" s="318"/>
      <c r="P17" s="319"/>
      <c r="Q17" s="318"/>
      <c r="R17" s="318"/>
      <c r="S17" s="318"/>
      <c r="T17" s="318"/>
      <c r="U17" s="318"/>
      <c r="V17" s="318"/>
      <c r="W17" s="128"/>
      <c r="X17" s="320"/>
      <c r="Y17" s="131"/>
      <c r="Z17" s="131"/>
      <c r="AA17" s="132"/>
      <c r="AC17" s="133"/>
    </row>
    <row r="18" spans="2:29" s="429" customFormat="1" ht="18" hidden="1">
      <c r="B18" s="430"/>
      <c r="C18" s="431"/>
      <c r="D18" s="432" t="s">
        <v>554</v>
      </c>
      <c r="E18" s="447"/>
      <c r="F18" s="447"/>
      <c r="G18" s="447"/>
      <c r="H18" s="447"/>
      <c r="I18" s="433"/>
      <c r="J18" s="434"/>
      <c r="K18" s="434"/>
      <c r="L18" s="434"/>
      <c r="M18" s="434"/>
      <c r="N18" s="434"/>
      <c r="O18" s="434"/>
      <c r="P18" s="435"/>
      <c r="Q18" s="434"/>
      <c r="R18" s="434"/>
      <c r="S18" s="434"/>
      <c r="T18" s="434"/>
      <c r="U18" s="434"/>
      <c r="V18" s="434"/>
      <c r="W18" s="434"/>
      <c r="X18" s="436"/>
      <c r="Y18" s="437"/>
      <c r="Z18" s="437"/>
      <c r="AA18" s="438"/>
      <c r="AC18" s="439"/>
    </row>
    <row r="19" spans="2:29" s="429" customFormat="1" ht="18" hidden="1">
      <c r="B19" s="430" t="s">
        <v>35</v>
      </c>
      <c r="C19" s="431"/>
      <c r="D19" s="432" t="s">
        <v>451</v>
      </c>
      <c r="E19" s="447"/>
      <c r="F19" s="447"/>
      <c r="G19" s="447"/>
      <c r="H19" s="447"/>
      <c r="I19" s="433"/>
      <c r="J19" s="434"/>
      <c r="K19" s="434"/>
      <c r="L19" s="434"/>
      <c r="M19" s="434"/>
      <c r="N19" s="434"/>
      <c r="O19" s="434"/>
      <c r="P19" s="435"/>
      <c r="Q19" s="434"/>
      <c r="R19" s="434"/>
      <c r="S19" s="434"/>
      <c r="T19" s="434"/>
      <c r="U19" s="434"/>
      <c r="V19" s="434"/>
      <c r="W19" s="434"/>
      <c r="X19" s="436"/>
      <c r="Y19" s="437"/>
      <c r="Z19" s="437"/>
      <c r="AA19" s="438"/>
    </row>
    <row r="20" spans="2:29" s="429" customFormat="1" ht="18" hidden="1">
      <c r="B20" s="430"/>
      <c r="C20" s="431" t="s">
        <v>211</v>
      </c>
      <c r="D20" s="432" t="s">
        <v>212</v>
      </c>
      <c r="E20" s="865"/>
      <c r="F20" s="865"/>
      <c r="G20" s="865"/>
      <c r="H20" s="865"/>
      <c r="I20" s="433">
        <v>8</v>
      </c>
      <c r="J20" s="440">
        <v>0.22500000000000001</v>
      </c>
      <c r="K20" s="434">
        <v>1</v>
      </c>
      <c r="L20" s="434">
        <f>ROUND(F23/J20+1,0)</f>
        <v>712</v>
      </c>
      <c r="M20" s="434"/>
      <c r="N20" s="434">
        <f>SUM(E21:H21)</f>
        <v>4.6500000000000004</v>
      </c>
      <c r="O20" s="434">
        <f>N20*L20*K20</f>
        <v>3310.8</v>
      </c>
      <c r="P20" s="435"/>
      <c r="Q20" s="434"/>
      <c r="R20" s="434"/>
      <c r="S20" s="434"/>
      <c r="T20" s="434"/>
      <c r="U20" s="434"/>
      <c r="V20" s="434"/>
      <c r="W20" s="434">
        <f t="shared" si="0"/>
        <v>3310.8</v>
      </c>
      <c r="X20" s="436"/>
      <c r="Y20" s="437"/>
      <c r="Z20" s="437"/>
      <c r="AA20" s="438"/>
      <c r="AC20" s="439"/>
    </row>
    <row r="21" spans="2:29" s="429" customFormat="1" ht="18" hidden="1">
      <c r="B21" s="430"/>
      <c r="C21" s="431"/>
      <c r="D21" s="432"/>
      <c r="E21" s="448"/>
      <c r="F21" s="449">
        <f>4.7-0.05</f>
        <v>4.6500000000000004</v>
      </c>
      <c r="G21" s="448"/>
      <c r="H21" s="449"/>
      <c r="I21" s="433"/>
      <c r="J21" s="434"/>
      <c r="K21" s="434"/>
      <c r="L21" s="434"/>
      <c r="M21" s="434"/>
      <c r="N21" s="434"/>
      <c r="O21" s="434"/>
      <c r="P21" s="435"/>
      <c r="Q21" s="434"/>
      <c r="R21" s="434"/>
      <c r="S21" s="434"/>
      <c r="T21" s="434"/>
      <c r="U21" s="434"/>
      <c r="V21" s="434"/>
      <c r="W21" s="434"/>
      <c r="X21" s="436"/>
      <c r="Y21" s="442"/>
      <c r="Z21" s="437"/>
      <c r="AA21" s="438"/>
      <c r="AC21" s="439"/>
    </row>
    <row r="22" spans="2:29" s="429" customFormat="1" ht="18" hidden="1">
      <c r="B22" s="430"/>
      <c r="C22" s="431"/>
      <c r="D22" s="432" t="s">
        <v>213</v>
      </c>
      <c r="E22" s="447"/>
      <c r="F22" s="447"/>
      <c r="G22" s="447"/>
      <c r="H22" s="447"/>
      <c r="I22" s="433">
        <v>8</v>
      </c>
      <c r="J22" s="440">
        <v>0.22500000000000001</v>
      </c>
      <c r="K22" s="434">
        <v>1</v>
      </c>
      <c r="L22" s="434">
        <f>ROUND(F21/J22+1,0)</f>
        <v>22</v>
      </c>
      <c r="M22" s="441"/>
      <c r="N22" s="434">
        <f>SUM(E23:H23)</f>
        <v>165.2</v>
      </c>
      <c r="O22" s="434">
        <f>N22*L22*K22</f>
        <v>3634.3999999999996</v>
      </c>
      <c r="P22" s="435"/>
      <c r="Q22" s="434"/>
      <c r="R22" s="434"/>
      <c r="S22" s="434"/>
      <c r="T22" s="434"/>
      <c r="U22" s="434"/>
      <c r="V22" s="434"/>
      <c r="W22" s="434">
        <f t="shared" si="0"/>
        <v>3634.3999999999996</v>
      </c>
      <c r="X22" s="436"/>
      <c r="Y22" s="437"/>
      <c r="Z22" s="437"/>
      <c r="AA22" s="438"/>
      <c r="AC22" s="439"/>
    </row>
    <row r="23" spans="2:29" s="429" customFormat="1" ht="18" hidden="1">
      <c r="B23" s="430"/>
      <c r="C23" s="431"/>
      <c r="D23" s="432"/>
      <c r="E23" s="448"/>
      <c r="F23" s="450">
        <v>160</v>
      </c>
      <c r="G23" s="448"/>
      <c r="H23" s="441">
        <f>13*50*0.008</f>
        <v>5.2</v>
      </c>
      <c r="I23" s="433"/>
      <c r="J23" s="434"/>
      <c r="K23" s="434"/>
      <c r="L23" s="434"/>
      <c r="M23" s="434"/>
      <c r="N23" s="434"/>
      <c r="O23" s="434"/>
      <c r="P23" s="435"/>
      <c r="Q23" s="434"/>
      <c r="R23" s="434"/>
      <c r="S23" s="434"/>
      <c r="T23" s="434"/>
      <c r="U23" s="434"/>
      <c r="V23" s="434"/>
      <c r="W23" s="434"/>
      <c r="X23" s="436"/>
      <c r="Y23" s="437"/>
      <c r="Z23" s="437"/>
      <c r="AA23" s="438"/>
      <c r="AC23" s="439"/>
    </row>
    <row r="24" spans="2:29" s="429" customFormat="1" ht="18" hidden="1">
      <c r="B24" s="430"/>
      <c r="C24" s="431"/>
      <c r="D24" s="432"/>
      <c r="E24" s="448"/>
      <c r="F24" s="693"/>
      <c r="G24" s="448"/>
      <c r="H24" s="694"/>
      <c r="I24" s="433"/>
      <c r="J24" s="434"/>
      <c r="K24" s="434"/>
      <c r="L24" s="434"/>
      <c r="M24" s="434"/>
      <c r="N24" s="434"/>
      <c r="O24" s="434"/>
      <c r="P24" s="435"/>
      <c r="Q24" s="434"/>
      <c r="R24" s="434"/>
      <c r="S24" s="434"/>
      <c r="T24" s="434"/>
      <c r="U24" s="434"/>
      <c r="V24" s="434"/>
      <c r="W24" s="434"/>
      <c r="X24" s="436"/>
      <c r="Y24" s="437"/>
      <c r="Z24" s="437"/>
      <c r="AA24" s="438"/>
      <c r="AC24" s="439"/>
    </row>
    <row r="25" spans="2:29" s="429" customFormat="1" ht="18" hidden="1">
      <c r="B25" s="430" t="s">
        <v>36</v>
      </c>
      <c r="C25" s="431"/>
      <c r="D25" s="432" t="s">
        <v>435</v>
      </c>
      <c r="E25" s="447"/>
      <c r="F25" s="447"/>
      <c r="G25" s="447"/>
      <c r="H25" s="447"/>
      <c r="I25" s="433"/>
      <c r="J25" s="434"/>
      <c r="K25" s="434"/>
      <c r="L25" s="434"/>
      <c r="M25" s="434"/>
      <c r="N25" s="434"/>
      <c r="O25" s="434"/>
      <c r="P25" s="435"/>
      <c r="Q25" s="434"/>
      <c r="R25" s="434"/>
      <c r="S25" s="434"/>
      <c r="T25" s="434"/>
      <c r="U25" s="434"/>
      <c r="V25" s="434"/>
      <c r="W25" s="434"/>
      <c r="X25" s="436"/>
      <c r="Y25" s="437"/>
      <c r="Z25" s="437"/>
      <c r="AA25" s="438"/>
    </row>
    <row r="26" spans="2:29" s="429" customFormat="1" ht="18" hidden="1">
      <c r="B26" s="430"/>
      <c r="C26" s="431" t="s">
        <v>211</v>
      </c>
      <c r="D26" s="432" t="s">
        <v>212</v>
      </c>
      <c r="E26" s="865"/>
      <c r="F26" s="865"/>
      <c r="G26" s="865"/>
      <c r="H26" s="865"/>
      <c r="I26" s="433">
        <v>8</v>
      </c>
      <c r="J26" s="440">
        <v>0.22500000000000001</v>
      </c>
      <c r="K26" s="434">
        <v>1</v>
      </c>
      <c r="L26" s="434">
        <f>ROUND(F29/J26+1,0)</f>
        <v>27</v>
      </c>
      <c r="M26" s="434"/>
      <c r="N26" s="434">
        <f>SUM(E27:H27)</f>
        <v>4.95</v>
      </c>
      <c r="O26" s="434">
        <f>N26*L26*K26</f>
        <v>133.65</v>
      </c>
      <c r="P26" s="435"/>
      <c r="Q26" s="434"/>
      <c r="R26" s="434"/>
      <c r="S26" s="434"/>
      <c r="T26" s="434"/>
      <c r="U26" s="434"/>
      <c r="V26" s="434"/>
      <c r="W26" s="434">
        <f t="shared" si="0"/>
        <v>133.65</v>
      </c>
      <c r="X26" s="436"/>
      <c r="Y26" s="437"/>
      <c r="Z26" s="437"/>
      <c r="AA26" s="438"/>
      <c r="AC26" s="439"/>
    </row>
    <row r="27" spans="2:29" s="429" customFormat="1" ht="18" hidden="1">
      <c r="B27" s="430"/>
      <c r="C27" s="431"/>
      <c r="D27" s="432"/>
      <c r="E27" s="448"/>
      <c r="F27" s="450">
        <f>5-0.05</f>
        <v>4.95</v>
      </c>
      <c r="G27" s="448"/>
      <c r="H27" s="449"/>
      <c r="I27" s="433"/>
      <c r="J27" s="434"/>
      <c r="K27" s="434"/>
      <c r="L27" s="434"/>
      <c r="M27" s="434"/>
      <c r="N27" s="434"/>
      <c r="O27" s="434"/>
      <c r="P27" s="435"/>
      <c r="Q27" s="434"/>
      <c r="R27" s="434"/>
      <c r="S27" s="434"/>
      <c r="T27" s="434"/>
      <c r="U27" s="434"/>
      <c r="V27" s="434"/>
      <c r="W27" s="434"/>
      <c r="X27" s="436"/>
      <c r="Y27" s="437"/>
      <c r="Z27" s="437"/>
      <c r="AA27" s="438"/>
      <c r="AC27" s="439"/>
    </row>
    <row r="28" spans="2:29" s="429" customFormat="1" ht="18" hidden="1">
      <c r="B28" s="430"/>
      <c r="C28" s="431"/>
      <c r="D28" s="432" t="s">
        <v>213</v>
      </c>
      <c r="E28" s="447"/>
      <c r="F28" s="447"/>
      <c r="G28" s="447"/>
      <c r="H28" s="447"/>
      <c r="I28" s="433">
        <v>8</v>
      </c>
      <c r="J28" s="440">
        <v>0.22500000000000001</v>
      </c>
      <c r="K28" s="434">
        <v>1</v>
      </c>
      <c r="L28" s="434">
        <f>ROUND(F27/J28+1,0)</f>
        <v>23</v>
      </c>
      <c r="M28" s="441"/>
      <c r="N28" s="434">
        <f>SUM(E29:H29)</f>
        <v>5.95</v>
      </c>
      <c r="O28" s="434">
        <f>N28*L28*K28</f>
        <v>136.85</v>
      </c>
      <c r="P28" s="435"/>
      <c r="Q28" s="434"/>
      <c r="R28" s="434"/>
      <c r="S28" s="434"/>
      <c r="T28" s="434"/>
      <c r="U28" s="434"/>
      <c r="V28" s="434"/>
      <c r="W28" s="434">
        <f t="shared" si="0"/>
        <v>136.85</v>
      </c>
      <c r="X28" s="436"/>
      <c r="Y28" s="437"/>
      <c r="Z28" s="437"/>
      <c r="AA28" s="438"/>
      <c r="AC28" s="439"/>
    </row>
    <row r="29" spans="2:29" s="429" customFormat="1" ht="18" hidden="1">
      <c r="B29" s="430"/>
      <c r="C29" s="431"/>
      <c r="D29" s="432"/>
      <c r="E29" s="448"/>
      <c r="F29" s="450">
        <f>6-0.05</f>
        <v>5.95</v>
      </c>
      <c r="G29" s="448"/>
      <c r="H29" s="441"/>
      <c r="I29" s="433"/>
      <c r="J29" s="434"/>
      <c r="K29" s="434"/>
      <c r="L29" s="434"/>
      <c r="M29" s="434"/>
      <c r="N29" s="434"/>
      <c r="O29" s="434"/>
      <c r="P29" s="435"/>
      <c r="Q29" s="434"/>
      <c r="R29" s="434"/>
      <c r="S29" s="434"/>
      <c r="T29" s="434"/>
      <c r="U29" s="434"/>
      <c r="V29" s="434"/>
      <c r="W29" s="434"/>
      <c r="X29" s="436"/>
      <c r="Y29" s="437"/>
      <c r="Z29" s="437"/>
      <c r="AA29" s="438"/>
      <c r="AC29" s="439"/>
    </row>
    <row r="30" spans="2:29" s="429" customFormat="1" ht="18" hidden="1">
      <c r="B30" s="430"/>
      <c r="C30" s="431"/>
      <c r="D30" s="432"/>
      <c r="E30" s="448"/>
      <c r="F30" s="693"/>
      <c r="G30" s="448"/>
      <c r="H30" s="694"/>
      <c r="I30" s="433"/>
      <c r="J30" s="434"/>
      <c r="K30" s="434"/>
      <c r="L30" s="434"/>
      <c r="M30" s="434"/>
      <c r="N30" s="434"/>
      <c r="O30" s="434"/>
      <c r="P30" s="435"/>
      <c r="Q30" s="434"/>
      <c r="R30" s="434"/>
      <c r="S30" s="434"/>
      <c r="T30" s="434"/>
      <c r="U30" s="434"/>
      <c r="V30" s="434"/>
      <c r="W30" s="434"/>
      <c r="X30" s="436"/>
      <c r="Y30" s="437"/>
      <c r="Z30" s="437"/>
      <c r="AA30" s="438"/>
      <c r="AC30" s="439"/>
    </row>
    <row r="31" spans="2:29" s="429" customFormat="1" ht="18" hidden="1">
      <c r="B31" s="430" t="s">
        <v>36</v>
      </c>
      <c r="C31" s="431" t="s">
        <v>211</v>
      </c>
      <c r="D31" s="432" t="s">
        <v>212</v>
      </c>
      <c r="E31" s="865"/>
      <c r="F31" s="865"/>
      <c r="G31" s="865"/>
      <c r="H31" s="865"/>
      <c r="I31" s="433">
        <v>8</v>
      </c>
      <c r="J31" s="440">
        <v>0.22500000000000001</v>
      </c>
      <c r="K31" s="434">
        <v>1</v>
      </c>
      <c r="L31" s="434">
        <f>ROUND(F34/J31+1,0)</f>
        <v>145</v>
      </c>
      <c r="M31" s="434"/>
      <c r="N31" s="434">
        <f>SUM(E32:H32)</f>
        <v>4.6500000000000004</v>
      </c>
      <c r="O31" s="434">
        <f>N31*L31*K31</f>
        <v>674.25</v>
      </c>
      <c r="P31" s="435"/>
      <c r="Q31" s="434"/>
      <c r="R31" s="434"/>
      <c r="S31" s="434"/>
      <c r="T31" s="434"/>
      <c r="U31" s="434"/>
      <c r="V31" s="434"/>
      <c r="W31" s="434">
        <f t="shared" ref="W31" si="1">O31</f>
        <v>674.25</v>
      </c>
      <c r="X31" s="436"/>
      <c r="Y31" s="437"/>
      <c r="Z31" s="437"/>
      <c r="AA31" s="438"/>
      <c r="AC31" s="439"/>
    </row>
    <row r="32" spans="2:29" s="429" customFormat="1" ht="18" hidden="1">
      <c r="B32" s="430"/>
      <c r="C32" s="431"/>
      <c r="D32" s="432"/>
      <c r="E32" s="448"/>
      <c r="F32" s="450">
        <f>4.7-0.05</f>
        <v>4.6500000000000004</v>
      </c>
      <c r="G32" s="448"/>
      <c r="H32" s="449"/>
      <c r="I32" s="433"/>
      <c r="J32" s="434"/>
      <c r="K32" s="434"/>
      <c r="L32" s="434"/>
      <c r="M32" s="434"/>
      <c r="N32" s="434"/>
      <c r="O32" s="434"/>
      <c r="P32" s="435"/>
      <c r="Q32" s="434"/>
      <c r="R32" s="434"/>
      <c r="S32" s="434"/>
      <c r="T32" s="434"/>
      <c r="U32" s="434"/>
      <c r="V32" s="434"/>
      <c r="W32" s="434"/>
      <c r="X32" s="436"/>
      <c r="Y32" s="437"/>
      <c r="Z32" s="437"/>
      <c r="AA32" s="438"/>
      <c r="AC32" s="439"/>
    </row>
    <row r="33" spans="2:29" s="429" customFormat="1" ht="18" hidden="1">
      <c r="B33" s="430"/>
      <c r="C33" s="431"/>
      <c r="D33" s="432" t="s">
        <v>213</v>
      </c>
      <c r="E33" s="447"/>
      <c r="F33" s="447"/>
      <c r="G33" s="447"/>
      <c r="H33" s="447"/>
      <c r="I33" s="433">
        <v>8</v>
      </c>
      <c r="J33" s="440">
        <v>0.22500000000000001</v>
      </c>
      <c r="K33" s="434">
        <v>1</v>
      </c>
      <c r="L33" s="434">
        <f>ROUND(F32/J33+1,0)</f>
        <v>22</v>
      </c>
      <c r="M33" s="441"/>
      <c r="N33" s="434">
        <f>SUM(E34:H34)</f>
        <v>33.200000000000003</v>
      </c>
      <c r="O33" s="434">
        <f>N33*L33*K33</f>
        <v>730.40000000000009</v>
      </c>
      <c r="P33" s="435"/>
      <c r="Q33" s="434"/>
      <c r="R33" s="434"/>
      <c r="S33" s="434"/>
      <c r="T33" s="434"/>
      <c r="U33" s="434"/>
      <c r="V33" s="434"/>
      <c r="W33" s="434">
        <f t="shared" ref="W33" si="2">O33</f>
        <v>730.40000000000009</v>
      </c>
      <c r="X33" s="436"/>
      <c r="Y33" s="437"/>
      <c r="Z33" s="437"/>
      <c r="AA33" s="438"/>
      <c r="AC33" s="439"/>
    </row>
    <row r="34" spans="2:29" s="429" customFormat="1" ht="18" hidden="1">
      <c r="B34" s="430"/>
      <c r="C34" s="431"/>
      <c r="D34" s="432"/>
      <c r="E34" s="448"/>
      <c r="F34" s="450">
        <f>32.45-0.05</f>
        <v>32.400000000000006</v>
      </c>
      <c r="G34" s="448"/>
      <c r="H34" s="441">
        <f>2*50*0.008</f>
        <v>0.8</v>
      </c>
      <c r="I34" s="433"/>
      <c r="J34" s="434"/>
      <c r="K34" s="434"/>
      <c r="L34" s="434"/>
      <c r="M34" s="434"/>
      <c r="N34" s="434"/>
      <c r="O34" s="434"/>
      <c r="P34" s="435"/>
      <c r="Q34" s="434"/>
      <c r="R34" s="434"/>
      <c r="S34" s="434"/>
      <c r="T34" s="434"/>
      <c r="U34" s="434"/>
      <c r="V34" s="434"/>
      <c r="W34" s="434"/>
      <c r="X34" s="436"/>
      <c r="Y34" s="437"/>
      <c r="Z34" s="437"/>
      <c r="AA34" s="438"/>
      <c r="AC34" s="439"/>
    </row>
    <row r="35" spans="2:29" s="429" customFormat="1" ht="18" hidden="1">
      <c r="B35" s="430"/>
      <c r="C35" s="431"/>
      <c r="D35" s="432"/>
      <c r="E35" s="448"/>
      <c r="F35" s="693"/>
      <c r="G35" s="448"/>
      <c r="H35" s="694"/>
      <c r="I35" s="433"/>
      <c r="J35" s="434"/>
      <c r="K35" s="434"/>
      <c r="L35" s="434"/>
      <c r="M35" s="434"/>
      <c r="N35" s="434"/>
      <c r="O35" s="434"/>
      <c r="P35" s="435"/>
      <c r="Q35" s="434"/>
      <c r="R35" s="434"/>
      <c r="S35" s="434"/>
      <c r="T35" s="434"/>
      <c r="U35" s="434"/>
      <c r="V35" s="434"/>
      <c r="W35" s="434"/>
      <c r="X35" s="436"/>
      <c r="Y35" s="437"/>
      <c r="Z35" s="437"/>
      <c r="AA35" s="438"/>
      <c r="AC35" s="439"/>
    </row>
    <row r="36" spans="2:29" s="429" customFormat="1" ht="18" hidden="1">
      <c r="B36" s="430" t="s">
        <v>37</v>
      </c>
      <c r="C36" s="431"/>
      <c r="D36" s="432" t="s">
        <v>574</v>
      </c>
      <c r="E36" s="448"/>
      <c r="F36" s="450"/>
      <c r="G36" s="448"/>
      <c r="H36" s="449"/>
      <c r="I36" s="433"/>
      <c r="J36" s="434"/>
      <c r="K36" s="434"/>
      <c r="L36" s="434"/>
      <c r="M36" s="434"/>
      <c r="N36" s="434"/>
      <c r="O36" s="434"/>
      <c r="P36" s="435"/>
      <c r="Q36" s="434"/>
      <c r="R36" s="434"/>
      <c r="S36" s="434"/>
      <c r="T36" s="434"/>
      <c r="U36" s="434"/>
      <c r="V36" s="434"/>
      <c r="W36" s="434"/>
      <c r="X36" s="436"/>
      <c r="Y36" s="437"/>
      <c r="Z36" s="437"/>
      <c r="AA36" s="438"/>
      <c r="AC36" s="439"/>
    </row>
    <row r="37" spans="2:29" s="429" customFormat="1" ht="18" hidden="1">
      <c r="B37" s="430"/>
      <c r="C37" s="431" t="s">
        <v>211</v>
      </c>
      <c r="D37" s="432" t="s">
        <v>212</v>
      </c>
      <c r="E37" s="865"/>
      <c r="F37" s="865"/>
      <c r="G37" s="865"/>
      <c r="H37" s="865"/>
      <c r="I37" s="433">
        <v>8</v>
      </c>
      <c r="J37" s="440">
        <v>0.15</v>
      </c>
      <c r="K37" s="434">
        <v>1</v>
      </c>
      <c r="L37" s="434">
        <f>ROUND(F40/J37+1,0)</f>
        <v>11</v>
      </c>
      <c r="M37" s="434"/>
      <c r="N37" s="434">
        <f>SUM(E38:H38)</f>
        <v>4.6500000000000004</v>
      </c>
      <c r="O37" s="434">
        <f>N37*L37*K37</f>
        <v>51.150000000000006</v>
      </c>
      <c r="P37" s="435"/>
      <c r="Q37" s="434"/>
      <c r="R37" s="434"/>
      <c r="S37" s="434"/>
      <c r="T37" s="434"/>
      <c r="U37" s="434"/>
      <c r="V37" s="434"/>
      <c r="W37" s="434">
        <f t="shared" ref="W37" si="3">O37</f>
        <v>51.150000000000006</v>
      </c>
      <c r="X37" s="436"/>
      <c r="Y37" s="437"/>
      <c r="Z37" s="437"/>
      <c r="AA37" s="438"/>
      <c r="AC37" s="439"/>
    </row>
    <row r="38" spans="2:29" s="429" customFormat="1" ht="18" hidden="1">
      <c r="B38" s="430"/>
      <c r="C38" s="431"/>
      <c r="D38" s="432"/>
      <c r="E38" s="448"/>
      <c r="F38" s="450">
        <f>4.7-0.05</f>
        <v>4.6500000000000004</v>
      </c>
      <c r="G38" s="448"/>
      <c r="H38" s="449"/>
      <c r="I38" s="433"/>
      <c r="J38" s="434"/>
      <c r="K38" s="434"/>
      <c r="L38" s="434"/>
      <c r="M38" s="434"/>
      <c r="N38" s="434"/>
      <c r="O38" s="434"/>
      <c r="P38" s="435"/>
      <c r="Q38" s="434"/>
      <c r="R38" s="434"/>
      <c r="S38" s="434"/>
      <c r="T38" s="434"/>
      <c r="U38" s="434"/>
      <c r="V38" s="434"/>
      <c r="W38" s="434"/>
      <c r="X38" s="436"/>
      <c r="Y38" s="437"/>
      <c r="Z38" s="437"/>
      <c r="AA38" s="438"/>
      <c r="AC38" s="439"/>
    </row>
    <row r="39" spans="2:29" s="429" customFormat="1" ht="18" hidden="1">
      <c r="B39" s="430"/>
      <c r="C39" s="431"/>
      <c r="D39" s="432" t="s">
        <v>213</v>
      </c>
      <c r="E39" s="447"/>
      <c r="F39" s="447"/>
      <c r="G39" s="447"/>
      <c r="H39" s="447"/>
      <c r="I39" s="433">
        <v>8</v>
      </c>
      <c r="J39" s="440">
        <v>0.15</v>
      </c>
      <c r="K39" s="434">
        <v>1</v>
      </c>
      <c r="L39" s="434">
        <f>ROUND(F38/J39+1,0)</f>
        <v>32</v>
      </c>
      <c r="M39" s="441"/>
      <c r="N39" s="434">
        <f>SUM(E40:H40)</f>
        <v>1.5</v>
      </c>
      <c r="O39" s="434">
        <f>N39*L39*K39</f>
        <v>48</v>
      </c>
      <c r="P39" s="435"/>
      <c r="Q39" s="434"/>
      <c r="R39" s="434"/>
      <c r="S39" s="434"/>
      <c r="T39" s="434"/>
      <c r="U39" s="434"/>
      <c r="V39" s="434"/>
      <c r="W39" s="434">
        <f t="shared" ref="W39" si="4">O39</f>
        <v>48</v>
      </c>
      <c r="X39" s="436"/>
      <c r="Y39" s="437"/>
      <c r="Z39" s="437"/>
      <c r="AA39" s="438"/>
      <c r="AC39" s="439"/>
    </row>
    <row r="40" spans="2:29" s="429" customFormat="1" ht="18" hidden="1">
      <c r="B40" s="430"/>
      <c r="C40" s="431"/>
      <c r="D40" s="432"/>
      <c r="E40" s="448"/>
      <c r="F40" s="450">
        <v>1.5</v>
      </c>
      <c r="G40" s="448"/>
      <c r="H40" s="441"/>
      <c r="I40" s="433"/>
      <c r="J40" s="434"/>
      <c r="K40" s="434"/>
      <c r="L40" s="434"/>
      <c r="M40" s="434"/>
      <c r="N40" s="434"/>
      <c r="O40" s="434"/>
      <c r="P40" s="435"/>
      <c r="Q40" s="434"/>
      <c r="R40" s="434"/>
      <c r="S40" s="434"/>
      <c r="T40" s="434"/>
      <c r="U40" s="434"/>
      <c r="V40" s="434"/>
      <c r="W40" s="434"/>
      <c r="X40" s="436"/>
      <c r="Y40" s="437"/>
      <c r="Z40" s="437"/>
      <c r="AA40" s="438"/>
      <c r="AC40" s="439"/>
    </row>
    <row r="41" spans="2:29" s="429" customFormat="1" ht="18">
      <c r="B41" s="430"/>
      <c r="C41" s="431"/>
      <c r="D41" s="432"/>
      <c r="E41" s="448"/>
      <c r="F41" s="450"/>
      <c r="G41" s="448"/>
      <c r="H41" s="694"/>
      <c r="I41" s="433"/>
      <c r="J41" s="434"/>
      <c r="K41" s="434"/>
      <c r="L41" s="434"/>
      <c r="M41" s="434"/>
      <c r="N41" s="434"/>
      <c r="O41" s="434"/>
      <c r="P41" s="435"/>
      <c r="Q41" s="434"/>
      <c r="R41" s="434"/>
      <c r="S41" s="434"/>
      <c r="T41" s="434"/>
      <c r="U41" s="434"/>
      <c r="V41" s="434"/>
      <c r="W41" s="434"/>
      <c r="X41" s="436"/>
      <c r="Y41" s="437"/>
      <c r="Z41" s="437"/>
      <c r="AA41" s="438"/>
      <c r="AC41" s="439"/>
    </row>
    <row r="42" spans="2:29" s="109" customFormat="1">
      <c r="B42" s="314"/>
      <c r="C42" s="315"/>
      <c r="D42" s="316" t="s">
        <v>634</v>
      </c>
      <c r="E42" s="756"/>
      <c r="F42" s="756"/>
      <c r="G42" s="756"/>
      <c r="H42" s="756"/>
      <c r="I42" s="317"/>
      <c r="J42" s="318"/>
      <c r="K42" s="318"/>
      <c r="L42" s="318"/>
      <c r="M42" s="318"/>
      <c r="N42" s="318"/>
      <c r="O42" s="318"/>
      <c r="P42" s="319"/>
      <c r="Q42" s="318"/>
      <c r="R42" s="318"/>
      <c r="S42" s="318"/>
      <c r="T42" s="318"/>
      <c r="U42" s="318"/>
      <c r="V42" s="318"/>
      <c r="W42" s="318"/>
      <c r="X42" s="320"/>
      <c r="Y42" s="757"/>
      <c r="Z42" s="757"/>
      <c r="AA42" s="758"/>
      <c r="AC42" s="759"/>
    </row>
    <row r="43" spans="2:29" s="109" customFormat="1">
      <c r="B43" s="314" t="s">
        <v>35</v>
      </c>
      <c r="C43" s="315"/>
      <c r="D43" s="316" t="s">
        <v>150</v>
      </c>
      <c r="E43" s="756"/>
      <c r="F43" s="756"/>
      <c r="G43" s="756"/>
      <c r="H43" s="756"/>
      <c r="I43" s="317"/>
      <c r="J43" s="318"/>
      <c r="K43" s="318"/>
      <c r="L43" s="318"/>
      <c r="M43" s="318"/>
      <c r="N43" s="318"/>
      <c r="O43" s="318"/>
      <c r="P43" s="319"/>
      <c r="Q43" s="318"/>
      <c r="R43" s="318"/>
      <c r="S43" s="318"/>
      <c r="T43" s="318"/>
      <c r="U43" s="318"/>
      <c r="V43" s="318"/>
      <c r="W43" s="318"/>
      <c r="X43" s="320"/>
      <c r="Y43" s="757"/>
      <c r="Z43" s="757"/>
      <c r="AA43" s="758"/>
    </row>
    <row r="44" spans="2:29" s="109" customFormat="1">
      <c r="B44" s="314"/>
      <c r="C44" s="315"/>
      <c r="D44" s="316" t="s">
        <v>212</v>
      </c>
      <c r="E44" s="866"/>
      <c r="F44" s="866"/>
      <c r="G44" s="866"/>
      <c r="H44" s="866"/>
      <c r="I44" s="317">
        <v>8</v>
      </c>
      <c r="J44" s="760">
        <v>0.22500000000000001</v>
      </c>
      <c r="K44" s="318">
        <v>1</v>
      </c>
      <c r="L44" s="318">
        <v>629</v>
      </c>
      <c r="M44" s="318"/>
      <c r="N44" s="318">
        <f>SUM(E45:H45)</f>
        <v>6.5</v>
      </c>
      <c r="O44" s="318">
        <f>N44*L44*K44</f>
        <v>4088.5</v>
      </c>
      <c r="P44" s="319"/>
      <c r="Q44" s="318"/>
      <c r="R44" s="318"/>
      <c r="S44" s="318"/>
      <c r="T44" s="318"/>
      <c r="U44" s="318"/>
      <c r="V44" s="318"/>
      <c r="W44" s="318">
        <f t="shared" ref="W44" si="5">O44</f>
        <v>4088.5</v>
      </c>
      <c r="X44" s="320"/>
      <c r="Y44" s="757"/>
      <c r="Z44" s="757"/>
      <c r="AA44" s="758"/>
      <c r="AC44" s="759"/>
    </row>
    <row r="45" spans="2:29" s="109" customFormat="1">
      <c r="B45" s="314"/>
      <c r="C45" s="315"/>
      <c r="D45" s="316"/>
      <c r="E45" s="451"/>
      <c r="F45" s="761">
        <v>6.5</v>
      </c>
      <c r="G45" s="451"/>
      <c r="H45" s="762"/>
      <c r="I45" s="317"/>
      <c r="J45" s="318"/>
      <c r="K45" s="318"/>
      <c r="L45" s="318"/>
      <c r="M45" s="318"/>
      <c r="N45" s="318"/>
      <c r="O45" s="318"/>
      <c r="P45" s="319"/>
      <c r="Q45" s="318"/>
      <c r="R45" s="318"/>
      <c r="S45" s="318"/>
      <c r="T45" s="318"/>
      <c r="U45" s="318"/>
      <c r="V45" s="318"/>
      <c r="W45" s="318"/>
      <c r="X45" s="320"/>
      <c r="Y45" s="757"/>
      <c r="Z45" s="757"/>
      <c r="AA45" s="758"/>
      <c r="AC45" s="759"/>
    </row>
    <row r="46" spans="2:29" s="109" customFormat="1">
      <c r="B46" s="314"/>
      <c r="C46" s="315"/>
      <c r="D46" s="316"/>
      <c r="E46" s="451"/>
      <c r="F46" s="761"/>
      <c r="G46" s="451"/>
      <c r="H46" s="765"/>
      <c r="I46" s="317"/>
      <c r="J46" s="318"/>
      <c r="K46" s="318"/>
      <c r="L46" s="318"/>
      <c r="M46" s="318"/>
      <c r="N46" s="318"/>
      <c r="O46" s="318"/>
      <c r="P46" s="319"/>
      <c r="Q46" s="318"/>
      <c r="R46" s="318"/>
      <c r="S46" s="318"/>
      <c r="T46" s="318"/>
      <c r="U46" s="318"/>
      <c r="V46" s="318"/>
      <c r="W46" s="318"/>
      <c r="X46" s="320"/>
      <c r="Y46" s="757"/>
      <c r="Z46" s="757"/>
      <c r="AA46" s="758"/>
      <c r="AC46" s="759"/>
    </row>
    <row r="47" spans="2:29" s="109" customFormat="1">
      <c r="B47" s="314"/>
      <c r="C47" s="315"/>
      <c r="D47" s="316" t="s">
        <v>212</v>
      </c>
      <c r="E47" s="866"/>
      <c r="F47" s="866"/>
      <c r="G47" s="866"/>
      <c r="H47" s="866"/>
      <c r="I47" s="317">
        <v>8</v>
      </c>
      <c r="J47" s="760">
        <v>0.22500000000000001</v>
      </c>
      <c r="K47" s="318">
        <v>1</v>
      </c>
      <c r="L47" s="318">
        <f>14.6/0.225+1</f>
        <v>65.888888888888886</v>
      </c>
      <c r="M47" s="318"/>
      <c r="N47" s="318">
        <f>SUM(E48:H48)</f>
        <v>5.69</v>
      </c>
      <c r="O47" s="318">
        <f>N47*L47*K47</f>
        <v>374.90777777777777</v>
      </c>
      <c r="P47" s="319"/>
      <c r="Q47" s="318"/>
      <c r="R47" s="318"/>
      <c r="S47" s="318"/>
      <c r="T47" s="318"/>
      <c r="U47" s="318"/>
      <c r="V47" s="318"/>
      <c r="W47" s="318">
        <f t="shared" ref="W47" si="6">O47</f>
        <v>374.90777777777777</v>
      </c>
      <c r="X47" s="320"/>
      <c r="Y47" s="757"/>
      <c r="Z47" s="757"/>
      <c r="AA47" s="758"/>
      <c r="AC47" s="759"/>
    </row>
    <row r="48" spans="2:29" s="109" customFormat="1">
      <c r="B48" s="314"/>
      <c r="C48" s="315"/>
      <c r="D48" s="316"/>
      <c r="E48" s="451"/>
      <c r="F48" s="761">
        <v>5.69</v>
      </c>
      <c r="G48" s="451"/>
      <c r="H48" s="762"/>
      <c r="I48" s="317"/>
      <c r="J48" s="318"/>
      <c r="K48" s="318"/>
      <c r="L48" s="318"/>
      <c r="M48" s="318"/>
      <c r="N48" s="318"/>
      <c r="O48" s="318"/>
      <c r="P48" s="319"/>
      <c r="Q48" s="318"/>
      <c r="R48" s="318"/>
      <c r="S48" s="318"/>
      <c r="T48" s="318"/>
      <c r="U48" s="318"/>
      <c r="V48" s="318"/>
      <c r="W48" s="318"/>
      <c r="X48" s="320"/>
      <c r="Y48" s="757"/>
      <c r="Z48" s="757"/>
      <c r="AA48" s="758"/>
      <c r="AC48" s="759"/>
    </row>
    <row r="49" spans="2:29" s="109" customFormat="1">
      <c r="B49" s="314"/>
      <c r="C49" s="315"/>
      <c r="D49" s="316"/>
      <c r="E49" s="451"/>
      <c r="F49" s="761"/>
      <c r="G49" s="451"/>
      <c r="H49" s="765"/>
      <c r="I49" s="317"/>
      <c r="J49" s="318"/>
      <c r="K49" s="318"/>
      <c r="L49" s="318"/>
      <c r="M49" s="318"/>
      <c r="N49" s="318"/>
      <c r="O49" s="318"/>
      <c r="P49" s="319"/>
      <c r="Q49" s="318"/>
      <c r="R49" s="318"/>
      <c r="S49" s="318"/>
      <c r="T49" s="318"/>
      <c r="U49" s="318"/>
      <c r="V49" s="318"/>
      <c r="W49" s="318"/>
      <c r="X49" s="320"/>
      <c r="Y49" s="757"/>
      <c r="Z49" s="757"/>
      <c r="AA49" s="758"/>
      <c r="AC49" s="759"/>
    </row>
    <row r="50" spans="2:29" s="109" customFormat="1">
      <c r="B50" s="314"/>
      <c r="C50" s="315"/>
      <c r="D50" s="316" t="s">
        <v>212</v>
      </c>
      <c r="E50" s="866"/>
      <c r="F50" s="866"/>
      <c r="G50" s="866"/>
      <c r="H50" s="866"/>
      <c r="I50" s="317">
        <v>8</v>
      </c>
      <c r="J50" s="760">
        <v>0.22500000000000001</v>
      </c>
      <c r="K50" s="318">
        <v>1</v>
      </c>
      <c r="L50" s="318">
        <f>12.62/0.225+1</f>
        <v>57.088888888888881</v>
      </c>
      <c r="M50" s="318"/>
      <c r="N50" s="318">
        <f>SUM(E51:H51)</f>
        <v>3.45</v>
      </c>
      <c r="O50" s="318">
        <f>N50*L50*K50</f>
        <v>196.95666666666665</v>
      </c>
      <c r="P50" s="319"/>
      <c r="Q50" s="318"/>
      <c r="R50" s="318"/>
      <c r="S50" s="318"/>
      <c r="T50" s="318"/>
      <c r="U50" s="318"/>
      <c r="V50" s="318"/>
      <c r="W50" s="318">
        <f t="shared" ref="W50" si="7">O50</f>
        <v>196.95666666666665</v>
      </c>
      <c r="X50" s="320"/>
      <c r="Y50" s="757"/>
      <c r="Z50" s="757"/>
      <c r="AA50" s="758"/>
      <c r="AC50" s="759"/>
    </row>
    <row r="51" spans="2:29" s="109" customFormat="1">
      <c r="B51" s="314"/>
      <c r="C51" s="315"/>
      <c r="D51" s="316"/>
      <c r="E51" s="451"/>
      <c r="F51" s="761">
        <v>3.45</v>
      </c>
      <c r="G51" s="451"/>
      <c r="H51" s="762"/>
      <c r="I51" s="317"/>
      <c r="J51" s="318"/>
      <c r="K51" s="318"/>
      <c r="L51" s="318"/>
      <c r="M51" s="318"/>
      <c r="N51" s="318"/>
      <c r="O51" s="318"/>
      <c r="P51" s="319"/>
      <c r="Q51" s="318"/>
      <c r="R51" s="318"/>
      <c r="S51" s="318"/>
      <c r="T51" s="318"/>
      <c r="U51" s="318"/>
      <c r="V51" s="318"/>
      <c r="W51" s="318"/>
      <c r="X51" s="320"/>
      <c r="Y51" s="757"/>
      <c r="Z51" s="757"/>
      <c r="AA51" s="758"/>
      <c r="AC51" s="759"/>
    </row>
    <row r="52" spans="2:29" s="109" customFormat="1">
      <c r="B52" s="314"/>
      <c r="C52" s="315"/>
      <c r="D52" s="316"/>
      <c r="E52" s="451"/>
      <c r="F52" s="761"/>
      <c r="G52" s="451"/>
      <c r="H52" s="765"/>
      <c r="I52" s="317"/>
      <c r="J52" s="318"/>
      <c r="K52" s="318"/>
      <c r="L52" s="318"/>
      <c r="M52" s="318"/>
      <c r="N52" s="318"/>
      <c r="O52" s="318"/>
      <c r="P52" s="319"/>
      <c r="Q52" s="318"/>
      <c r="R52" s="318"/>
      <c r="S52" s="318"/>
      <c r="T52" s="318"/>
      <c r="U52" s="318"/>
      <c r="V52" s="318"/>
      <c r="W52" s="318"/>
      <c r="X52" s="320"/>
      <c r="Y52" s="757"/>
      <c r="Z52" s="757"/>
      <c r="AA52" s="758"/>
      <c r="AC52" s="759"/>
    </row>
    <row r="53" spans="2:29" s="109" customFormat="1">
      <c r="B53" s="314"/>
      <c r="C53" s="315"/>
      <c r="D53" s="316" t="s">
        <v>212</v>
      </c>
      <c r="E53" s="866"/>
      <c r="F53" s="866"/>
      <c r="G53" s="866"/>
      <c r="H53" s="866"/>
      <c r="I53" s="317">
        <v>8</v>
      </c>
      <c r="J53" s="760">
        <v>0.22500000000000001</v>
      </c>
      <c r="K53" s="318">
        <v>1</v>
      </c>
      <c r="L53" s="318">
        <f>8.91/0.225+1</f>
        <v>40.6</v>
      </c>
      <c r="M53" s="318"/>
      <c r="N53" s="318">
        <f>SUM(E54:H54)</f>
        <v>3.7</v>
      </c>
      <c r="O53" s="318">
        <f>N53*L53*K53</f>
        <v>150.22</v>
      </c>
      <c r="P53" s="319"/>
      <c r="Q53" s="318"/>
      <c r="R53" s="318"/>
      <c r="S53" s="318"/>
      <c r="T53" s="318"/>
      <c r="U53" s="318"/>
      <c r="V53" s="318"/>
      <c r="W53" s="318">
        <f t="shared" ref="W53" si="8">O53</f>
        <v>150.22</v>
      </c>
      <c r="X53" s="320"/>
      <c r="Y53" s="757"/>
      <c r="Z53" s="757"/>
      <c r="AA53" s="758"/>
      <c r="AC53" s="759"/>
    </row>
    <row r="54" spans="2:29" s="109" customFormat="1">
      <c r="B54" s="314"/>
      <c r="C54" s="315"/>
      <c r="D54" s="316"/>
      <c r="E54" s="451"/>
      <c r="F54" s="761">
        <v>3.7</v>
      </c>
      <c r="G54" s="451"/>
      <c r="H54" s="762"/>
      <c r="I54" s="317"/>
      <c r="J54" s="318"/>
      <c r="K54" s="318"/>
      <c r="L54" s="318"/>
      <c r="M54" s="318"/>
      <c r="N54" s="318"/>
      <c r="O54" s="318"/>
      <c r="P54" s="319"/>
      <c r="Q54" s="318"/>
      <c r="R54" s="318"/>
      <c r="S54" s="318"/>
      <c r="T54" s="318"/>
      <c r="U54" s="318"/>
      <c r="V54" s="318"/>
      <c r="W54" s="318"/>
      <c r="X54" s="320"/>
      <c r="Y54" s="757"/>
      <c r="Z54" s="757"/>
      <c r="AA54" s="758"/>
      <c r="AC54" s="759"/>
    </row>
    <row r="55" spans="2:29" s="109" customFormat="1">
      <c r="B55" s="314"/>
      <c r="C55" s="315"/>
      <c r="D55" s="316"/>
      <c r="E55" s="451"/>
      <c r="F55" s="761"/>
      <c r="G55" s="451"/>
      <c r="H55" s="765"/>
      <c r="I55" s="317"/>
      <c r="J55" s="318"/>
      <c r="K55" s="318"/>
      <c r="L55" s="318"/>
      <c r="M55" s="318"/>
      <c r="N55" s="318"/>
      <c r="O55" s="318"/>
      <c r="P55" s="319"/>
      <c r="Q55" s="318"/>
      <c r="R55" s="318"/>
      <c r="S55" s="318"/>
      <c r="T55" s="318"/>
      <c r="U55" s="318"/>
      <c r="V55" s="318"/>
      <c r="W55" s="318"/>
      <c r="X55" s="320"/>
      <c r="Y55" s="757"/>
      <c r="Z55" s="757"/>
      <c r="AA55" s="758"/>
      <c r="AC55" s="759"/>
    </row>
    <row r="56" spans="2:29" s="109" customFormat="1">
      <c r="B56" s="314"/>
      <c r="C56" s="315"/>
      <c r="D56" s="316" t="s">
        <v>212</v>
      </c>
      <c r="E56" s="866"/>
      <c r="F56" s="866"/>
      <c r="G56" s="866"/>
      <c r="H56" s="866"/>
      <c r="I56" s="317">
        <v>8</v>
      </c>
      <c r="J56" s="760">
        <v>0.22500000000000001</v>
      </c>
      <c r="K56" s="318">
        <v>1</v>
      </c>
      <c r="L56" s="318">
        <f>14.6/0.225+1</f>
        <v>65.888888888888886</v>
      </c>
      <c r="M56" s="318"/>
      <c r="N56" s="318">
        <f>SUM(E57:H57)</f>
        <v>3.85</v>
      </c>
      <c r="O56" s="318">
        <f>N56*L56*K56</f>
        <v>253.67222222222222</v>
      </c>
      <c r="P56" s="319"/>
      <c r="Q56" s="318"/>
      <c r="R56" s="318"/>
      <c r="S56" s="318"/>
      <c r="T56" s="318"/>
      <c r="U56" s="318"/>
      <c r="V56" s="318"/>
      <c r="W56" s="318">
        <f t="shared" ref="W56" si="9">O56</f>
        <v>253.67222222222222</v>
      </c>
      <c r="X56" s="320"/>
      <c r="Y56" s="757"/>
      <c r="Z56" s="757"/>
      <c r="AA56" s="758"/>
      <c r="AC56" s="759"/>
    </row>
    <row r="57" spans="2:29" s="109" customFormat="1">
      <c r="B57" s="314"/>
      <c r="C57" s="315"/>
      <c r="D57" s="316"/>
      <c r="E57" s="451"/>
      <c r="F57" s="761">
        <v>3.85</v>
      </c>
      <c r="G57" s="451"/>
      <c r="H57" s="762"/>
      <c r="I57" s="317"/>
      <c r="J57" s="318"/>
      <c r="K57" s="318"/>
      <c r="L57" s="318"/>
      <c r="M57" s="318"/>
      <c r="N57" s="318"/>
      <c r="O57" s="318"/>
      <c r="P57" s="319"/>
      <c r="Q57" s="318"/>
      <c r="R57" s="318"/>
      <c r="S57" s="318"/>
      <c r="T57" s="318"/>
      <c r="U57" s="318"/>
      <c r="V57" s="318"/>
      <c r="W57" s="318"/>
      <c r="X57" s="320"/>
      <c r="Y57" s="757"/>
      <c r="Z57" s="757"/>
      <c r="AA57" s="758"/>
      <c r="AC57" s="759"/>
    </row>
    <row r="58" spans="2:29" s="109" customFormat="1">
      <c r="B58" s="314"/>
      <c r="C58" s="315"/>
      <c r="D58" s="316"/>
      <c r="E58" s="451"/>
      <c r="F58" s="761"/>
      <c r="G58" s="451"/>
      <c r="H58" s="765"/>
      <c r="I58" s="317"/>
      <c r="J58" s="318"/>
      <c r="K58" s="318"/>
      <c r="L58" s="318"/>
      <c r="M58" s="318"/>
      <c r="N58" s="318"/>
      <c r="O58" s="318"/>
      <c r="P58" s="319"/>
      <c r="Q58" s="318"/>
      <c r="R58" s="318"/>
      <c r="S58" s="318"/>
      <c r="T58" s="318"/>
      <c r="U58" s="318"/>
      <c r="V58" s="318"/>
      <c r="W58" s="318"/>
      <c r="X58" s="320"/>
      <c r="Y58" s="757"/>
      <c r="Z58" s="757"/>
      <c r="AA58" s="758"/>
      <c r="AC58" s="759"/>
    </row>
    <row r="59" spans="2:29" s="109" customFormat="1">
      <c r="B59" s="314"/>
      <c r="C59" s="315"/>
      <c r="D59" s="316" t="s">
        <v>212</v>
      </c>
      <c r="E59" s="866"/>
      <c r="F59" s="866"/>
      <c r="G59" s="866"/>
      <c r="H59" s="866"/>
      <c r="I59" s="317">
        <v>8</v>
      </c>
      <c r="J59" s="760">
        <v>0.22500000000000001</v>
      </c>
      <c r="K59" s="318">
        <v>1</v>
      </c>
      <c r="L59" s="318">
        <f>14.51/0.225+1</f>
        <v>65.48888888888888</v>
      </c>
      <c r="M59" s="318"/>
      <c r="N59" s="318">
        <f>SUM(E60:H60)</f>
        <v>5.69</v>
      </c>
      <c r="O59" s="318">
        <f>N59*L59*K59</f>
        <v>372.63177777777776</v>
      </c>
      <c r="P59" s="319"/>
      <c r="Q59" s="318"/>
      <c r="R59" s="318"/>
      <c r="S59" s="318"/>
      <c r="T59" s="318"/>
      <c r="U59" s="318"/>
      <c r="V59" s="318"/>
      <c r="W59" s="318">
        <f t="shared" ref="W59" si="10">O59</f>
        <v>372.63177777777776</v>
      </c>
      <c r="X59" s="320"/>
      <c r="Y59" s="757"/>
      <c r="Z59" s="757"/>
      <c r="AA59" s="758"/>
      <c r="AC59" s="759"/>
    </row>
    <row r="60" spans="2:29" s="109" customFormat="1">
      <c r="B60" s="314"/>
      <c r="C60" s="315"/>
      <c r="D60" s="316"/>
      <c r="E60" s="451"/>
      <c r="F60" s="761">
        <v>5.69</v>
      </c>
      <c r="G60" s="451"/>
      <c r="H60" s="762"/>
      <c r="I60" s="317"/>
      <c r="J60" s="318"/>
      <c r="K60" s="318"/>
      <c r="L60" s="318"/>
      <c r="M60" s="318"/>
      <c r="N60" s="318"/>
      <c r="O60" s="318"/>
      <c r="P60" s="319"/>
      <c r="Q60" s="318"/>
      <c r="R60" s="318"/>
      <c r="S60" s="318"/>
      <c r="T60" s="318"/>
      <c r="U60" s="318"/>
      <c r="V60" s="318"/>
      <c r="W60" s="318"/>
      <c r="X60" s="320"/>
      <c r="Y60" s="757"/>
      <c r="Z60" s="757"/>
      <c r="AA60" s="758"/>
      <c r="AC60" s="759"/>
    </row>
    <row r="61" spans="2:29" s="109" customFormat="1">
      <c r="B61" s="314"/>
      <c r="C61" s="315"/>
      <c r="D61" s="316"/>
      <c r="E61" s="451"/>
      <c r="F61" s="761"/>
      <c r="G61" s="451"/>
      <c r="H61" s="765"/>
      <c r="I61" s="317"/>
      <c r="J61" s="318"/>
      <c r="K61" s="318"/>
      <c r="L61" s="318"/>
      <c r="M61" s="318"/>
      <c r="N61" s="318"/>
      <c r="O61" s="318"/>
      <c r="P61" s="319"/>
      <c r="Q61" s="318"/>
      <c r="R61" s="318"/>
      <c r="S61" s="318"/>
      <c r="T61" s="318"/>
      <c r="U61" s="318"/>
      <c r="V61" s="318"/>
      <c r="W61" s="318"/>
      <c r="X61" s="320"/>
      <c r="Y61" s="757"/>
      <c r="Z61" s="757"/>
      <c r="AA61" s="758"/>
      <c r="AC61" s="759"/>
    </row>
    <row r="62" spans="2:29" s="109" customFormat="1">
      <c r="B62" s="314"/>
      <c r="C62" s="315"/>
      <c r="D62" s="316" t="s">
        <v>213</v>
      </c>
      <c r="E62" s="756"/>
      <c r="F62" s="756"/>
      <c r="G62" s="756"/>
      <c r="H62" s="756"/>
      <c r="I62" s="317">
        <v>8</v>
      </c>
      <c r="J62" s="760">
        <v>0.22500000000000001</v>
      </c>
      <c r="K62" s="318">
        <v>1</v>
      </c>
      <c r="L62" s="318">
        <v>1</v>
      </c>
      <c r="M62" s="762"/>
      <c r="N62" s="318">
        <f>5470.82+72.02</f>
        <v>5542.84</v>
      </c>
      <c r="O62" s="318">
        <f>N62*L62*K62</f>
        <v>5542.84</v>
      </c>
      <c r="P62" s="319"/>
      <c r="Q62" s="318"/>
      <c r="R62" s="318"/>
      <c r="S62" s="318"/>
      <c r="T62" s="318"/>
      <c r="U62" s="318"/>
      <c r="V62" s="318"/>
      <c r="W62" s="318">
        <f t="shared" ref="W62" si="11">O62</f>
        <v>5542.84</v>
      </c>
      <c r="X62" s="320">
        <f>5470/12</f>
        <v>455.83333333333331</v>
      </c>
      <c r="Y62" s="763"/>
      <c r="Z62" s="757"/>
      <c r="AA62" s="758"/>
      <c r="AC62" s="759"/>
    </row>
    <row r="63" spans="2:29" s="109" customFormat="1">
      <c r="B63" s="314"/>
      <c r="C63" s="315"/>
      <c r="D63" s="316"/>
      <c r="E63" s="451"/>
      <c r="F63" s="764"/>
      <c r="G63" s="451"/>
      <c r="H63" s="762"/>
      <c r="I63" s="317"/>
      <c r="J63" s="318"/>
      <c r="K63" s="318"/>
      <c r="L63" s="318"/>
      <c r="M63" s="318"/>
      <c r="N63" s="318"/>
      <c r="O63" s="318"/>
      <c r="P63" s="319"/>
      <c r="Q63" s="318"/>
      <c r="R63" s="318"/>
      <c r="S63" s="318"/>
      <c r="T63" s="318"/>
      <c r="U63" s="318"/>
      <c r="V63" s="318"/>
      <c r="W63" s="318"/>
      <c r="X63" s="320">
        <f>X62*0.4</f>
        <v>182.33333333333334</v>
      </c>
      <c r="Y63" s="757"/>
      <c r="Z63" s="757"/>
      <c r="AA63" s="758"/>
      <c r="AC63" s="759"/>
    </row>
    <row r="64" spans="2:29" s="429" customFormat="1" ht="18">
      <c r="B64" s="430"/>
      <c r="C64" s="431"/>
      <c r="D64" s="432"/>
      <c r="E64" s="448"/>
      <c r="F64" s="450"/>
      <c r="G64" s="448"/>
      <c r="H64" s="694"/>
      <c r="I64" s="433"/>
      <c r="J64" s="434"/>
      <c r="K64" s="434"/>
      <c r="L64" s="434"/>
      <c r="M64" s="434"/>
      <c r="N64" s="434"/>
      <c r="O64" s="434"/>
      <c r="P64" s="435"/>
      <c r="Q64" s="434"/>
      <c r="R64" s="434"/>
      <c r="S64" s="434"/>
      <c r="T64" s="434"/>
      <c r="U64" s="434"/>
      <c r="V64" s="434"/>
      <c r="W64" s="434"/>
      <c r="X64" s="436">
        <f>X63*0.395</f>
        <v>72.021666666666675</v>
      </c>
      <c r="Y64" s="437"/>
      <c r="Z64" s="437"/>
      <c r="AA64" s="438"/>
      <c r="AC64" s="439"/>
    </row>
    <row r="65" spans="2:24">
      <c r="B65" s="135"/>
      <c r="C65" s="136"/>
      <c r="D65" s="137" t="s">
        <v>214</v>
      </c>
      <c r="E65" s="138"/>
      <c r="F65" s="138"/>
      <c r="G65" s="138"/>
      <c r="H65" s="138"/>
      <c r="I65" s="139"/>
      <c r="J65" s="139"/>
      <c r="K65" s="136"/>
      <c r="L65" s="136"/>
      <c r="M65" s="136"/>
      <c r="N65" s="136"/>
      <c r="O65" s="136">
        <f>SUM(O5:O63)</f>
        <v>29360.678444444449</v>
      </c>
      <c r="P65" s="136">
        <f t="shared" ref="P65:V65" si="12">SUM(P5:P39)</f>
        <v>0</v>
      </c>
      <c r="Q65" s="136">
        <f t="shared" si="12"/>
        <v>0</v>
      </c>
      <c r="R65" s="136">
        <f t="shared" si="12"/>
        <v>0</v>
      </c>
      <c r="S65" s="136">
        <f t="shared" si="12"/>
        <v>0</v>
      </c>
      <c r="T65" s="136">
        <f t="shared" si="12"/>
        <v>0</v>
      </c>
      <c r="U65" s="136">
        <f t="shared" si="12"/>
        <v>0</v>
      </c>
      <c r="V65" s="136">
        <f t="shared" si="12"/>
        <v>0</v>
      </c>
      <c r="W65" s="136">
        <f>SUM(W5:W63)</f>
        <v>29360.678444444449</v>
      </c>
      <c r="X65" s="140"/>
    </row>
    <row r="66" spans="2:24">
      <c r="B66" s="141"/>
      <c r="C66" s="142"/>
      <c r="D66" s="143" t="s">
        <v>215</v>
      </c>
      <c r="E66" s="143"/>
      <c r="F66" s="143"/>
      <c r="G66" s="143"/>
      <c r="H66" s="143"/>
      <c r="I66" s="144"/>
      <c r="J66" s="144"/>
      <c r="K66" s="145"/>
      <c r="L66" s="145"/>
      <c r="M66" s="145"/>
      <c r="N66" s="145"/>
      <c r="O66" s="202">
        <v>0.39500000000000002</v>
      </c>
      <c r="P66" s="146">
        <v>0.61699999999999999</v>
      </c>
      <c r="Q66" s="147">
        <v>0.88800000000000001</v>
      </c>
      <c r="R66" s="147">
        <v>1.58</v>
      </c>
      <c r="S66" s="147">
        <v>2.4700000000000002</v>
      </c>
      <c r="T66" s="147">
        <v>3.85</v>
      </c>
      <c r="U66" s="147">
        <v>4.83</v>
      </c>
      <c r="V66" s="147">
        <v>6.31</v>
      </c>
      <c r="W66" s="147"/>
      <c r="X66" s="148"/>
    </row>
    <row r="67" spans="2:24">
      <c r="B67" s="149"/>
      <c r="C67" s="150"/>
      <c r="D67" s="151" t="s">
        <v>216</v>
      </c>
      <c r="E67" s="151"/>
      <c r="F67" s="151"/>
      <c r="G67" s="151"/>
      <c r="H67" s="151"/>
      <c r="I67" s="152"/>
      <c r="J67" s="152"/>
      <c r="K67" s="153"/>
      <c r="L67" s="153"/>
      <c r="M67" s="153"/>
      <c r="N67" s="153"/>
      <c r="O67" s="115">
        <f>O65*O66</f>
        <v>11597.467985555559</v>
      </c>
      <c r="P67" s="115">
        <f>P65*P66</f>
        <v>0</v>
      </c>
      <c r="Q67" s="115">
        <f>Q65*Q66</f>
        <v>0</v>
      </c>
      <c r="R67" s="112">
        <v>0</v>
      </c>
      <c r="S67" s="112">
        <v>0</v>
      </c>
      <c r="T67" s="112">
        <v>0</v>
      </c>
      <c r="U67" s="112">
        <v>0</v>
      </c>
      <c r="V67" s="112">
        <v>0</v>
      </c>
      <c r="W67" s="112">
        <f>SUM(O67:V67)</f>
        <v>11597.467985555559</v>
      </c>
      <c r="X67" s="148"/>
    </row>
    <row r="68" spans="2:24">
      <c r="B68" s="149"/>
      <c r="C68" s="150"/>
      <c r="D68" s="151" t="s">
        <v>217</v>
      </c>
      <c r="E68" s="151"/>
      <c r="F68" s="151"/>
      <c r="G68" s="151"/>
      <c r="H68" s="151"/>
      <c r="I68" s="152"/>
      <c r="J68" s="152"/>
      <c r="K68" s="153"/>
      <c r="L68" s="153"/>
      <c r="M68" s="153"/>
      <c r="N68" s="153"/>
      <c r="O68" s="377">
        <f>O67/1000</f>
        <v>11.597467985555559</v>
      </c>
      <c r="P68" s="115">
        <f>P67/1000</f>
        <v>0</v>
      </c>
      <c r="Q68" s="115">
        <f>Q67/1000</f>
        <v>0</v>
      </c>
      <c r="R68" s="112">
        <v>0</v>
      </c>
      <c r="S68" s="154">
        <v>0</v>
      </c>
      <c r="T68" s="154">
        <v>0</v>
      </c>
      <c r="U68" s="154">
        <v>0</v>
      </c>
      <c r="V68" s="154">
        <v>0</v>
      </c>
      <c r="W68" s="154">
        <f>SUM(O68:V68)</f>
        <v>11.597467985555559</v>
      </c>
      <c r="X68" s="148"/>
    </row>
    <row r="69" spans="2:24" ht="15" customHeight="1">
      <c r="B69" s="149"/>
      <c r="C69" s="150"/>
      <c r="D69" s="151" t="s">
        <v>218</v>
      </c>
      <c r="E69" s="151"/>
      <c r="F69" s="151"/>
      <c r="G69" s="151"/>
      <c r="H69" s="151"/>
      <c r="I69" s="152"/>
      <c r="J69" s="152"/>
      <c r="K69" s="153"/>
      <c r="L69" s="153"/>
      <c r="M69" s="153"/>
      <c r="N69" s="153"/>
      <c r="O69" s="858">
        <f>W67</f>
        <v>11597.467985555559</v>
      </c>
      <c r="P69" s="859"/>
      <c r="Q69" s="859"/>
      <c r="R69" s="859"/>
      <c r="S69" s="859"/>
      <c r="T69" s="859"/>
      <c r="U69" s="859"/>
      <c r="V69" s="860"/>
      <c r="W69" s="154"/>
      <c r="X69" s="155" t="s">
        <v>219</v>
      </c>
    </row>
    <row r="70" spans="2:24" ht="38.25" thickBot="1">
      <c r="B70" s="156"/>
      <c r="C70" s="157"/>
      <c r="D70" s="158" t="s">
        <v>220</v>
      </c>
      <c r="E70" s="158"/>
      <c r="F70" s="158"/>
      <c r="G70" s="158"/>
      <c r="H70" s="158"/>
      <c r="I70" s="159"/>
      <c r="J70" s="159"/>
      <c r="K70" s="160"/>
      <c r="L70" s="160"/>
      <c r="M70" s="160"/>
      <c r="N70" s="160"/>
      <c r="O70" s="861">
        <f>W68</f>
        <v>11.597467985555559</v>
      </c>
      <c r="P70" s="862"/>
      <c r="Q70" s="862"/>
      <c r="R70" s="862"/>
      <c r="S70" s="862"/>
      <c r="T70" s="862"/>
      <c r="U70" s="862"/>
      <c r="V70" s="862"/>
      <c r="W70" s="863"/>
      <c r="X70" s="161" t="s">
        <v>221</v>
      </c>
    </row>
  </sheetData>
  <mergeCells count="17">
    <mergeCell ref="E59:H59"/>
    <mergeCell ref="B1:X1"/>
    <mergeCell ref="B2:X2"/>
    <mergeCell ref="E3:H3"/>
    <mergeCell ref="O69:V69"/>
    <mergeCell ref="O70:W70"/>
    <mergeCell ref="E6:H6"/>
    <mergeCell ref="E13:H13"/>
    <mergeCell ref="E20:H20"/>
    <mergeCell ref="E26:H26"/>
    <mergeCell ref="E31:H31"/>
    <mergeCell ref="E37:H37"/>
    <mergeCell ref="E44:H44"/>
    <mergeCell ref="E47:H47"/>
    <mergeCell ref="E50:H50"/>
    <mergeCell ref="E53:H53"/>
    <mergeCell ref="E56:H56"/>
  </mergeCells>
  <printOptions horizontalCentered="1"/>
  <pageMargins left="0.31496062992125984" right="0.31496062992125984" top="0.15748031496062992" bottom="0" header="0.19685039370078741" footer="0"/>
  <pageSetup paperSize="9" scale="56" orientation="landscape" r:id="rId1"/>
  <headerFooter>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BADE-4A28-4A17-8C06-138AE4355B04}">
  <dimension ref="C2:I165"/>
  <sheetViews>
    <sheetView view="pageBreakPreview" topLeftCell="A90" zoomScale="85" zoomScaleNormal="100" zoomScaleSheetLayoutView="85" workbookViewId="0">
      <selection activeCell="M103" sqref="M103"/>
    </sheetView>
  </sheetViews>
  <sheetFormatPr defaultColWidth="9.140625" defaultRowHeight="14.25"/>
  <cols>
    <col min="1" max="2" width="9.140625" style="471"/>
    <col min="3" max="3" width="11.28515625" style="471" customWidth="1"/>
    <col min="4" max="4" width="10.7109375" style="472" bestFit="1" customWidth="1"/>
    <col min="5" max="5" width="19.140625" style="473" customWidth="1"/>
    <col min="6" max="6" width="23.5703125" style="471" customWidth="1"/>
    <col min="7" max="7" width="18.5703125" style="471" customWidth="1"/>
    <col min="8" max="8" width="9.140625" style="471"/>
    <col min="9" max="9" width="17" style="471" bestFit="1" customWidth="1"/>
    <col min="10" max="14" width="9.140625" style="471"/>
    <col min="15" max="15" width="10.42578125" style="471" bestFit="1" customWidth="1"/>
    <col min="16" max="16384" width="9.140625" style="471"/>
  </cols>
  <sheetData>
    <row r="2" spans="3:9" ht="15" thickBot="1"/>
    <row r="3" spans="3:9" ht="20.25">
      <c r="C3" s="867" t="s">
        <v>65</v>
      </c>
      <c r="D3" s="868"/>
      <c r="E3" s="868"/>
      <c r="F3" s="868"/>
      <c r="G3" s="868"/>
      <c r="H3" s="868"/>
      <c r="I3" s="869"/>
    </row>
    <row r="4" spans="3:9" ht="15.75">
      <c r="C4" s="474"/>
      <c r="D4" s="475"/>
      <c r="E4" s="476"/>
      <c r="F4" s="477"/>
      <c r="G4" s="477"/>
      <c r="H4" s="766"/>
      <c r="I4" s="478"/>
    </row>
    <row r="5" spans="3:9" s="479" customFormat="1" ht="15.75">
      <c r="C5" s="67" t="s">
        <v>66</v>
      </c>
      <c r="D5" s="68" t="s">
        <v>108</v>
      </c>
      <c r="E5" s="469" t="s">
        <v>68</v>
      </c>
      <c r="F5" s="69" t="s">
        <v>10</v>
      </c>
      <c r="G5" s="69" t="s">
        <v>0</v>
      </c>
      <c r="H5" s="69" t="s">
        <v>1</v>
      </c>
      <c r="I5" s="470" t="s">
        <v>2</v>
      </c>
    </row>
    <row r="6" spans="3:9">
      <c r="C6" s="480">
        <v>1</v>
      </c>
      <c r="D6" s="481">
        <v>657</v>
      </c>
      <c r="E6" s="192">
        <v>45651</v>
      </c>
      <c r="F6" s="482" t="s">
        <v>109</v>
      </c>
      <c r="G6" s="482">
        <v>34980</v>
      </c>
      <c r="H6" s="482" t="s">
        <v>25</v>
      </c>
      <c r="I6" s="483"/>
    </row>
    <row r="7" spans="3:9">
      <c r="C7" s="480">
        <v>2</v>
      </c>
      <c r="D7" s="481">
        <v>658</v>
      </c>
      <c r="E7" s="192">
        <v>45651</v>
      </c>
      <c r="F7" s="482" t="s">
        <v>109</v>
      </c>
      <c r="G7" s="482">
        <v>33800</v>
      </c>
      <c r="H7" s="482" t="s">
        <v>25</v>
      </c>
      <c r="I7" s="483"/>
    </row>
    <row r="8" spans="3:9">
      <c r="C8" s="480">
        <v>3</v>
      </c>
      <c r="D8" s="481">
        <v>659</v>
      </c>
      <c r="E8" s="192">
        <v>45651</v>
      </c>
      <c r="F8" s="482" t="s">
        <v>109</v>
      </c>
      <c r="G8" s="482">
        <v>34450</v>
      </c>
      <c r="H8" s="482" t="s">
        <v>25</v>
      </c>
      <c r="I8" s="483"/>
    </row>
    <row r="9" spans="3:9">
      <c r="C9" s="480">
        <v>4</v>
      </c>
      <c r="D9" s="481">
        <v>660</v>
      </c>
      <c r="E9" s="192">
        <v>45652</v>
      </c>
      <c r="F9" s="482" t="s">
        <v>109</v>
      </c>
      <c r="G9" s="482">
        <v>34370</v>
      </c>
      <c r="H9" s="482" t="s">
        <v>25</v>
      </c>
      <c r="I9" s="483"/>
    </row>
    <row r="10" spans="3:9">
      <c r="C10" s="480">
        <v>5</v>
      </c>
      <c r="D10" s="481">
        <v>661</v>
      </c>
      <c r="E10" s="192">
        <v>45652</v>
      </c>
      <c r="F10" s="482" t="s">
        <v>109</v>
      </c>
      <c r="G10" s="482">
        <v>33950</v>
      </c>
      <c r="H10" s="482" t="s">
        <v>25</v>
      </c>
      <c r="I10" s="483"/>
    </row>
    <row r="11" spans="3:9">
      <c r="C11" s="480">
        <v>6</v>
      </c>
      <c r="D11" s="481">
        <v>665</v>
      </c>
      <c r="E11" s="192">
        <v>45664</v>
      </c>
      <c r="F11" s="482" t="s">
        <v>109</v>
      </c>
      <c r="G11" s="482">
        <v>33960</v>
      </c>
      <c r="H11" s="482" t="s">
        <v>25</v>
      </c>
      <c r="I11" s="483"/>
    </row>
    <row r="12" spans="3:9">
      <c r="C12" s="480">
        <v>7</v>
      </c>
      <c r="D12" s="481">
        <v>666</v>
      </c>
      <c r="E12" s="192">
        <v>45664</v>
      </c>
      <c r="F12" s="482" t="s">
        <v>109</v>
      </c>
      <c r="G12" s="482">
        <v>34460</v>
      </c>
      <c r="H12" s="482" t="s">
        <v>25</v>
      </c>
      <c r="I12" s="483"/>
    </row>
    <row r="13" spans="3:9">
      <c r="C13" s="480">
        <v>8</v>
      </c>
      <c r="D13" s="481">
        <v>667</v>
      </c>
      <c r="E13" s="192">
        <v>45665</v>
      </c>
      <c r="F13" s="482" t="s">
        <v>109</v>
      </c>
      <c r="G13" s="482">
        <v>33450</v>
      </c>
      <c r="H13" s="482" t="s">
        <v>25</v>
      </c>
      <c r="I13" s="483"/>
    </row>
    <row r="14" spans="3:9">
      <c r="C14" s="480">
        <v>9</v>
      </c>
      <c r="D14" s="481">
        <v>698</v>
      </c>
      <c r="E14" s="192">
        <v>45686</v>
      </c>
      <c r="F14" s="482" t="s">
        <v>109</v>
      </c>
      <c r="G14" s="482">
        <v>38220</v>
      </c>
      <c r="H14" s="482" t="s">
        <v>25</v>
      </c>
      <c r="I14" s="483"/>
    </row>
    <row r="15" spans="3:9">
      <c r="C15" s="480">
        <v>10</v>
      </c>
      <c r="D15" s="481">
        <v>685</v>
      </c>
      <c r="E15" s="192">
        <v>45684</v>
      </c>
      <c r="F15" s="482" t="s">
        <v>109</v>
      </c>
      <c r="G15" s="482">
        <v>35220</v>
      </c>
      <c r="H15" s="482" t="s">
        <v>25</v>
      </c>
      <c r="I15" s="483"/>
    </row>
    <row r="16" spans="3:9">
      <c r="C16" s="480">
        <v>11</v>
      </c>
      <c r="D16" s="481">
        <v>687</v>
      </c>
      <c r="E16" s="192">
        <v>45685</v>
      </c>
      <c r="F16" s="482" t="s">
        <v>109</v>
      </c>
      <c r="G16" s="482">
        <v>35150</v>
      </c>
      <c r="H16" s="482" t="s">
        <v>25</v>
      </c>
      <c r="I16" s="483"/>
    </row>
    <row r="17" spans="3:9">
      <c r="C17" s="480">
        <v>12</v>
      </c>
      <c r="D17" s="481">
        <v>688</v>
      </c>
      <c r="E17" s="192">
        <v>45685</v>
      </c>
      <c r="F17" s="482" t="s">
        <v>109</v>
      </c>
      <c r="G17" s="482">
        <v>34530</v>
      </c>
      <c r="H17" s="482" t="s">
        <v>25</v>
      </c>
      <c r="I17" s="483"/>
    </row>
    <row r="18" spans="3:9">
      <c r="C18" s="480">
        <v>13</v>
      </c>
      <c r="D18" s="481">
        <v>689</v>
      </c>
      <c r="E18" s="192">
        <v>45684</v>
      </c>
      <c r="F18" s="482" t="s">
        <v>109</v>
      </c>
      <c r="G18" s="482">
        <v>36060</v>
      </c>
      <c r="H18" s="482" t="s">
        <v>25</v>
      </c>
      <c r="I18" s="483"/>
    </row>
    <row r="19" spans="3:9">
      <c r="C19" s="480">
        <v>14</v>
      </c>
      <c r="D19" s="481">
        <v>690</v>
      </c>
      <c r="E19" s="192">
        <v>45685</v>
      </c>
      <c r="F19" s="482" t="s">
        <v>109</v>
      </c>
      <c r="G19" s="482">
        <v>35915</v>
      </c>
      <c r="H19" s="482" t="s">
        <v>25</v>
      </c>
      <c r="I19" s="483"/>
    </row>
    <row r="20" spans="3:9">
      <c r="C20" s="480">
        <v>15</v>
      </c>
      <c r="D20" s="481">
        <v>691</v>
      </c>
      <c r="E20" s="192">
        <v>45685</v>
      </c>
      <c r="F20" s="482" t="s">
        <v>109</v>
      </c>
      <c r="G20" s="482">
        <v>35514</v>
      </c>
      <c r="H20" s="482" t="s">
        <v>25</v>
      </c>
      <c r="I20" s="483"/>
    </row>
    <row r="21" spans="3:9">
      <c r="C21" s="480">
        <v>16</v>
      </c>
      <c r="D21" s="481">
        <v>692</v>
      </c>
      <c r="E21" s="192">
        <v>45686</v>
      </c>
      <c r="F21" s="482" t="s">
        <v>109</v>
      </c>
      <c r="G21" s="482">
        <v>35550</v>
      </c>
      <c r="H21" s="482" t="s">
        <v>25</v>
      </c>
      <c r="I21" s="483"/>
    </row>
    <row r="22" spans="3:9">
      <c r="C22" s="480">
        <v>17</v>
      </c>
      <c r="D22" s="481">
        <v>693</v>
      </c>
      <c r="E22" s="192">
        <v>45686</v>
      </c>
      <c r="F22" s="482" t="s">
        <v>109</v>
      </c>
      <c r="G22" s="482">
        <v>35100</v>
      </c>
      <c r="H22" s="482" t="s">
        <v>25</v>
      </c>
      <c r="I22" s="483"/>
    </row>
    <row r="23" spans="3:9">
      <c r="C23" s="480">
        <v>18</v>
      </c>
      <c r="D23" s="481">
        <v>694</v>
      </c>
      <c r="E23" s="192">
        <v>45686</v>
      </c>
      <c r="F23" s="482" t="s">
        <v>109</v>
      </c>
      <c r="G23" s="482">
        <v>35150</v>
      </c>
      <c r="H23" s="482" t="s">
        <v>25</v>
      </c>
      <c r="I23" s="483"/>
    </row>
    <row r="24" spans="3:9">
      <c r="C24" s="480">
        <v>19</v>
      </c>
      <c r="D24" s="481">
        <v>695</v>
      </c>
      <c r="E24" s="192">
        <v>45686</v>
      </c>
      <c r="F24" s="482" t="s">
        <v>109</v>
      </c>
      <c r="G24" s="482">
        <v>35400</v>
      </c>
      <c r="H24" s="482" t="s">
        <v>25</v>
      </c>
      <c r="I24" s="483"/>
    </row>
    <row r="25" spans="3:9">
      <c r="C25" s="480">
        <v>20</v>
      </c>
      <c r="D25" s="481">
        <v>696</v>
      </c>
      <c r="E25" s="192">
        <v>45687</v>
      </c>
      <c r="F25" s="482" t="s">
        <v>109</v>
      </c>
      <c r="G25" s="482">
        <v>35960</v>
      </c>
      <c r="H25" s="482" t="s">
        <v>25</v>
      </c>
      <c r="I25" s="483"/>
    </row>
    <row r="26" spans="3:9">
      <c r="C26" s="480">
        <v>21</v>
      </c>
      <c r="D26" s="481">
        <v>697</v>
      </c>
      <c r="E26" s="192">
        <v>45686</v>
      </c>
      <c r="F26" s="482" t="s">
        <v>109</v>
      </c>
      <c r="G26" s="482">
        <v>36540</v>
      </c>
      <c r="H26" s="482" t="s">
        <v>25</v>
      </c>
      <c r="I26" s="483"/>
    </row>
    <row r="27" spans="3:9">
      <c r="C27" s="480">
        <v>22</v>
      </c>
      <c r="D27" s="481">
        <v>557</v>
      </c>
      <c r="E27" s="192">
        <v>45696</v>
      </c>
      <c r="F27" s="482" t="s">
        <v>109</v>
      </c>
      <c r="G27" s="482">
        <v>35650</v>
      </c>
      <c r="H27" s="482" t="s">
        <v>25</v>
      </c>
      <c r="I27" s="484"/>
    </row>
    <row r="28" spans="3:9">
      <c r="C28" s="480">
        <v>23</v>
      </c>
      <c r="D28" s="481">
        <v>556</v>
      </c>
      <c r="E28" s="192">
        <v>45696</v>
      </c>
      <c r="F28" s="482" t="s">
        <v>109</v>
      </c>
      <c r="G28" s="482">
        <v>35990</v>
      </c>
      <c r="H28" s="482" t="s">
        <v>25</v>
      </c>
      <c r="I28" s="484"/>
    </row>
    <row r="29" spans="3:9">
      <c r="C29" s="480">
        <v>24</v>
      </c>
      <c r="D29" s="481">
        <v>555</v>
      </c>
      <c r="E29" s="192">
        <v>45695</v>
      </c>
      <c r="F29" s="482" t="s">
        <v>109</v>
      </c>
      <c r="G29" s="482">
        <v>35500</v>
      </c>
      <c r="H29" s="482" t="s">
        <v>25</v>
      </c>
      <c r="I29" s="484"/>
    </row>
    <row r="30" spans="3:9">
      <c r="C30" s="480">
        <v>25</v>
      </c>
      <c r="D30" s="481">
        <v>554</v>
      </c>
      <c r="E30" s="192">
        <v>45695</v>
      </c>
      <c r="F30" s="482" t="s">
        <v>109</v>
      </c>
      <c r="G30" s="482">
        <v>35970</v>
      </c>
      <c r="H30" s="482" t="s">
        <v>25</v>
      </c>
      <c r="I30" s="484"/>
    </row>
    <row r="31" spans="3:9">
      <c r="C31" s="480">
        <v>26</v>
      </c>
      <c r="D31" s="481">
        <v>553</v>
      </c>
      <c r="E31" s="192">
        <v>45695</v>
      </c>
      <c r="F31" s="482" t="s">
        <v>109</v>
      </c>
      <c r="G31" s="482">
        <v>35750</v>
      </c>
      <c r="H31" s="482" t="s">
        <v>25</v>
      </c>
      <c r="I31" s="484"/>
    </row>
    <row r="32" spans="3:9">
      <c r="C32" s="480">
        <v>27</v>
      </c>
      <c r="D32" s="481">
        <v>552</v>
      </c>
      <c r="E32" s="192">
        <v>45694</v>
      </c>
      <c r="F32" s="485" t="s">
        <v>109</v>
      </c>
      <c r="G32" s="486">
        <v>35910</v>
      </c>
      <c r="H32" s="487" t="s">
        <v>25</v>
      </c>
      <c r="I32" s="484"/>
    </row>
    <row r="33" spans="3:9">
      <c r="C33" s="480"/>
      <c r="D33" s="481"/>
      <c r="E33" s="488" t="s">
        <v>148</v>
      </c>
      <c r="F33" s="485"/>
      <c r="G33" s="486"/>
      <c r="H33" s="487"/>
      <c r="I33" s="484"/>
    </row>
    <row r="34" spans="3:9">
      <c r="C34" s="480">
        <v>28</v>
      </c>
      <c r="D34" s="481">
        <v>563</v>
      </c>
      <c r="E34" s="192">
        <v>45701</v>
      </c>
      <c r="F34" s="485" t="s">
        <v>109</v>
      </c>
      <c r="G34" s="486">
        <v>35890</v>
      </c>
      <c r="H34" s="487" t="s">
        <v>25</v>
      </c>
      <c r="I34" s="484"/>
    </row>
    <row r="35" spans="3:9">
      <c r="C35" s="480">
        <v>29</v>
      </c>
      <c r="D35" s="481">
        <v>571</v>
      </c>
      <c r="E35" s="192">
        <v>45703</v>
      </c>
      <c r="F35" s="485" t="s">
        <v>109</v>
      </c>
      <c r="G35" s="486">
        <v>36110</v>
      </c>
      <c r="H35" s="487" t="s">
        <v>25</v>
      </c>
      <c r="I35" s="484"/>
    </row>
    <row r="36" spans="3:9">
      <c r="C36" s="480">
        <v>30</v>
      </c>
      <c r="D36" s="481">
        <v>591</v>
      </c>
      <c r="E36" s="192">
        <v>45714</v>
      </c>
      <c r="F36" s="485" t="s">
        <v>109</v>
      </c>
      <c r="G36" s="486">
        <v>36800</v>
      </c>
      <c r="H36" s="487" t="s">
        <v>25</v>
      </c>
      <c r="I36" s="484"/>
    </row>
    <row r="37" spans="3:9">
      <c r="C37" s="480">
        <v>31</v>
      </c>
      <c r="D37" s="481">
        <v>592</v>
      </c>
      <c r="E37" s="192">
        <v>45714</v>
      </c>
      <c r="F37" s="485" t="s">
        <v>109</v>
      </c>
      <c r="G37" s="486">
        <v>36800</v>
      </c>
      <c r="H37" s="487" t="s">
        <v>25</v>
      </c>
      <c r="I37" s="484"/>
    </row>
    <row r="38" spans="3:9">
      <c r="C38" s="480">
        <v>32</v>
      </c>
      <c r="D38" s="481">
        <v>593</v>
      </c>
      <c r="E38" s="192">
        <v>45715</v>
      </c>
      <c r="F38" s="485" t="s">
        <v>109</v>
      </c>
      <c r="G38" s="486">
        <v>36800</v>
      </c>
      <c r="H38" s="487" t="s">
        <v>25</v>
      </c>
      <c r="I38" s="484"/>
    </row>
    <row r="39" spans="3:9">
      <c r="C39" s="480">
        <v>33</v>
      </c>
      <c r="D39" s="481">
        <v>600</v>
      </c>
      <c r="E39" s="192">
        <v>45717</v>
      </c>
      <c r="F39" s="485" t="s">
        <v>109</v>
      </c>
      <c r="G39" s="486">
        <v>36800</v>
      </c>
      <c r="H39" s="487" t="s">
        <v>25</v>
      </c>
      <c r="I39" s="484"/>
    </row>
    <row r="40" spans="3:9">
      <c r="C40" s="480">
        <v>34</v>
      </c>
      <c r="D40" s="481">
        <v>202</v>
      </c>
      <c r="E40" s="192">
        <v>45720</v>
      </c>
      <c r="F40" s="485" t="s">
        <v>109</v>
      </c>
      <c r="G40" s="486">
        <v>36800</v>
      </c>
      <c r="H40" s="487" t="s">
        <v>25</v>
      </c>
      <c r="I40" s="484"/>
    </row>
    <row r="41" spans="3:9">
      <c r="C41" s="480">
        <v>35</v>
      </c>
      <c r="D41" s="481">
        <v>205</v>
      </c>
      <c r="E41" s="192">
        <v>45720</v>
      </c>
      <c r="F41" s="485" t="s">
        <v>109</v>
      </c>
      <c r="G41" s="486">
        <v>36300</v>
      </c>
      <c r="H41" s="487" t="s">
        <v>25</v>
      </c>
      <c r="I41" s="484"/>
    </row>
    <row r="42" spans="3:9">
      <c r="C42" s="480">
        <v>36</v>
      </c>
      <c r="D42" s="481">
        <v>206</v>
      </c>
      <c r="E42" s="192">
        <v>45720</v>
      </c>
      <c r="F42" s="485" t="s">
        <v>109</v>
      </c>
      <c r="G42" s="486">
        <v>35610</v>
      </c>
      <c r="H42" s="487" t="s">
        <v>25</v>
      </c>
      <c r="I42" s="484"/>
    </row>
    <row r="43" spans="3:9">
      <c r="C43" s="480">
        <v>37</v>
      </c>
      <c r="D43" s="481">
        <v>207</v>
      </c>
      <c r="E43" s="192">
        <v>45726</v>
      </c>
      <c r="F43" s="485" t="s">
        <v>109</v>
      </c>
      <c r="G43" s="486">
        <v>36800</v>
      </c>
      <c r="H43" s="487" t="s">
        <v>25</v>
      </c>
      <c r="I43" s="484"/>
    </row>
    <row r="44" spans="3:9">
      <c r="C44" s="480">
        <v>38</v>
      </c>
      <c r="D44" s="481">
        <v>208</v>
      </c>
      <c r="E44" s="192">
        <v>45726</v>
      </c>
      <c r="F44" s="485" t="s">
        <v>109</v>
      </c>
      <c r="G44" s="486">
        <v>36650</v>
      </c>
      <c r="H44" s="487" t="s">
        <v>25</v>
      </c>
      <c r="I44" s="484"/>
    </row>
    <row r="45" spans="3:9">
      <c r="C45" s="480">
        <v>39</v>
      </c>
      <c r="D45" s="481">
        <v>209</v>
      </c>
      <c r="E45" s="192">
        <v>45726</v>
      </c>
      <c r="F45" s="485" t="s">
        <v>109</v>
      </c>
      <c r="G45" s="486">
        <v>36250</v>
      </c>
      <c r="H45" s="487" t="s">
        <v>25</v>
      </c>
      <c r="I45" s="484"/>
    </row>
    <row r="46" spans="3:9">
      <c r="C46" s="480">
        <v>40</v>
      </c>
      <c r="D46" s="481">
        <v>210</v>
      </c>
      <c r="E46" s="192">
        <v>45727</v>
      </c>
      <c r="F46" s="485" t="s">
        <v>109</v>
      </c>
      <c r="G46" s="486">
        <v>36950</v>
      </c>
      <c r="H46" s="487" t="s">
        <v>25</v>
      </c>
      <c r="I46" s="484"/>
    </row>
    <row r="47" spans="3:9">
      <c r="C47" s="480">
        <v>41</v>
      </c>
      <c r="D47" s="481">
        <v>211</v>
      </c>
      <c r="E47" s="192">
        <v>45727</v>
      </c>
      <c r="F47" s="485" t="s">
        <v>109</v>
      </c>
      <c r="G47" s="486">
        <v>34900</v>
      </c>
      <c r="H47" s="487" t="s">
        <v>25</v>
      </c>
      <c r="I47" s="484"/>
    </row>
    <row r="48" spans="3:9">
      <c r="C48" s="480">
        <v>42</v>
      </c>
      <c r="D48" s="481">
        <v>212</v>
      </c>
      <c r="E48" s="192">
        <v>45727</v>
      </c>
      <c r="F48" s="485" t="s">
        <v>109</v>
      </c>
      <c r="G48" s="486">
        <v>38740</v>
      </c>
      <c r="H48" s="487" t="s">
        <v>25</v>
      </c>
      <c r="I48" s="484"/>
    </row>
    <row r="49" spans="3:9">
      <c r="C49" s="480">
        <v>43</v>
      </c>
      <c r="D49" s="481">
        <v>213</v>
      </c>
      <c r="E49" s="192">
        <v>45727</v>
      </c>
      <c r="F49" s="485" t="s">
        <v>109</v>
      </c>
      <c r="G49" s="486">
        <v>38640</v>
      </c>
      <c r="H49" s="487" t="s">
        <v>25</v>
      </c>
      <c r="I49" s="484"/>
    </row>
    <row r="50" spans="3:9">
      <c r="C50" s="480">
        <v>44</v>
      </c>
      <c r="D50" s="481">
        <v>216</v>
      </c>
      <c r="E50" s="192">
        <v>45736</v>
      </c>
      <c r="F50" s="485" t="s">
        <v>109</v>
      </c>
      <c r="G50" s="486">
        <v>36800</v>
      </c>
      <c r="H50" s="487" t="s">
        <v>25</v>
      </c>
      <c r="I50" s="484"/>
    </row>
    <row r="51" spans="3:9">
      <c r="C51" s="480">
        <v>45</v>
      </c>
      <c r="D51" s="481">
        <v>217</v>
      </c>
      <c r="E51" s="192">
        <v>45737</v>
      </c>
      <c r="F51" s="485" t="s">
        <v>109</v>
      </c>
      <c r="G51" s="486">
        <v>36800</v>
      </c>
      <c r="H51" s="487" t="s">
        <v>25</v>
      </c>
      <c r="I51" s="484"/>
    </row>
    <row r="52" spans="3:9">
      <c r="C52" s="480">
        <v>46</v>
      </c>
      <c r="D52" s="481">
        <v>218</v>
      </c>
      <c r="E52" s="192">
        <v>45738</v>
      </c>
      <c r="F52" s="485" t="s">
        <v>109</v>
      </c>
      <c r="G52" s="486">
        <v>36800</v>
      </c>
      <c r="H52" s="487" t="s">
        <v>25</v>
      </c>
      <c r="I52" s="484"/>
    </row>
    <row r="53" spans="3:9">
      <c r="C53" s="480">
        <v>47</v>
      </c>
      <c r="D53" s="481">
        <v>219</v>
      </c>
      <c r="E53" s="192">
        <v>45738</v>
      </c>
      <c r="F53" s="485" t="s">
        <v>109</v>
      </c>
      <c r="G53" s="486">
        <v>36800</v>
      </c>
      <c r="H53" s="487" t="s">
        <v>25</v>
      </c>
      <c r="I53" s="484"/>
    </row>
    <row r="54" spans="3:9">
      <c r="C54" s="480">
        <v>48</v>
      </c>
      <c r="D54" s="481">
        <v>222</v>
      </c>
      <c r="E54" s="192">
        <v>45749</v>
      </c>
      <c r="F54" s="485" t="s">
        <v>109</v>
      </c>
      <c r="G54" s="486">
        <v>36800</v>
      </c>
      <c r="H54" s="487" t="s">
        <v>25</v>
      </c>
      <c r="I54" s="484"/>
    </row>
    <row r="55" spans="3:9">
      <c r="C55" s="480">
        <v>49</v>
      </c>
      <c r="D55" s="481">
        <v>223</v>
      </c>
      <c r="E55" s="192">
        <v>45751</v>
      </c>
      <c r="F55" s="485" t="s">
        <v>109</v>
      </c>
      <c r="G55" s="486">
        <v>36800</v>
      </c>
      <c r="H55" s="487" t="s">
        <v>25</v>
      </c>
      <c r="I55" s="484"/>
    </row>
    <row r="56" spans="3:9">
      <c r="C56" s="480">
        <v>50</v>
      </c>
      <c r="D56" s="481">
        <v>224</v>
      </c>
      <c r="E56" s="192">
        <v>45754</v>
      </c>
      <c r="F56" s="485" t="s">
        <v>109</v>
      </c>
      <c r="G56" s="486">
        <v>36800</v>
      </c>
      <c r="H56" s="487" t="s">
        <v>25</v>
      </c>
      <c r="I56" s="484"/>
    </row>
    <row r="57" spans="3:9">
      <c r="C57" s="480">
        <v>51</v>
      </c>
      <c r="D57" s="481">
        <v>225</v>
      </c>
      <c r="E57" s="192">
        <v>45754</v>
      </c>
      <c r="F57" s="485" t="s">
        <v>109</v>
      </c>
      <c r="G57" s="486">
        <v>36800</v>
      </c>
      <c r="H57" s="487" t="s">
        <v>25</v>
      </c>
      <c r="I57" s="484"/>
    </row>
    <row r="58" spans="3:9">
      <c r="C58" s="480">
        <v>52</v>
      </c>
      <c r="D58" s="481">
        <v>226</v>
      </c>
      <c r="E58" s="192">
        <v>45756</v>
      </c>
      <c r="F58" s="485" t="s">
        <v>109</v>
      </c>
      <c r="G58" s="486">
        <v>36800</v>
      </c>
      <c r="H58" s="487" t="s">
        <v>25</v>
      </c>
      <c r="I58" s="484"/>
    </row>
    <row r="59" spans="3:9">
      <c r="C59" s="480">
        <v>53</v>
      </c>
      <c r="D59" s="481">
        <v>228</v>
      </c>
      <c r="E59" s="192">
        <v>45758</v>
      </c>
      <c r="F59" s="485" t="s">
        <v>109</v>
      </c>
      <c r="G59" s="486">
        <v>48200</v>
      </c>
      <c r="H59" s="487" t="s">
        <v>25</v>
      </c>
      <c r="I59" s="484"/>
    </row>
    <row r="60" spans="3:9">
      <c r="C60" s="480">
        <v>54</v>
      </c>
      <c r="D60" s="481">
        <v>233</v>
      </c>
      <c r="E60" s="192">
        <v>45761</v>
      </c>
      <c r="F60" s="485" t="s">
        <v>109</v>
      </c>
      <c r="G60" s="486">
        <v>48210</v>
      </c>
      <c r="H60" s="487" t="s">
        <v>25</v>
      </c>
      <c r="I60" s="484"/>
    </row>
    <row r="61" spans="3:9">
      <c r="C61" s="480">
        <v>55</v>
      </c>
      <c r="D61" s="481">
        <v>234</v>
      </c>
      <c r="E61" s="192">
        <v>45761</v>
      </c>
      <c r="F61" s="485" t="s">
        <v>109</v>
      </c>
      <c r="G61" s="486">
        <v>46420</v>
      </c>
      <c r="H61" s="487" t="s">
        <v>25</v>
      </c>
      <c r="I61" s="484"/>
    </row>
    <row r="62" spans="3:9">
      <c r="C62" s="480">
        <v>56</v>
      </c>
      <c r="D62" s="481">
        <v>235</v>
      </c>
      <c r="E62" s="192">
        <v>45762</v>
      </c>
      <c r="F62" s="485" t="s">
        <v>109</v>
      </c>
      <c r="G62" s="486">
        <v>46710</v>
      </c>
      <c r="H62" s="487" t="s">
        <v>25</v>
      </c>
      <c r="I62" s="484"/>
    </row>
    <row r="63" spans="3:9">
      <c r="C63" s="480">
        <v>57</v>
      </c>
      <c r="D63" s="481">
        <v>245</v>
      </c>
      <c r="E63" s="192">
        <v>45786</v>
      </c>
      <c r="F63" s="485" t="s">
        <v>109</v>
      </c>
      <c r="G63" s="486">
        <v>46800</v>
      </c>
      <c r="H63" s="487" t="s">
        <v>25</v>
      </c>
      <c r="I63" s="484"/>
    </row>
    <row r="64" spans="3:9">
      <c r="C64" s="480">
        <v>58</v>
      </c>
      <c r="D64" s="481">
        <v>246</v>
      </c>
      <c r="E64" s="192">
        <v>45786</v>
      </c>
      <c r="F64" s="485" t="s">
        <v>109</v>
      </c>
      <c r="G64" s="486">
        <v>47910</v>
      </c>
      <c r="H64" s="487" t="s">
        <v>25</v>
      </c>
      <c r="I64" s="484"/>
    </row>
    <row r="65" spans="3:9">
      <c r="C65" s="480">
        <v>59</v>
      </c>
      <c r="D65" s="481">
        <v>707</v>
      </c>
      <c r="E65" s="192">
        <v>45811</v>
      </c>
      <c r="F65" s="485" t="s">
        <v>109</v>
      </c>
      <c r="G65" s="486">
        <v>34480</v>
      </c>
      <c r="H65" s="487" t="s">
        <v>25</v>
      </c>
      <c r="I65" s="484"/>
    </row>
    <row r="66" spans="3:9">
      <c r="C66" s="480">
        <v>60</v>
      </c>
      <c r="D66" s="481">
        <v>709</v>
      </c>
      <c r="E66" s="192">
        <v>45812</v>
      </c>
      <c r="F66" s="485" t="s">
        <v>109</v>
      </c>
      <c r="G66" s="486">
        <v>46840</v>
      </c>
      <c r="H66" s="487" t="s">
        <v>25</v>
      </c>
      <c r="I66" s="484"/>
    </row>
    <row r="67" spans="3:9" ht="15" thickBot="1">
      <c r="C67" s="480">
        <v>61</v>
      </c>
      <c r="D67" s="481">
        <v>710</v>
      </c>
      <c r="E67" s="192">
        <v>45812</v>
      </c>
      <c r="F67" s="485" t="s">
        <v>109</v>
      </c>
      <c r="G67" s="486">
        <v>37100</v>
      </c>
      <c r="H67" s="487" t="s">
        <v>25</v>
      </c>
      <c r="I67" s="484"/>
    </row>
    <row r="68" spans="3:9">
      <c r="C68" s="480"/>
      <c r="D68" s="481"/>
      <c r="E68" s="192"/>
      <c r="F68" s="489"/>
      <c r="G68" s="490">
        <f>SUM(G6:G67)</f>
        <v>2273209</v>
      </c>
      <c r="H68" s="491"/>
      <c r="I68" s="484"/>
    </row>
    <row r="69" spans="3:9" ht="15.75" thickBot="1">
      <c r="C69" s="492"/>
      <c r="D69" s="493"/>
      <c r="E69" s="494"/>
      <c r="F69" s="495"/>
      <c r="G69" s="496">
        <f>+G68/2100</f>
        <v>1082.4804761904761</v>
      </c>
      <c r="H69" s="497" t="s">
        <v>28</v>
      </c>
      <c r="I69" s="498"/>
    </row>
    <row r="70" spans="3:9">
      <c r="C70" s="490">
        <v>1</v>
      </c>
      <c r="D70" s="499">
        <v>672</v>
      </c>
      <c r="E70" s="500">
        <v>45678</v>
      </c>
      <c r="F70" s="501" t="s">
        <v>110</v>
      </c>
      <c r="G70" s="501">
        <v>32900</v>
      </c>
      <c r="H70" s="501" t="s">
        <v>25</v>
      </c>
      <c r="I70" s="491"/>
    </row>
    <row r="71" spans="3:9">
      <c r="C71" s="480">
        <v>2</v>
      </c>
      <c r="D71" s="481">
        <v>673</v>
      </c>
      <c r="E71" s="192">
        <v>45679</v>
      </c>
      <c r="F71" s="482" t="s">
        <v>110</v>
      </c>
      <c r="G71" s="482">
        <v>34250</v>
      </c>
      <c r="H71" s="482" t="s">
        <v>25</v>
      </c>
      <c r="I71" s="483"/>
    </row>
    <row r="72" spans="3:9">
      <c r="C72" s="480">
        <v>3</v>
      </c>
      <c r="D72" s="481">
        <v>674</v>
      </c>
      <c r="E72" s="192">
        <v>45679</v>
      </c>
      <c r="F72" s="482" t="s">
        <v>110</v>
      </c>
      <c r="G72" s="482">
        <v>35630</v>
      </c>
      <c r="H72" s="482" t="s">
        <v>25</v>
      </c>
      <c r="I72" s="483"/>
    </row>
    <row r="73" spans="3:9">
      <c r="C73" s="480">
        <v>4</v>
      </c>
      <c r="D73" s="481">
        <v>675</v>
      </c>
      <c r="E73" s="192">
        <v>45679</v>
      </c>
      <c r="F73" s="482" t="s">
        <v>110</v>
      </c>
      <c r="G73" s="482">
        <v>36490</v>
      </c>
      <c r="H73" s="482" t="s">
        <v>25</v>
      </c>
      <c r="I73" s="483"/>
    </row>
    <row r="74" spans="3:9">
      <c r="C74" s="480">
        <v>5</v>
      </c>
      <c r="D74" s="481">
        <v>676</v>
      </c>
      <c r="E74" s="192">
        <v>45680</v>
      </c>
      <c r="F74" s="482" t="s">
        <v>110</v>
      </c>
      <c r="G74" s="482">
        <v>36110</v>
      </c>
      <c r="H74" s="482" t="s">
        <v>25</v>
      </c>
      <c r="I74" s="483"/>
    </row>
    <row r="75" spans="3:9">
      <c r="C75" s="480">
        <v>6</v>
      </c>
      <c r="D75" s="481">
        <v>677</v>
      </c>
      <c r="E75" s="192">
        <v>45680</v>
      </c>
      <c r="F75" s="482" t="s">
        <v>110</v>
      </c>
      <c r="G75" s="482">
        <v>35910</v>
      </c>
      <c r="H75" s="482" t="s">
        <v>25</v>
      </c>
      <c r="I75" s="483"/>
    </row>
    <row r="76" spans="3:9">
      <c r="C76" s="480">
        <v>7</v>
      </c>
      <c r="D76" s="481">
        <v>678</v>
      </c>
      <c r="E76" s="192">
        <v>45680</v>
      </c>
      <c r="F76" s="482" t="s">
        <v>110</v>
      </c>
      <c r="G76" s="482">
        <v>35900</v>
      </c>
      <c r="H76" s="482" t="s">
        <v>25</v>
      </c>
      <c r="I76" s="483"/>
    </row>
    <row r="77" spans="3:9">
      <c r="C77" s="480">
        <v>8</v>
      </c>
      <c r="D77" s="481">
        <v>679</v>
      </c>
      <c r="E77" s="192">
        <v>45680</v>
      </c>
      <c r="F77" s="482" t="s">
        <v>110</v>
      </c>
      <c r="G77" s="482">
        <v>36500</v>
      </c>
      <c r="H77" s="482" t="s">
        <v>25</v>
      </c>
      <c r="I77" s="483"/>
    </row>
    <row r="78" spans="3:9">
      <c r="C78" s="480">
        <v>9</v>
      </c>
      <c r="D78" s="481">
        <v>680</v>
      </c>
      <c r="E78" s="192">
        <v>45680</v>
      </c>
      <c r="F78" s="482" t="s">
        <v>110</v>
      </c>
      <c r="G78" s="482">
        <v>36890</v>
      </c>
      <c r="H78" s="482" t="s">
        <v>25</v>
      </c>
      <c r="I78" s="483"/>
    </row>
    <row r="79" spans="3:9">
      <c r="C79" s="480">
        <v>10</v>
      </c>
      <c r="D79" s="481">
        <v>681</v>
      </c>
      <c r="E79" s="192">
        <v>45680</v>
      </c>
      <c r="F79" s="482" t="s">
        <v>110</v>
      </c>
      <c r="G79" s="482">
        <v>38520</v>
      </c>
      <c r="H79" s="482" t="s">
        <v>25</v>
      </c>
      <c r="I79" s="483"/>
    </row>
    <row r="80" spans="3:9">
      <c r="C80" s="480">
        <v>11</v>
      </c>
      <c r="D80" s="481">
        <v>681</v>
      </c>
      <c r="E80" s="192">
        <v>45681</v>
      </c>
      <c r="F80" s="482" t="s">
        <v>110</v>
      </c>
      <c r="G80" s="482">
        <v>36190</v>
      </c>
      <c r="H80" s="482" t="s">
        <v>25</v>
      </c>
      <c r="I80" s="483"/>
    </row>
    <row r="81" spans="3:9">
      <c r="C81" s="480">
        <v>12</v>
      </c>
      <c r="D81" s="481">
        <v>684</v>
      </c>
      <c r="E81" s="192">
        <v>45682</v>
      </c>
      <c r="F81" s="482" t="s">
        <v>110</v>
      </c>
      <c r="G81" s="502">
        <v>36410</v>
      </c>
      <c r="H81" s="502" t="s">
        <v>25</v>
      </c>
      <c r="I81" s="483"/>
    </row>
    <row r="82" spans="3:9">
      <c r="C82" s="480">
        <v>13</v>
      </c>
      <c r="D82" s="481">
        <v>560</v>
      </c>
      <c r="E82" s="192">
        <v>45697</v>
      </c>
      <c r="F82" s="489" t="s">
        <v>110</v>
      </c>
      <c r="G82" s="486">
        <v>35750</v>
      </c>
      <c r="H82" s="487" t="s">
        <v>25</v>
      </c>
      <c r="I82" s="484"/>
    </row>
    <row r="83" spans="3:9">
      <c r="C83" s="480">
        <v>14</v>
      </c>
      <c r="D83" s="481">
        <v>562</v>
      </c>
      <c r="E83" s="192">
        <v>45700</v>
      </c>
      <c r="F83" s="489" t="s">
        <v>110</v>
      </c>
      <c r="G83" s="486">
        <v>35910</v>
      </c>
      <c r="H83" s="487" t="s">
        <v>25</v>
      </c>
      <c r="I83" s="484"/>
    </row>
    <row r="84" spans="3:9">
      <c r="C84" s="480">
        <v>15</v>
      </c>
      <c r="D84" s="481">
        <v>565</v>
      </c>
      <c r="E84" s="192">
        <v>45702</v>
      </c>
      <c r="F84" s="489" t="s">
        <v>110</v>
      </c>
      <c r="G84" s="486">
        <v>35900</v>
      </c>
      <c r="H84" s="487" t="s">
        <v>25</v>
      </c>
      <c r="I84" s="484"/>
    </row>
    <row r="85" spans="3:9">
      <c r="C85" s="480">
        <v>16</v>
      </c>
      <c r="D85" s="481">
        <v>566</v>
      </c>
      <c r="E85" s="192">
        <v>45702</v>
      </c>
      <c r="F85" s="489" t="s">
        <v>110</v>
      </c>
      <c r="G85" s="486">
        <v>35980</v>
      </c>
      <c r="H85" s="487" t="s">
        <v>25</v>
      </c>
      <c r="I85" s="484"/>
    </row>
    <row r="86" spans="3:9">
      <c r="C86" s="480">
        <v>17</v>
      </c>
      <c r="D86" s="481">
        <v>567</v>
      </c>
      <c r="E86" s="192">
        <v>45702</v>
      </c>
      <c r="F86" s="489" t="s">
        <v>110</v>
      </c>
      <c r="G86" s="486">
        <v>36240</v>
      </c>
      <c r="H86" s="487" t="s">
        <v>25</v>
      </c>
      <c r="I86" s="484"/>
    </row>
    <row r="87" spans="3:9">
      <c r="C87" s="480">
        <v>18</v>
      </c>
      <c r="D87" s="481">
        <v>568</v>
      </c>
      <c r="E87" s="192">
        <v>45702</v>
      </c>
      <c r="F87" s="489" t="s">
        <v>110</v>
      </c>
      <c r="G87" s="486">
        <v>36280</v>
      </c>
      <c r="H87" s="487" t="s">
        <v>25</v>
      </c>
      <c r="I87" s="484"/>
    </row>
    <row r="88" spans="3:9">
      <c r="C88" s="480">
        <v>19</v>
      </c>
      <c r="D88" s="481">
        <v>569</v>
      </c>
      <c r="E88" s="192">
        <v>45702</v>
      </c>
      <c r="F88" s="489" t="s">
        <v>110</v>
      </c>
      <c r="G88" s="486">
        <v>36330</v>
      </c>
      <c r="H88" s="487" t="s">
        <v>25</v>
      </c>
      <c r="I88" s="484"/>
    </row>
    <row r="89" spans="3:9">
      <c r="C89" s="480">
        <v>20</v>
      </c>
      <c r="D89" s="481">
        <v>570</v>
      </c>
      <c r="E89" s="192">
        <v>45702</v>
      </c>
      <c r="F89" s="489" t="s">
        <v>110</v>
      </c>
      <c r="G89" s="486">
        <v>36500</v>
      </c>
      <c r="H89" s="487" t="s">
        <v>25</v>
      </c>
      <c r="I89" s="484"/>
    </row>
    <row r="90" spans="3:9">
      <c r="C90" s="480">
        <v>21</v>
      </c>
      <c r="D90" s="481">
        <v>578</v>
      </c>
      <c r="E90" s="192">
        <v>45709</v>
      </c>
      <c r="F90" s="489" t="s">
        <v>110</v>
      </c>
      <c r="G90" s="486">
        <v>35860</v>
      </c>
      <c r="H90" s="487" t="s">
        <v>25</v>
      </c>
      <c r="I90" s="484"/>
    </row>
    <row r="91" spans="3:9">
      <c r="C91" s="480">
        <v>22</v>
      </c>
      <c r="D91" s="481">
        <v>579</v>
      </c>
      <c r="E91" s="192">
        <v>45709</v>
      </c>
      <c r="F91" s="489" t="s">
        <v>110</v>
      </c>
      <c r="G91" s="486">
        <v>37830</v>
      </c>
      <c r="H91" s="487" t="s">
        <v>25</v>
      </c>
      <c r="I91" s="484"/>
    </row>
    <row r="92" spans="3:9">
      <c r="C92" s="480">
        <v>23</v>
      </c>
      <c r="D92" s="481">
        <v>580</v>
      </c>
      <c r="E92" s="192">
        <v>45709</v>
      </c>
      <c r="F92" s="489" t="s">
        <v>110</v>
      </c>
      <c r="G92" s="486">
        <v>33460</v>
      </c>
      <c r="H92" s="487" t="s">
        <v>25</v>
      </c>
      <c r="I92" s="484"/>
    </row>
    <row r="93" spans="3:9">
      <c r="C93" s="480">
        <v>24</v>
      </c>
      <c r="D93" s="481">
        <v>581</v>
      </c>
      <c r="E93" s="192">
        <v>45709</v>
      </c>
      <c r="F93" s="489" t="s">
        <v>110</v>
      </c>
      <c r="G93" s="486">
        <v>34890</v>
      </c>
      <c r="H93" s="487" t="s">
        <v>25</v>
      </c>
      <c r="I93" s="484"/>
    </row>
    <row r="94" spans="3:9">
      <c r="C94" s="480">
        <v>25</v>
      </c>
      <c r="D94" s="481">
        <v>585</v>
      </c>
      <c r="E94" s="192">
        <v>45710</v>
      </c>
      <c r="F94" s="489" t="s">
        <v>110</v>
      </c>
      <c r="G94" s="486">
        <v>46410</v>
      </c>
      <c r="H94" s="487" t="s">
        <v>25</v>
      </c>
      <c r="I94" s="484"/>
    </row>
    <row r="95" spans="3:9">
      <c r="C95" s="480">
        <v>26</v>
      </c>
      <c r="D95" s="481">
        <v>586</v>
      </c>
      <c r="E95" s="192">
        <v>45711</v>
      </c>
      <c r="F95" s="489" t="s">
        <v>110</v>
      </c>
      <c r="G95" s="486">
        <v>43370</v>
      </c>
      <c r="H95" s="487" t="s">
        <v>25</v>
      </c>
      <c r="I95" s="484"/>
    </row>
    <row r="96" spans="3:9">
      <c r="C96" s="480">
        <v>27</v>
      </c>
      <c r="D96" s="481">
        <v>587</v>
      </c>
      <c r="E96" s="192">
        <v>45711</v>
      </c>
      <c r="F96" s="489" t="s">
        <v>110</v>
      </c>
      <c r="G96" s="486">
        <v>36080</v>
      </c>
      <c r="H96" s="487" t="s">
        <v>25</v>
      </c>
      <c r="I96" s="484"/>
    </row>
    <row r="97" spans="3:9">
      <c r="C97" s="480">
        <v>28</v>
      </c>
      <c r="D97" s="481">
        <v>588</v>
      </c>
      <c r="E97" s="192">
        <v>45711</v>
      </c>
      <c r="F97" s="489" t="s">
        <v>110</v>
      </c>
      <c r="G97" s="486">
        <v>46410</v>
      </c>
      <c r="H97" s="487" t="s">
        <v>25</v>
      </c>
      <c r="I97" s="484"/>
    </row>
    <row r="98" spans="3:9">
      <c r="C98" s="480">
        <v>29</v>
      </c>
      <c r="D98" s="481">
        <v>589</v>
      </c>
      <c r="E98" s="192">
        <v>45711</v>
      </c>
      <c r="F98" s="489" t="s">
        <v>110</v>
      </c>
      <c r="G98" s="486">
        <v>46410</v>
      </c>
      <c r="H98" s="487" t="s">
        <v>25</v>
      </c>
      <c r="I98" s="484"/>
    </row>
    <row r="99" spans="3:9">
      <c r="C99" s="480">
        <v>30</v>
      </c>
      <c r="D99" s="481">
        <v>590</v>
      </c>
      <c r="E99" s="192">
        <v>45712</v>
      </c>
      <c r="F99" s="489" t="s">
        <v>110</v>
      </c>
      <c r="G99" s="486">
        <v>34020</v>
      </c>
      <c r="H99" s="487" t="s">
        <v>25</v>
      </c>
      <c r="I99" s="484"/>
    </row>
    <row r="100" spans="3:9">
      <c r="C100" s="480">
        <v>31</v>
      </c>
      <c r="D100" s="481">
        <v>595</v>
      </c>
      <c r="E100" s="192">
        <v>45715</v>
      </c>
      <c r="F100" s="489" t="s">
        <v>110</v>
      </c>
      <c r="G100" s="486">
        <v>46410</v>
      </c>
      <c r="H100" s="487" t="s">
        <v>25</v>
      </c>
      <c r="I100" s="484"/>
    </row>
    <row r="101" spans="3:9">
      <c r="C101" s="480">
        <v>32</v>
      </c>
      <c r="D101" s="481">
        <v>596</v>
      </c>
      <c r="E101" s="192">
        <v>45715</v>
      </c>
      <c r="F101" s="489" t="s">
        <v>110</v>
      </c>
      <c r="G101" s="486">
        <v>46410</v>
      </c>
      <c r="H101" s="487" t="s">
        <v>25</v>
      </c>
      <c r="I101" s="484"/>
    </row>
    <row r="102" spans="3:9">
      <c r="C102" s="480">
        <v>33</v>
      </c>
      <c r="D102" s="481">
        <v>203</v>
      </c>
      <c r="E102" s="192">
        <v>45720</v>
      </c>
      <c r="F102" s="489" t="s">
        <v>110</v>
      </c>
      <c r="G102" s="486">
        <v>46410</v>
      </c>
      <c r="H102" s="487" t="s">
        <v>25</v>
      </c>
      <c r="I102" s="484"/>
    </row>
    <row r="103" spans="3:9">
      <c r="C103" s="480">
        <v>34</v>
      </c>
      <c r="D103" s="481">
        <v>229</v>
      </c>
      <c r="E103" s="192">
        <v>45758</v>
      </c>
      <c r="F103" s="489" t="s">
        <v>110</v>
      </c>
      <c r="G103" s="486">
        <v>48310</v>
      </c>
      <c r="H103" s="487" t="s">
        <v>25</v>
      </c>
      <c r="I103" s="484"/>
    </row>
    <row r="104" spans="3:9">
      <c r="C104" s="480">
        <v>35</v>
      </c>
      <c r="D104" s="481">
        <v>231</v>
      </c>
      <c r="E104" s="192">
        <v>45761</v>
      </c>
      <c r="F104" s="489" t="s">
        <v>110</v>
      </c>
      <c r="G104" s="486">
        <v>46580</v>
      </c>
      <c r="H104" s="487" t="s">
        <v>25</v>
      </c>
      <c r="I104" s="484"/>
    </row>
    <row r="105" spans="3:9">
      <c r="C105" s="480">
        <v>36</v>
      </c>
      <c r="D105" s="481">
        <v>232</v>
      </c>
      <c r="E105" s="192">
        <v>45761</v>
      </c>
      <c r="F105" s="489" t="s">
        <v>110</v>
      </c>
      <c r="G105" s="486">
        <v>34750</v>
      </c>
      <c r="H105" s="487" t="s">
        <v>25</v>
      </c>
      <c r="I105" s="484"/>
    </row>
    <row r="106" spans="3:9">
      <c r="C106" s="480">
        <v>37</v>
      </c>
      <c r="D106" s="481">
        <v>233</v>
      </c>
      <c r="E106" s="192">
        <v>45761</v>
      </c>
      <c r="F106" s="489" t="s">
        <v>110</v>
      </c>
      <c r="G106" s="486">
        <v>48210</v>
      </c>
      <c r="H106" s="487" t="s">
        <v>25</v>
      </c>
      <c r="I106" s="484"/>
    </row>
    <row r="107" spans="3:9">
      <c r="C107" s="480">
        <v>38</v>
      </c>
      <c r="D107" s="481">
        <v>234</v>
      </c>
      <c r="E107" s="192">
        <v>45761</v>
      </c>
      <c r="F107" s="489" t="s">
        <v>110</v>
      </c>
      <c r="G107" s="486">
        <v>46420</v>
      </c>
      <c r="H107" s="487" t="s">
        <v>25</v>
      </c>
      <c r="I107" s="484"/>
    </row>
    <row r="108" spans="3:9">
      <c r="C108" s="480">
        <v>39</v>
      </c>
      <c r="D108" s="481">
        <v>236</v>
      </c>
      <c r="E108" s="192">
        <v>45769</v>
      </c>
      <c r="F108" s="489" t="s">
        <v>110</v>
      </c>
      <c r="G108" s="486">
        <v>48260</v>
      </c>
      <c r="H108" s="487" t="s">
        <v>25</v>
      </c>
      <c r="I108" s="484"/>
    </row>
    <row r="109" spans="3:9">
      <c r="C109" s="480">
        <v>40</v>
      </c>
      <c r="D109" s="481">
        <v>237</v>
      </c>
      <c r="E109" s="192">
        <v>45769</v>
      </c>
      <c r="F109" s="489" t="s">
        <v>110</v>
      </c>
      <c r="G109" s="486">
        <v>38240</v>
      </c>
      <c r="H109" s="487" t="s">
        <v>25</v>
      </c>
      <c r="I109" s="484"/>
    </row>
    <row r="110" spans="3:9">
      <c r="C110" s="480">
        <v>41</v>
      </c>
      <c r="D110" s="481">
        <v>238</v>
      </c>
      <c r="E110" s="192">
        <v>45769</v>
      </c>
      <c r="F110" s="489" t="s">
        <v>110</v>
      </c>
      <c r="G110" s="486">
        <v>38480</v>
      </c>
      <c r="H110" s="487" t="s">
        <v>25</v>
      </c>
      <c r="I110" s="484"/>
    </row>
    <row r="111" spans="3:9">
      <c r="C111" s="480">
        <v>42</v>
      </c>
      <c r="D111" s="481">
        <v>239</v>
      </c>
      <c r="E111" s="192">
        <v>45770</v>
      </c>
      <c r="F111" s="489" t="s">
        <v>110</v>
      </c>
      <c r="G111" s="486">
        <v>38690</v>
      </c>
      <c r="H111" s="487" t="s">
        <v>25</v>
      </c>
      <c r="I111" s="484"/>
    </row>
    <row r="112" spans="3:9">
      <c r="C112" s="480">
        <v>43</v>
      </c>
      <c r="D112" s="481">
        <v>240</v>
      </c>
      <c r="E112" s="192">
        <v>45783</v>
      </c>
      <c r="F112" s="489" t="s">
        <v>110</v>
      </c>
      <c r="G112" s="486">
        <v>46210</v>
      </c>
      <c r="H112" s="487" t="s">
        <v>25</v>
      </c>
      <c r="I112" s="484"/>
    </row>
    <row r="113" spans="3:9">
      <c r="C113" s="480">
        <v>44</v>
      </c>
      <c r="D113" s="481">
        <v>241</v>
      </c>
      <c r="E113" s="192">
        <v>45783</v>
      </c>
      <c r="F113" s="489" t="s">
        <v>110</v>
      </c>
      <c r="G113" s="486">
        <v>38680</v>
      </c>
      <c r="H113" s="487" t="s">
        <v>25</v>
      </c>
      <c r="I113" s="484"/>
    </row>
    <row r="114" spans="3:9">
      <c r="C114" s="480">
        <v>45</v>
      </c>
      <c r="D114" s="481">
        <v>242</v>
      </c>
      <c r="E114" s="192">
        <v>45784</v>
      </c>
      <c r="F114" s="489" t="s">
        <v>110</v>
      </c>
      <c r="G114" s="486">
        <v>36960</v>
      </c>
      <c r="H114" s="487" t="s">
        <v>25</v>
      </c>
      <c r="I114" s="484"/>
    </row>
    <row r="115" spans="3:9">
      <c r="C115" s="480">
        <v>46</v>
      </c>
      <c r="D115" s="481">
        <v>243</v>
      </c>
      <c r="E115" s="192">
        <v>45784</v>
      </c>
      <c r="F115" s="489" t="s">
        <v>110</v>
      </c>
      <c r="G115" s="486">
        <v>34990</v>
      </c>
      <c r="H115" s="487" t="s">
        <v>25</v>
      </c>
      <c r="I115" s="484"/>
    </row>
    <row r="116" spans="3:9">
      <c r="C116" s="480">
        <v>47</v>
      </c>
      <c r="D116" s="481">
        <v>247</v>
      </c>
      <c r="E116" s="192">
        <v>45786</v>
      </c>
      <c r="F116" s="489" t="s">
        <v>110</v>
      </c>
      <c r="G116" s="486">
        <v>48710</v>
      </c>
      <c r="H116" s="487" t="s">
        <v>25</v>
      </c>
      <c r="I116" s="484"/>
    </row>
    <row r="117" spans="3:9">
      <c r="C117" s="480">
        <v>48</v>
      </c>
      <c r="D117" s="481">
        <v>249</v>
      </c>
      <c r="E117" s="192">
        <v>45792</v>
      </c>
      <c r="F117" s="489" t="s">
        <v>110</v>
      </c>
      <c r="G117" s="486">
        <v>47710</v>
      </c>
      <c r="H117" s="487" t="s">
        <v>25</v>
      </c>
      <c r="I117" s="484"/>
    </row>
    <row r="118" spans="3:9">
      <c r="C118" s="480">
        <v>49</v>
      </c>
      <c r="D118" s="481">
        <v>250</v>
      </c>
      <c r="E118" s="192">
        <v>45792</v>
      </c>
      <c r="F118" s="489" t="s">
        <v>110</v>
      </c>
      <c r="G118" s="486">
        <v>48710</v>
      </c>
      <c r="H118" s="487" t="s">
        <v>25</v>
      </c>
      <c r="I118" s="484"/>
    </row>
    <row r="119" spans="3:9">
      <c r="C119" s="480">
        <v>50</v>
      </c>
      <c r="D119" s="481">
        <v>702</v>
      </c>
      <c r="E119" s="192">
        <v>45792</v>
      </c>
      <c r="F119" s="489" t="s">
        <v>110</v>
      </c>
      <c r="G119" s="486">
        <v>48780</v>
      </c>
      <c r="H119" s="487" t="s">
        <v>25</v>
      </c>
      <c r="I119" s="484"/>
    </row>
    <row r="120" spans="3:9">
      <c r="C120" s="480">
        <v>51</v>
      </c>
      <c r="D120" s="481">
        <v>703</v>
      </c>
      <c r="E120" s="192">
        <v>45792</v>
      </c>
      <c r="F120" s="489" t="s">
        <v>110</v>
      </c>
      <c r="G120" s="486">
        <v>46890</v>
      </c>
      <c r="H120" s="487" t="s">
        <v>25</v>
      </c>
      <c r="I120" s="484"/>
    </row>
    <row r="121" spans="3:9">
      <c r="C121" s="480">
        <v>52</v>
      </c>
      <c r="D121" s="481">
        <v>706</v>
      </c>
      <c r="E121" s="192">
        <v>45811</v>
      </c>
      <c r="F121" s="489" t="s">
        <v>110</v>
      </c>
      <c r="G121" s="486">
        <v>37370</v>
      </c>
      <c r="H121" s="487" t="s">
        <v>25</v>
      </c>
      <c r="I121" s="484"/>
    </row>
    <row r="122" spans="3:9">
      <c r="C122" s="480">
        <v>53</v>
      </c>
      <c r="D122" s="481">
        <v>711</v>
      </c>
      <c r="E122" s="192">
        <v>45813</v>
      </c>
      <c r="F122" s="489" t="s">
        <v>110</v>
      </c>
      <c r="G122" s="486">
        <v>37470</v>
      </c>
      <c r="H122" s="487" t="s">
        <v>25</v>
      </c>
      <c r="I122" s="484"/>
    </row>
    <row r="123" spans="3:9">
      <c r="C123" s="480">
        <v>54</v>
      </c>
      <c r="D123" s="481">
        <v>712</v>
      </c>
      <c r="E123" s="192">
        <v>45814</v>
      </c>
      <c r="F123" s="489" t="s">
        <v>110</v>
      </c>
      <c r="G123" s="486">
        <v>37100</v>
      </c>
      <c r="H123" s="487" t="s">
        <v>25</v>
      </c>
      <c r="I123" s="484"/>
    </row>
    <row r="124" spans="3:9">
      <c r="C124" s="480">
        <v>55</v>
      </c>
      <c r="D124" s="481">
        <v>712</v>
      </c>
      <c r="E124" s="192">
        <v>45814</v>
      </c>
      <c r="F124" s="489" t="s">
        <v>110</v>
      </c>
      <c r="G124" s="486">
        <v>38140</v>
      </c>
      <c r="H124" s="487" t="s">
        <v>25</v>
      </c>
      <c r="I124" s="484"/>
    </row>
    <row r="125" spans="3:9">
      <c r="C125" s="480">
        <v>56</v>
      </c>
      <c r="D125" s="481">
        <v>712</v>
      </c>
      <c r="E125" s="192">
        <v>45814</v>
      </c>
      <c r="F125" s="489" t="s">
        <v>110</v>
      </c>
      <c r="G125" s="486">
        <v>38960</v>
      </c>
      <c r="H125" s="487" t="s">
        <v>25</v>
      </c>
      <c r="I125" s="484"/>
    </row>
    <row r="126" spans="3:9">
      <c r="C126" s="480">
        <v>57</v>
      </c>
      <c r="D126" s="481">
        <v>715</v>
      </c>
      <c r="E126" s="192">
        <v>45842</v>
      </c>
      <c r="F126" s="489" t="s">
        <v>110</v>
      </c>
      <c r="G126" s="486">
        <v>36410</v>
      </c>
      <c r="H126" s="487" t="s">
        <v>25</v>
      </c>
      <c r="I126" s="484"/>
    </row>
    <row r="127" spans="3:9">
      <c r="C127" s="480">
        <v>58</v>
      </c>
      <c r="D127" s="481">
        <v>716</v>
      </c>
      <c r="E127" s="192">
        <v>45843</v>
      </c>
      <c r="F127" s="489" t="s">
        <v>110</v>
      </c>
      <c r="G127" s="486">
        <v>37760</v>
      </c>
      <c r="H127" s="487" t="s">
        <v>25</v>
      </c>
      <c r="I127" s="484"/>
    </row>
    <row r="128" spans="3:9">
      <c r="C128" s="480">
        <v>59</v>
      </c>
      <c r="D128" s="481">
        <v>717</v>
      </c>
      <c r="E128" s="192">
        <v>45850</v>
      </c>
      <c r="F128" s="489" t="s">
        <v>110</v>
      </c>
      <c r="G128" s="486">
        <v>35890</v>
      </c>
      <c r="H128" s="487" t="s">
        <v>25</v>
      </c>
      <c r="I128" s="484"/>
    </row>
    <row r="129" spans="3:9" ht="15" thickBot="1">
      <c r="C129" s="480">
        <v>60</v>
      </c>
      <c r="D129" s="481">
        <v>718</v>
      </c>
      <c r="E129" s="192">
        <v>45850</v>
      </c>
      <c r="F129" s="489" t="s">
        <v>110</v>
      </c>
      <c r="G129" s="486">
        <v>37090</v>
      </c>
      <c r="H129" s="487" t="s">
        <v>25</v>
      </c>
      <c r="I129" s="484"/>
    </row>
    <row r="130" spans="3:9" ht="15">
      <c r="C130" s="480"/>
      <c r="D130" s="481"/>
      <c r="E130" s="192"/>
      <c r="F130" s="489"/>
      <c r="G130" s="503">
        <f>SUM(G70:G129)</f>
        <v>2376330</v>
      </c>
      <c r="H130" s="504"/>
      <c r="I130" s="484"/>
    </row>
    <row r="131" spans="3:9" ht="15.75" thickBot="1">
      <c r="C131" s="492"/>
      <c r="D131" s="493"/>
      <c r="E131" s="494"/>
      <c r="F131" s="495"/>
      <c r="G131" s="496">
        <f>+G130/2200</f>
        <v>1080.1500000000001</v>
      </c>
      <c r="H131" s="497" t="s">
        <v>28</v>
      </c>
      <c r="I131" s="484"/>
    </row>
    <row r="132" spans="3:9">
      <c r="C132" s="490">
        <v>1</v>
      </c>
      <c r="D132" s="499">
        <v>551</v>
      </c>
      <c r="E132" s="500">
        <v>45689</v>
      </c>
      <c r="F132" s="501" t="s">
        <v>111</v>
      </c>
      <c r="G132" s="501">
        <v>34200</v>
      </c>
      <c r="H132" s="501" t="s">
        <v>25</v>
      </c>
      <c r="I132" s="491"/>
    </row>
    <row r="133" spans="3:9">
      <c r="C133" s="480">
        <v>2</v>
      </c>
      <c r="D133" s="481">
        <v>654</v>
      </c>
      <c r="E133" s="192">
        <v>45646</v>
      </c>
      <c r="F133" s="482" t="s">
        <v>111</v>
      </c>
      <c r="G133" s="482">
        <v>32800</v>
      </c>
      <c r="H133" s="482" t="s">
        <v>25</v>
      </c>
      <c r="I133" s="483"/>
    </row>
    <row r="134" spans="3:9">
      <c r="C134" s="480">
        <v>3</v>
      </c>
      <c r="D134" s="481">
        <v>682</v>
      </c>
      <c r="E134" s="192">
        <v>45680</v>
      </c>
      <c r="F134" s="482" t="s">
        <v>111</v>
      </c>
      <c r="G134" s="502">
        <v>32750</v>
      </c>
      <c r="H134" s="482" t="s">
        <v>25</v>
      </c>
      <c r="I134" s="483"/>
    </row>
    <row r="135" spans="3:9">
      <c r="C135" s="197">
        <v>4</v>
      </c>
      <c r="D135" s="481">
        <v>564</v>
      </c>
      <c r="E135" s="192">
        <v>45702</v>
      </c>
      <c r="F135" s="482" t="s">
        <v>111</v>
      </c>
      <c r="G135" s="482">
        <v>35570</v>
      </c>
      <c r="H135" s="482" t="s">
        <v>25</v>
      </c>
      <c r="I135" s="484"/>
    </row>
    <row r="136" spans="3:9">
      <c r="C136" s="480">
        <v>5</v>
      </c>
      <c r="D136" s="481">
        <v>598</v>
      </c>
      <c r="E136" s="192">
        <v>45716</v>
      </c>
      <c r="F136" s="482" t="s">
        <v>111</v>
      </c>
      <c r="G136" s="486">
        <v>42270</v>
      </c>
      <c r="H136" s="482" t="s">
        <v>25</v>
      </c>
      <c r="I136" s="484"/>
    </row>
    <row r="137" spans="3:9">
      <c r="C137" s="480">
        <v>6</v>
      </c>
      <c r="D137" s="481">
        <v>599</v>
      </c>
      <c r="E137" s="192">
        <v>45716</v>
      </c>
      <c r="F137" s="482" t="s">
        <v>111</v>
      </c>
      <c r="G137" s="486">
        <v>42270</v>
      </c>
      <c r="H137" s="482" t="s">
        <v>25</v>
      </c>
      <c r="I137" s="484"/>
    </row>
    <row r="138" spans="3:9">
      <c r="C138" s="480">
        <v>7</v>
      </c>
      <c r="D138" s="481">
        <v>204</v>
      </c>
      <c r="E138" s="192">
        <v>45720</v>
      </c>
      <c r="F138" s="482" t="s">
        <v>111</v>
      </c>
      <c r="G138" s="486">
        <v>42270</v>
      </c>
      <c r="H138" s="482" t="s">
        <v>25</v>
      </c>
      <c r="I138" s="484"/>
    </row>
    <row r="139" spans="3:9">
      <c r="C139" s="480">
        <v>8</v>
      </c>
      <c r="D139" s="505">
        <v>214</v>
      </c>
      <c r="E139" s="192">
        <v>45728</v>
      </c>
      <c r="F139" s="489" t="s">
        <v>111</v>
      </c>
      <c r="G139" s="486">
        <v>34950</v>
      </c>
      <c r="H139" s="482" t="s">
        <v>25</v>
      </c>
      <c r="I139" s="484"/>
    </row>
    <row r="140" spans="3:9">
      <c r="C140" s="480">
        <v>9</v>
      </c>
      <c r="D140" s="481">
        <v>215</v>
      </c>
      <c r="E140" s="192">
        <v>45734</v>
      </c>
      <c r="F140" s="489" t="s">
        <v>111</v>
      </c>
      <c r="G140" s="486">
        <v>42270</v>
      </c>
      <c r="H140" s="482" t="s">
        <v>25</v>
      </c>
      <c r="I140" s="484"/>
    </row>
    <row r="141" spans="3:9">
      <c r="C141" s="480">
        <v>10</v>
      </c>
      <c r="D141" s="481">
        <v>221</v>
      </c>
      <c r="E141" s="192">
        <v>45745</v>
      </c>
      <c r="F141" s="489" t="s">
        <v>111</v>
      </c>
      <c r="G141" s="486">
        <v>42270</v>
      </c>
      <c r="H141" s="482" t="s">
        <v>25</v>
      </c>
      <c r="I141" s="484"/>
    </row>
    <row r="142" spans="3:9">
      <c r="C142" s="480">
        <v>11</v>
      </c>
      <c r="D142" s="481">
        <v>230</v>
      </c>
      <c r="E142" s="192">
        <v>45760</v>
      </c>
      <c r="F142" s="489" t="s">
        <v>111</v>
      </c>
      <c r="G142" s="486">
        <v>46410</v>
      </c>
      <c r="H142" s="482" t="s">
        <v>25</v>
      </c>
      <c r="I142" s="484"/>
    </row>
    <row r="143" spans="3:9">
      <c r="C143" s="480">
        <v>12</v>
      </c>
      <c r="D143" s="481">
        <v>248</v>
      </c>
      <c r="E143" s="192">
        <v>45786</v>
      </c>
      <c r="F143" s="489" t="s">
        <v>111</v>
      </c>
      <c r="G143" s="486">
        <v>49290</v>
      </c>
      <c r="H143" s="482" t="s">
        <v>25</v>
      </c>
      <c r="I143" s="484"/>
    </row>
    <row r="144" spans="3:9">
      <c r="C144" s="480">
        <v>13</v>
      </c>
      <c r="D144" s="481">
        <v>708</v>
      </c>
      <c r="E144" s="192">
        <v>45811</v>
      </c>
      <c r="F144" s="489" t="s">
        <v>111</v>
      </c>
      <c r="G144" s="486">
        <v>36340</v>
      </c>
      <c r="H144" s="482" t="s">
        <v>25</v>
      </c>
      <c r="I144" s="484"/>
    </row>
    <row r="145" spans="3:9" ht="15" thickBot="1">
      <c r="C145" s="480">
        <v>14</v>
      </c>
      <c r="D145" s="481">
        <v>714</v>
      </c>
      <c r="E145" s="192">
        <v>45842</v>
      </c>
      <c r="F145" s="489" t="s">
        <v>111</v>
      </c>
      <c r="G145" s="486">
        <v>34620</v>
      </c>
      <c r="H145" s="482" t="s">
        <v>25</v>
      </c>
      <c r="I145" s="484"/>
    </row>
    <row r="146" spans="3:9" ht="15">
      <c r="C146" s="480"/>
      <c r="D146" s="481"/>
      <c r="E146" s="192"/>
      <c r="F146" s="489"/>
      <c r="G146" s="503">
        <f>SUM(G132:G145)</f>
        <v>548280</v>
      </c>
      <c r="H146" s="504"/>
      <c r="I146" s="484"/>
    </row>
    <row r="147" spans="3:9" ht="15.75" thickBot="1">
      <c r="C147" s="480"/>
      <c r="D147" s="481"/>
      <c r="E147" s="192"/>
      <c r="F147" s="489"/>
      <c r="G147" s="496">
        <f>+G146/1800</f>
        <v>304.60000000000002</v>
      </c>
      <c r="H147" s="497" t="s">
        <v>28</v>
      </c>
      <c r="I147" s="484"/>
    </row>
    <row r="148" spans="3:9" ht="15.75" thickBot="1">
      <c r="C148" s="492"/>
      <c r="D148" s="493"/>
      <c r="E148" s="494"/>
      <c r="F148" s="506"/>
      <c r="G148" s="507"/>
      <c r="H148" s="507"/>
      <c r="I148" s="508"/>
    </row>
    <row r="149" spans="3:9">
      <c r="C149" s="490">
        <v>1</v>
      </c>
      <c r="D149" s="499">
        <v>655</v>
      </c>
      <c r="E149" s="500">
        <v>45646</v>
      </c>
      <c r="F149" s="501" t="s">
        <v>112</v>
      </c>
      <c r="G149" s="501">
        <v>32100</v>
      </c>
      <c r="H149" s="501" t="s">
        <v>25</v>
      </c>
      <c r="I149" s="491"/>
    </row>
    <row r="150" spans="3:9" ht="15" thickBot="1">
      <c r="C150" s="480">
        <v>2</v>
      </c>
      <c r="D150" s="481">
        <v>700</v>
      </c>
      <c r="E150" s="192">
        <v>45689</v>
      </c>
      <c r="F150" s="482" t="s">
        <v>112</v>
      </c>
      <c r="G150" s="502">
        <v>33140</v>
      </c>
      <c r="H150" s="502" t="s">
        <v>25</v>
      </c>
      <c r="I150" s="483"/>
    </row>
    <row r="151" spans="3:9" ht="15">
      <c r="C151" s="480"/>
      <c r="D151" s="481"/>
      <c r="E151" s="192"/>
      <c r="F151" s="489"/>
      <c r="G151" s="503">
        <f>SUM(G149:G150)</f>
        <v>65240</v>
      </c>
      <c r="H151" s="504"/>
      <c r="I151" s="484"/>
    </row>
    <row r="152" spans="3:9" ht="15.75" thickBot="1">
      <c r="C152" s="480"/>
      <c r="D152" s="481"/>
      <c r="E152" s="192"/>
      <c r="F152" s="489"/>
      <c r="G152" s="496">
        <f>+G151/1600</f>
        <v>40.774999999999999</v>
      </c>
      <c r="H152" s="497" t="s">
        <v>28</v>
      </c>
      <c r="I152" s="484"/>
    </row>
    <row r="153" spans="3:9" ht="15" thickBot="1">
      <c r="C153" s="492"/>
      <c r="D153" s="493"/>
      <c r="E153" s="494"/>
      <c r="F153" s="506"/>
      <c r="G153" s="509"/>
      <c r="H153" s="509"/>
      <c r="I153" s="508"/>
    </row>
    <row r="154" spans="3:9">
      <c r="C154" s="490">
        <v>1</v>
      </c>
      <c r="D154" s="499">
        <v>699</v>
      </c>
      <c r="E154" s="500">
        <v>45687</v>
      </c>
      <c r="F154" s="501" t="s">
        <v>63</v>
      </c>
      <c r="G154" s="501">
        <v>50</v>
      </c>
      <c r="H154" s="501" t="s">
        <v>64</v>
      </c>
      <c r="I154" s="491"/>
    </row>
    <row r="155" spans="3:9">
      <c r="C155" s="480">
        <v>2</v>
      </c>
      <c r="D155" s="481">
        <v>671</v>
      </c>
      <c r="E155" s="192">
        <v>45677</v>
      </c>
      <c r="F155" s="482" t="s">
        <v>63</v>
      </c>
      <c r="G155" s="502">
        <v>50</v>
      </c>
      <c r="H155" s="502" t="s">
        <v>64</v>
      </c>
      <c r="I155" s="483"/>
    </row>
    <row r="156" spans="3:9">
      <c r="C156" s="480">
        <v>3</v>
      </c>
      <c r="D156" s="481">
        <v>558</v>
      </c>
      <c r="E156" s="192">
        <v>45696</v>
      </c>
      <c r="F156" s="489" t="s">
        <v>63</v>
      </c>
      <c r="G156" s="486">
        <v>100</v>
      </c>
      <c r="H156" s="502" t="s">
        <v>64</v>
      </c>
      <c r="I156" s="484"/>
    </row>
    <row r="157" spans="3:9" ht="15" thickBot="1">
      <c r="C157" s="197">
        <v>4</v>
      </c>
      <c r="D157" s="481">
        <v>583</v>
      </c>
      <c r="E157" s="192">
        <v>45710</v>
      </c>
      <c r="F157" s="489" t="s">
        <v>63</v>
      </c>
      <c r="G157" s="486">
        <v>100</v>
      </c>
      <c r="H157" s="502" t="s">
        <v>64</v>
      </c>
      <c r="I157" s="484"/>
    </row>
    <row r="158" spans="3:9" ht="15.75" thickBot="1">
      <c r="C158" s="480"/>
      <c r="D158" s="481"/>
      <c r="E158" s="192"/>
      <c r="F158" s="489"/>
      <c r="G158" s="510">
        <f>SUM(G154:G157)</f>
        <v>300</v>
      </c>
      <c r="H158" s="511" t="s">
        <v>64</v>
      </c>
      <c r="I158" s="484"/>
    </row>
    <row r="159" spans="3:9" ht="15" thickBot="1">
      <c r="C159" s="492"/>
      <c r="D159" s="493"/>
      <c r="E159" s="494"/>
      <c r="F159" s="506"/>
      <c r="G159" s="509"/>
      <c r="H159" s="509"/>
      <c r="I159" s="508"/>
    </row>
    <row r="160" spans="3:9">
      <c r="C160" s="490">
        <v>1</v>
      </c>
      <c r="D160" s="499">
        <v>656</v>
      </c>
      <c r="E160" s="500">
        <v>45646</v>
      </c>
      <c r="F160" s="501" t="s">
        <v>113</v>
      </c>
      <c r="G160" s="501">
        <v>700</v>
      </c>
      <c r="H160" s="501" t="s">
        <v>34</v>
      </c>
      <c r="I160" s="491"/>
    </row>
    <row r="161" spans="3:9">
      <c r="C161" s="480">
        <v>2</v>
      </c>
      <c r="D161" s="481">
        <v>670</v>
      </c>
      <c r="E161" s="192">
        <v>45677</v>
      </c>
      <c r="F161" s="482" t="s">
        <v>114</v>
      </c>
      <c r="G161" s="482">
        <v>300</v>
      </c>
      <c r="H161" s="482" t="s">
        <v>34</v>
      </c>
      <c r="I161" s="483"/>
    </row>
    <row r="162" spans="3:9">
      <c r="C162" s="480">
        <v>3</v>
      </c>
      <c r="D162" s="481">
        <v>669</v>
      </c>
      <c r="E162" s="192">
        <v>45676</v>
      </c>
      <c r="F162" s="482" t="s">
        <v>114</v>
      </c>
      <c r="G162" s="502">
        <v>300</v>
      </c>
      <c r="H162" s="502" t="s">
        <v>34</v>
      </c>
      <c r="I162" s="483"/>
    </row>
    <row r="163" spans="3:9" ht="15" thickBot="1">
      <c r="C163" s="512">
        <v>4</v>
      </c>
      <c r="D163" s="513">
        <v>561</v>
      </c>
      <c r="E163" s="460">
        <v>45699</v>
      </c>
      <c r="F163" s="482" t="s">
        <v>114</v>
      </c>
      <c r="G163" s="486">
        <v>500</v>
      </c>
      <c r="H163" s="487" t="s">
        <v>34</v>
      </c>
      <c r="I163" s="514"/>
    </row>
    <row r="164" spans="3:9" ht="15.75" thickBot="1">
      <c r="C164" s="492"/>
      <c r="D164" s="493"/>
      <c r="E164" s="494"/>
      <c r="F164" s="495"/>
      <c r="G164" s="510">
        <f>SUM(G160:G163)</f>
        <v>1800</v>
      </c>
      <c r="H164" s="511" t="s">
        <v>34</v>
      </c>
      <c r="I164" s="498"/>
    </row>
    <row r="165" spans="3:9">
      <c r="C165" s="515"/>
      <c r="D165" s="516"/>
      <c r="E165" s="517"/>
      <c r="F165" s="515"/>
      <c r="G165" s="515"/>
      <c r="H165" s="515"/>
      <c r="I165" s="515"/>
    </row>
  </sheetData>
  <mergeCells count="1">
    <mergeCell ref="C3:I3"/>
  </mergeCells>
  <pageMargins left="0.7" right="0.7" top="0.75" bottom="0.75" header="0.3" footer="0.3"/>
  <pageSetup paperSize="9" scale="7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B2:Y73"/>
  <sheetViews>
    <sheetView view="pageBreakPreview" topLeftCell="A57" zoomScale="85" zoomScaleSheetLayoutView="85" workbookViewId="0">
      <selection activeCell="M66" sqref="M66"/>
    </sheetView>
  </sheetViews>
  <sheetFormatPr defaultColWidth="9.140625" defaultRowHeight="15"/>
  <cols>
    <col min="1" max="1" width="9.140625" style="645"/>
    <col min="2" max="2" width="11.28515625" style="645" bestFit="1" customWidth="1"/>
    <col min="3" max="3" width="72.85546875" style="645" customWidth="1"/>
    <col min="4" max="4" width="9.140625" style="645"/>
    <col min="5" max="5" width="9.42578125" style="645" bestFit="1" customWidth="1"/>
    <col min="6" max="6" width="9.85546875" style="645" bestFit="1" customWidth="1"/>
    <col min="7" max="8" width="9.140625" style="645"/>
    <col min="9" max="9" width="13.7109375" style="645" bestFit="1" customWidth="1"/>
    <col min="10" max="10" width="22.5703125" style="645" bestFit="1" customWidth="1"/>
    <col min="11" max="13" width="9.140625" style="645"/>
    <col min="14" max="14" width="80.42578125" style="645" bestFit="1" customWidth="1"/>
    <col min="15" max="16384" width="9.140625" style="645"/>
  </cols>
  <sheetData>
    <row r="2" spans="2:16" ht="18.75">
      <c r="B2" s="831" t="s">
        <v>223</v>
      </c>
      <c r="C2" s="831"/>
      <c r="D2" s="831"/>
      <c r="E2" s="831"/>
      <c r="F2" s="831"/>
      <c r="G2" s="831"/>
      <c r="H2" s="831"/>
      <c r="I2" s="831"/>
      <c r="J2" s="831"/>
    </row>
    <row r="3" spans="2:16" ht="15.75" thickBot="1">
      <c r="B3" s="660"/>
      <c r="C3" s="660"/>
      <c r="D3" s="660"/>
      <c r="E3" s="660"/>
      <c r="F3" s="660"/>
      <c r="G3" s="660"/>
      <c r="H3" s="660"/>
      <c r="I3" s="660"/>
      <c r="J3" s="660"/>
    </row>
    <row r="4" spans="2:16" s="646" customFormat="1" ht="18.75">
      <c r="B4" s="872" t="s">
        <v>32</v>
      </c>
      <c r="C4" s="873"/>
      <c r="D4" s="873"/>
      <c r="E4" s="873"/>
      <c r="F4" s="873"/>
      <c r="G4" s="873"/>
      <c r="H4" s="873"/>
      <c r="I4" s="873"/>
      <c r="J4" s="874"/>
      <c r="O4" s="647"/>
      <c r="P4" s="647"/>
    </row>
    <row r="5" spans="2:16" s="648" customFormat="1">
      <c r="B5" s="41" t="s">
        <v>33</v>
      </c>
      <c r="C5" s="42" t="s">
        <v>10</v>
      </c>
      <c r="D5" s="42" t="s">
        <v>0</v>
      </c>
      <c r="E5" s="42" t="s">
        <v>34</v>
      </c>
      <c r="F5" s="42" t="s">
        <v>30</v>
      </c>
      <c r="G5" s="42" t="s">
        <v>4</v>
      </c>
      <c r="H5" s="42" t="s">
        <v>31</v>
      </c>
      <c r="I5" s="42" t="s">
        <v>1</v>
      </c>
      <c r="J5" s="43" t="s">
        <v>2</v>
      </c>
      <c r="O5" s="649"/>
      <c r="P5" s="649"/>
    </row>
    <row r="6" spans="2:16" s="650" customFormat="1">
      <c r="B6" s="27"/>
      <c r="C6" s="455"/>
      <c r="D6" s="455"/>
      <c r="E6" s="455"/>
      <c r="F6" s="455"/>
      <c r="G6" s="455"/>
      <c r="H6" s="455"/>
      <c r="I6" s="455"/>
      <c r="J6" s="30"/>
      <c r="O6" s="651"/>
      <c r="P6" s="651"/>
    </row>
    <row r="7" spans="2:16" s="650" customFormat="1">
      <c r="B7" s="27" t="s">
        <v>163</v>
      </c>
      <c r="C7" s="518" t="s">
        <v>164</v>
      </c>
      <c r="D7" s="455" t="s">
        <v>46</v>
      </c>
      <c r="E7" s="455"/>
      <c r="F7" s="455"/>
      <c r="G7" s="455"/>
      <c r="H7" s="455"/>
      <c r="I7" s="455"/>
      <c r="J7" s="30"/>
      <c r="O7" s="651"/>
      <c r="P7" s="651"/>
    </row>
    <row r="8" spans="2:16" s="650" customFormat="1" ht="14.25">
      <c r="B8" s="197"/>
      <c r="C8" s="455" t="s">
        <v>148</v>
      </c>
      <c r="D8" s="455"/>
      <c r="E8" s="455"/>
      <c r="F8" s="455"/>
      <c r="G8" s="455"/>
      <c r="H8" s="455"/>
      <c r="I8" s="455"/>
      <c r="J8" s="30"/>
      <c r="O8" s="651"/>
      <c r="P8" s="651"/>
    </row>
    <row r="9" spans="2:16" s="650" customFormat="1" ht="14.25">
      <c r="B9" s="197" t="s">
        <v>35</v>
      </c>
      <c r="C9" s="455" t="s">
        <v>167</v>
      </c>
      <c r="D9" s="455"/>
      <c r="E9" s="455">
        <v>1</v>
      </c>
      <c r="F9" s="455">
        <f>J9/1000</f>
        <v>50.070599999999999</v>
      </c>
      <c r="G9" s="455"/>
      <c r="H9" s="455"/>
      <c r="I9" s="455">
        <f t="shared" ref="I9:I10" si="0">PRODUCT(E9:H9)</f>
        <v>50.070599999999999</v>
      </c>
      <c r="J9" s="30">
        <v>50070.6</v>
      </c>
      <c r="O9" s="651"/>
      <c r="P9" s="651"/>
    </row>
    <row r="10" spans="2:16" s="650" customFormat="1" ht="14.25">
      <c r="B10" s="197"/>
      <c r="C10" s="455"/>
      <c r="D10" s="455"/>
      <c r="E10" s="455">
        <v>1</v>
      </c>
      <c r="F10" s="455">
        <f>J10/1000</f>
        <v>18.730400000000003</v>
      </c>
      <c r="G10" s="455"/>
      <c r="H10" s="455"/>
      <c r="I10" s="455">
        <f t="shared" si="0"/>
        <v>18.730400000000003</v>
      </c>
      <c r="J10" s="30">
        <v>18730.400000000001</v>
      </c>
      <c r="O10" s="651"/>
      <c r="P10" s="651"/>
    </row>
    <row r="11" spans="2:16" s="652" customFormat="1" ht="14.25">
      <c r="B11" s="394"/>
      <c r="C11" s="456" t="s">
        <v>426</v>
      </c>
      <c r="D11" s="456"/>
      <c r="E11" s="456"/>
      <c r="F11" s="456"/>
      <c r="G11" s="456"/>
      <c r="H11" s="456"/>
      <c r="I11" s="456"/>
      <c r="J11" s="397"/>
      <c r="O11" s="653"/>
      <c r="P11" s="653"/>
    </row>
    <row r="12" spans="2:16" s="652" customFormat="1" ht="14.25">
      <c r="B12" s="394" t="s">
        <v>35</v>
      </c>
      <c r="C12" s="456" t="s">
        <v>451</v>
      </c>
      <c r="D12" s="456"/>
      <c r="E12" s="456">
        <v>1</v>
      </c>
      <c r="F12" s="456">
        <f>J12/1000</f>
        <v>120.011</v>
      </c>
      <c r="G12" s="456"/>
      <c r="H12" s="456"/>
      <c r="I12" s="456">
        <f t="shared" ref="I12" si="1">PRODUCT(E12:H12)</f>
        <v>120.011</v>
      </c>
      <c r="J12" s="397">
        <v>120011</v>
      </c>
      <c r="O12" s="653"/>
      <c r="P12" s="653"/>
    </row>
    <row r="13" spans="2:16" s="652" customFormat="1" ht="14.25">
      <c r="B13" s="394"/>
      <c r="C13" s="456" t="s">
        <v>554</v>
      </c>
      <c r="D13" s="456"/>
      <c r="E13" s="456"/>
      <c r="F13" s="456"/>
      <c r="G13" s="456"/>
      <c r="H13" s="456"/>
      <c r="I13" s="456"/>
      <c r="J13" s="397"/>
      <c r="O13" s="653"/>
      <c r="P13" s="653"/>
    </row>
    <row r="14" spans="2:16" s="652" customFormat="1" ht="14.25">
      <c r="B14" s="394" t="s">
        <v>35</v>
      </c>
      <c r="C14" s="456" t="s">
        <v>451</v>
      </c>
      <c r="D14" s="456"/>
      <c r="E14" s="456">
        <v>1</v>
      </c>
      <c r="F14" s="456">
        <f t="shared" ref="F14:F19" si="2">J14/1000</f>
        <v>40.010899999999999</v>
      </c>
      <c r="G14" s="456"/>
      <c r="H14" s="456"/>
      <c r="I14" s="456">
        <f t="shared" ref="I14" si="3">PRODUCT(E14:H14)</f>
        <v>40.010899999999999</v>
      </c>
      <c r="J14" s="397">
        <v>40010.9</v>
      </c>
      <c r="O14" s="653"/>
      <c r="P14" s="653"/>
    </row>
    <row r="15" spans="2:16" s="652" customFormat="1" ht="14.25">
      <c r="B15" s="394"/>
      <c r="C15" s="456"/>
      <c r="D15" s="456"/>
      <c r="E15" s="456"/>
      <c r="F15" s="456"/>
      <c r="G15" s="456"/>
      <c r="H15" s="456"/>
      <c r="I15" s="456"/>
      <c r="J15" s="397"/>
      <c r="O15" s="653"/>
      <c r="P15" s="653"/>
    </row>
    <row r="16" spans="2:16" s="650" customFormat="1">
      <c r="B16" s="99"/>
      <c r="C16" s="392" t="s">
        <v>559</v>
      </c>
      <c r="D16" s="392"/>
      <c r="E16" s="392"/>
      <c r="F16" s="392"/>
      <c r="G16" s="392"/>
      <c r="H16" s="392"/>
      <c r="I16" s="392"/>
      <c r="J16" s="101"/>
      <c r="O16" s="651"/>
      <c r="P16" s="651"/>
    </row>
    <row r="17" spans="2:16" s="650" customFormat="1">
      <c r="B17" s="99" t="s">
        <v>35</v>
      </c>
      <c r="C17" s="392" t="s">
        <v>451</v>
      </c>
      <c r="D17" s="392"/>
      <c r="E17" s="392">
        <v>1</v>
      </c>
      <c r="F17" s="392">
        <f t="shared" si="2"/>
        <v>40.010899999999999</v>
      </c>
      <c r="G17" s="392"/>
      <c r="H17" s="392"/>
      <c r="I17" s="392">
        <f t="shared" ref="I17:I19" si="4">PRODUCT(E17:H17)</f>
        <v>40.010899999999999</v>
      </c>
      <c r="J17" s="101">
        <v>40010.9</v>
      </c>
      <c r="O17" s="651"/>
      <c r="P17" s="651"/>
    </row>
    <row r="18" spans="2:16" s="650" customFormat="1">
      <c r="B18" s="99" t="s">
        <v>36</v>
      </c>
      <c r="C18" s="392" t="s">
        <v>550</v>
      </c>
      <c r="D18" s="392"/>
      <c r="E18" s="392">
        <v>1</v>
      </c>
      <c r="F18" s="392">
        <f t="shared" si="2"/>
        <v>22.815000000000001</v>
      </c>
      <c r="G18" s="392"/>
      <c r="H18" s="392"/>
      <c r="I18" s="392">
        <f t="shared" si="4"/>
        <v>22.815000000000001</v>
      </c>
      <c r="J18" s="101">
        <v>22815</v>
      </c>
      <c r="O18" s="651"/>
      <c r="P18" s="651"/>
    </row>
    <row r="19" spans="2:16" s="650" customFormat="1">
      <c r="B19" s="99" t="s">
        <v>37</v>
      </c>
      <c r="C19" s="392" t="s">
        <v>550</v>
      </c>
      <c r="D19" s="392"/>
      <c r="E19" s="392">
        <v>1</v>
      </c>
      <c r="F19" s="392">
        <f t="shared" si="2"/>
        <v>15.818899999999999</v>
      </c>
      <c r="G19" s="392"/>
      <c r="H19" s="392"/>
      <c r="I19" s="392">
        <f t="shared" si="4"/>
        <v>15.818899999999999</v>
      </c>
      <c r="J19" s="101">
        <v>15818.9</v>
      </c>
      <c r="O19" s="651"/>
      <c r="P19" s="651"/>
    </row>
    <row r="20" spans="2:16" s="648" customFormat="1">
      <c r="B20" s="41"/>
      <c r="C20" s="42" t="s">
        <v>601</v>
      </c>
      <c r="D20" s="42"/>
      <c r="E20" s="42"/>
      <c r="F20" s="42"/>
      <c r="G20" s="42"/>
      <c r="H20" s="42"/>
      <c r="I20" s="42">
        <f>SUM(I9:I19)</f>
        <v>307.46769999999998</v>
      </c>
      <c r="J20" s="43" t="s">
        <v>46</v>
      </c>
      <c r="O20" s="649"/>
      <c r="P20" s="649"/>
    </row>
    <row r="21" spans="2:16">
      <c r="B21" s="661"/>
      <c r="C21" s="658"/>
      <c r="D21" s="658"/>
      <c r="E21" s="658"/>
      <c r="F21" s="658"/>
      <c r="G21" s="658"/>
      <c r="H21" s="658"/>
      <c r="I21" s="658"/>
      <c r="J21" s="662"/>
    </row>
    <row r="22" spans="2:16">
      <c r="B22" s="41" t="s">
        <v>33</v>
      </c>
      <c r="C22" s="42" t="s">
        <v>10</v>
      </c>
      <c r="D22" s="42" t="s">
        <v>0</v>
      </c>
      <c r="E22" s="42" t="s">
        <v>34</v>
      </c>
      <c r="F22" s="42" t="s">
        <v>30</v>
      </c>
      <c r="G22" s="42" t="s">
        <v>4</v>
      </c>
      <c r="H22" s="42" t="s">
        <v>31</v>
      </c>
      <c r="I22" s="42" t="s">
        <v>1</v>
      </c>
      <c r="J22" s="43" t="s">
        <v>2</v>
      </c>
    </row>
    <row r="23" spans="2:16">
      <c r="B23" s="27"/>
      <c r="C23" s="455"/>
      <c r="D23" s="455"/>
      <c r="E23" s="455"/>
      <c r="F23" s="455"/>
      <c r="G23" s="455"/>
      <c r="H23" s="455"/>
      <c r="I23" s="455"/>
      <c r="J23" s="30"/>
    </row>
    <row r="24" spans="2:16" ht="30">
      <c r="B24" s="27" t="s">
        <v>165</v>
      </c>
      <c r="C24" s="518" t="s">
        <v>166</v>
      </c>
      <c r="D24" s="455" t="s">
        <v>27</v>
      </c>
      <c r="E24" s="455"/>
      <c r="F24" s="455"/>
      <c r="G24" s="455"/>
      <c r="H24" s="455"/>
      <c r="I24" s="455"/>
      <c r="J24" s="30"/>
    </row>
    <row r="25" spans="2:16">
      <c r="B25" s="197"/>
      <c r="C25" s="455" t="s">
        <v>148</v>
      </c>
      <c r="D25" s="455"/>
      <c r="E25" s="455"/>
      <c r="F25" s="455"/>
      <c r="G25" s="455"/>
      <c r="H25" s="455"/>
      <c r="I25" s="455"/>
      <c r="J25" s="30"/>
    </row>
    <row r="26" spans="2:16">
      <c r="B26" s="197" t="s">
        <v>35</v>
      </c>
      <c r="C26" s="455" t="s">
        <v>167</v>
      </c>
      <c r="D26" s="455"/>
      <c r="E26" s="455">
        <v>1</v>
      </c>
      <c r="F26" s="837">
        <f>J26/(1000*1000)</f>
        <v>99.915139799999992</v>
      </c>
      <c r="G26" s="837"/>
      <c r="H26" s="455"/>
      <c r="I26" s="455">
        <f t="shared" ref="I26" si="5">PRODUCT(E26:H26)</f>
        <v>99.915139799999992</v>
      </c>
      <c r="J26" s="30">
        <v>99915139.799999997</v>
      </c>
    </row>
    <row r="27" spans="2:16">
      <c r="B27" s="197"/>
      <c r="C27" s="455" t="s">
        <v>602</v>
      </c>
      <c r="D27" s="455"/>
      <c r="E27" s="455">
        <v>1</v>
      </c>
      <c r="F27" s="870"/>
      <c r="G27" s="871"/>
      <c r="H27" s="455"/>
      <c r="I27" s="455"/>
      <c r="J27" s="30"/>
    </row>
    <row r="28" spans="2:16">
      <c r="B28" s="41"/>
      <c r="C28" s="42" t="s">
        <v>26</v>
      </c>
      <c r="D28" s="42"/>
      <c r="E28" s="42"/>
      <c r="F28" s="42"/>
      <c r="G28" s="42"/>
      <c r="H28" s="42"/>
      <c r="I28" s="42">
        <f>SUM(I26:I26)</f>
        <v>99.915139799999992</v>
      </c>
      <c r="J28" s="43" t="s">
        <v>27</v>
      </c>
    </row>
    <row r="29" spans="2:16">
      <c r="B29" s="661"/>
      <c r="C29" s="658"/>
      <c r="D29" s="658"/>
      <c r="E29" s="658"/>
      <c r="F29" s="658"/>
      <c r="G29" s="658"/>
      <c r="H29" s="658"/>
      <c r="I29" s="658"/>
      <c r="J29" s="662"/>
    </row>
    <row r="30" spans="2:16">
      <c r="B30" s="41" t="s">
        <v>33</v>
      </c>
      <c r="C30" s="42" t="s">
        <v>10</v>
      </c>
      <c r="D30" s="42" t="s">
        <v>0</v>
      </c>
      <c r="E30" s="42" t="s">
        <v>34</v>
      </c>
      <c r="F30" s="42" t="s">
        <v>30</v>
      </c>
      <c r="G30" s="42" t="s">
        <v>4</v>
      </c>
      <c r="H30" s="42" t="s">
        <v>31</v>
      </c>
      <c r="I30" s="42" t="s">
        <v>1</v>
      </c>
      <c r="J30" s="43" t="s">
        <v>2</v>
      </c>
    </row>
    <row r="31" spans="2:16">
      <c r="B31" s="27"/>
      <c r="C31" s="455"/>
      <c r="D31" s="455"/>
      <c r="E31" s="455"/>
      <c r="F31" s="455"/>
      <c r="G31" s="455"/>
      <c r="H31" s="455"/>
      <c r="I31" s="455"/>
      <c r="J31" s="30"/>
    </row>
    <row r="32" spans="2:16">
      <c r="B32" s="27" t="s">
        <v>190</v>
      </c>
      <c r="C32" s="518" t="s">
        <v>191</v>
      </c>
      <c r="D32" s="455" t="s">
        <v>27</v>
      </c>
      <c r="E32" s="455"/>
      <c r="F32" s="455"/>
      <c r="G32" s="455"/>
      <c r="H32" s="455"/>
      <c r="I32" s="455"/>
      <c r="J32" s="30"/>
    </row>
    <row r="33" spans="2:25">
      <c r="B33" s="197"/>
      <c r="C33" s="455" t="s">
        <v>148</v>
      </c>
      <c r="D33" s="455"/>
      <c r="E33" s="455"/>
      <c r="F33" s="455"/>
      <c r="G33" s="455"/>
      <c r="H33" s="455"/>
      <c r="I33" s="455"/>
      <c r="J33" s="30"/>
    </row>
    <row r="34" spans="2:25" s="650" customFormat="1" ht="14.25">
      <c r="B34" s="197" t="s">
        <v>35</v>
      </c>
      <c r="C34" s="455" t="s">
        <v>169</v>
      </c>
      <c r="D34" s="455"/>
      <c r="E34" s="455">
        <v>1</v>
      </c>
      <c r="F34" s="837">
        <f>J34/(1000*1000)</f>
        <v>299.76442580000003</v>
      </c>
      <c r="G34" s="837"/>
      <c r="H34" s="39"/>
      <c r="I34" s="455">
        <f>PRODUCT(E34:H34)</f>
        <v>299.76442580000003</v>
      </c>
      <c r="J34" s="30">
        <v>299764425.80000001</v>
      </c>
      <c r="O34" s="651"/>
      <c r="P34" s="651"/>
    </row>
    <row r="35" spans="2:25" s="650" customFormat="1">
      <c r="B35" s="99"/>
      <c r="C35" s="392" t="s">
        <v>426</v>
      </c>
      <c r="D35" s="392"/>
      <c r="E35" s="392"/>
      <c r="F35" s="392"/>
      <c r="G35" s="392"/>
      <c r="H35" s="392"/>
      <c r="I35" s="392"/>
      <c r="J35" s="101"/>
      <c r="O35" s="651"/>
      <c r="P35" s="651"/>
    </row>
    <row r="36" spans="2:25" s="652" customFormat="1">
      <c r="B36" s="394"/>
      <c r="C36" s="392" t="s">
        <v>554</v>
      </c>
      <c r="D36" s="456"/>
      <c r="E36" s="456"/>
      <c r="F36" s="456"/>
      <c r="G36" s="456"/>
      <c r="H36" s="396"/>
      <c r="I36" s="456"/>
      <c r="J36" s="397"/>
      <c r="K36" s="655"/>
      <c r="L36" s="655"/>
      <c r="M36" s="655"/>
      <c r="N36" s="655"/>
      <c r="O36" s="655"/>
      <c r="P36" s="655"/>
      <c r="Q36" s="655"/>
      <c r="R36" s="655"/>
      <c r="S36" s="655"/>
      <c r="T36" s="655"/>
      <c r="U36" s="655"/>
      <c r="V36" s="655"/>
      <c r="W36" s="655"/>
      <c r="X36" s="655"/>
      <c r="Y36" s="655"/>
    </row>
    <row r="37" spans="2:25" s="654" customFormat="1" ht="15" customHeight="1">
      <c r="B37" s="99" t="s">
        <v>35</v>
      </c>
      <c r="C37" s="392" t="s">
        <v>431</v>
      </c>
      <c r="D37" s="392"/>
      <c r="E37" s="392">
        <v>1</v>
      </c>
      <c r="F37" s="392">
        <v>160</v>
      </c>
      <c r="G37" s="392">
        <v>4.7</v>
      </c>
      <c r="H37" s="105"/>
      <c r="I37" s="392">
        <f>PRODUCT(E37:H37)</f>
        <v>752</v>
      </c>
      <c r="J37" s="101"/>
      <c r="K37" s="656"/>
      <c r="L37" s="656"/>
      <c r="M37" s="656"/>
      <c r="N37" s="656"/>
      <c r="O37" s="656"/>
      <c r="P37" s="656"/>
      <c r="Q37" s="656"/>
      <c r="R37" s="656"/>
      <c r="S37" s="656"/>
      <c r="T37" s="656"/>
      <c r="U37" s="656"/>
      <c r="V37" s="656"/>
      <c r="W37" s="656"/>
      <c r="X37" s="656"/>
      <c r="Y37" s="656"/>
    </row>
    <row r="38" spans="2:25" s="654" customFormat="1">
      <c r="B38" s="99" t="s">
        <v>36</v>
      </c>
      <c r="C38" s="392" t="s">
        <v>550</v>
      </c>
      <c r="D38" s="392"/>
      <c r="E38" s="392">
        <v>1</v>
      </c>
      <c r="F38" s="847">
        <f>J38/1000000</f>
        <v>335.14687710000004</v>
      </c>
      <c r="G38" s="847"/>
      <c r="H38" s="105"/>
      <c r="I38" s="392">
        <f t="shared" ref="I38:I62" si="6">PRODUCT(E38:H38)</f>
        <v>335.14687710000004</v>
      </c>
      <c r="J38" s="101">
        <v>335146877.10000002</v>
      </c>
      <c r="K38" s="656"/>
      <c r="L38" s="656"/>
      <c r="M38" s="656"/>
      <c r="N38" s="656"/>
      <c r="O38" s="656"/>
      <c r="P38" s="656"/>
      <c r="Q38" s="656"/>
      <c r="R38" s="656"/>
      <c r="S38" s="656"/>
      <c r="T38" s="656"/>
      <c r="U38" s="656"/>
      <c r="V38" s="656"/>
      <c r="W38" s="656"/>
      <c r="X38" s="656"/>
      <c r="Y38" s="656"/>
    </row>
    <row r="39" spans="2:25" s="654" customFormat="1">
      <c r="B39" s="99"/>
      <c r="C39" s="392" t="s">
        <v>551</v>
      </c>
      <c r="D39" s="392"/>
      <c r="E39" s="392">
        <v>-1</v>
      </c>
      <c r="F39" s="847">
        <f t="shared" ref="F39:F62" si="7">J39/1000000</f>
        <v>8.0101319000000011</v>
      </c>
      <c r="G39" s="847"/>
      <c r="H39" s="105"/>
      <c r="I39" s="392">
        <f t="shared" si="6"/>
        <v>-8.0101319000000011</v>
      </c>
      <c r="J39" s="101">
        <v>8010131.9000000004</v>
      </c>
      <c r="K39" s="656"/>
      <c r="L39" s="656"/>
      <c r="M39" s="656"/>
      <c r="N39" s="656"/>
      <c r="O39" s="656"/>
      <c r="P39" s="656"/>
      <c r="Q39" s="656"/>
      <c r="R39" s="656"/>
      <c r="S39" s="656"/>
      <c r="T39" s="656"/>
      <c r="U39" s="656"/>
      <c r="V39" s="656"/>
      <c r="W39" s="656"/>
      <c r="X39" s="656"/>
      <c r="Y39" s="656"/>
    </row>
    <row r="40" spans="2:25" s="654" customFormat="1">
      <c r="B40" s="99"/>
      <c r="C40" s="392"/>
      <c r="D40" s="392"/>
      <c r="E40" s="392">
        <v>-1</v>
      </c>
      <c r="F40" s="847">
        <f t="shared" si="7"/>
        <v>1.2051320000000001</v>
      </c>
      <c r="G40" s="847"/>
      <c r="H40" s="105"/>
      <c r="I40" s="392">
        <f t="shared" si="6"/>
        <v>-1.2051320000000001</v>
      </c>
      <c r="J40" s="101">
        <v>1205132</v>
      </c>
      <c r="K40" s="656"/>
      <c r="L40" s="656"/>
      <c r="M40" s="656"/>
      <c r="N40" s="656"/>
      <c r="O40" s="656"/>
      <c r="P40" s="656"/>
      <c r="Q40" s="656"/>
      <c r="R40" s="656"/>
      <c r="S40" s="656"/>
      <c r="T40" s="656"/>
      <c r="U40" s="656"/>
      <c r="V40" s="656"/>
      <c r="W40" s="656"/>
      <c r="X40" s="656"/>
      <c r="Y40" s="656"/>
    </row>
    <row r="41" spans="2:25" s="654" customFormat="1">
      <c r="B41" s="99"/>
      <c r="C41" s="392"/>
      <c r="D41" s="392"/>
      <c r="E41" s="392">
        <v>-1</v>
      </c>
      <c r="F41" s="847">
        <f t="shared" si="7"/>
        <v>0.86386830000000003</v>
      </c>
      <c r="G41" s="847"/>
      <c r="H41" s="105"/>
      <c r="I41" s="392">
        <f t="shared" si="6"/>
        <v>-0.86386830000000003</v>
      </c>
      <c r="J41" s="101">
        <v>863868.3</v>
      </c>
      <c r="K41" s="656"/>
      <c r="L41" s="656"/>
      <c r="M41" s="656"/>
      <c r="N41" s="656"/>
      <c r="O41" s="656"/>
      <c r="P41" s="656"/>
      <c r="Q41" s="656"/>
      <c r="R41" s="656"/>
      <c r="S41" s="656"/>
      <c r="T41" s="656"/>
      <c r="U41" s="656"/>
      <c r="V41" s="656"/>
      <c r="W41" s="656"/>
      <c r="X41" s="656"/>
      <c r="Y41" s="656"/>
    </row>
    <row r="42" spans="2:25" s="654" customFormat="1">
      <c r="B42" s="99"/>
      <c r="C42" s="392"/>
      <c r="D42" s="392"/>
      <c r="E42" s="392">
        <v>-1</v>
      </c>
      <c r="F42" s="847">
        <f t="shared" si="7"/>
        <v>6.9738892999999997</v>
      </c>
      <c r="G42" s="847"/>
      <c r="H42" s="105"/>
      <c r="I42" s="392">
        <f t="shared" si="6"/>
        <v>-6.9738892999999997</v>
      </c>
      <c r="J42" s="101">
        <v>6973889.2999999998</v>
      </c>
      <c r="K42" s="656"/>
      <c r="L42" s="656"/>
      <c r="M42" s="656"/>
      <c r="N42" s="656"/>
      <c r="O42" s="656"/>
      <c r="P42" s="656"/>
      <c r="Q42" s="656"/>
      <c r="R42" s="656"/>
      <c r="S42" s="656"/>
      <c r="T42" s="656"/>
      <c r="U42" s="656"/>
      <c r="V42" s="656"/>
      <c r="W42" s="656"/>
      <c r="X42" s="656"/>
      <c r="Y42" s="656"/>
    </row>
    <row r="43" spans="2:25" s="654" customFormat="1">
      <c r="B43" s="99"/>
      <c r="C43" s="392"/>
      <c r="D43" s="392"/>
      <c r="E43" s="392">
        <v>-1</v>
      </c>
      <c r="F43" s="847">
        <f t="shared" si="7"/>
        <v>0.9008448</v>
      </c>
      <c r="G43" s="847"/>
      <c r="H43" s="105"/>
      <c r="I43" s="392">
        <f t="shared" si="6"/>
        <v>-0.9008448</v>
      </c>
      <c r="J43" s="101">
        <v>900844.8</v>
      </c>
      <c r="K43" s="656"/>
      <c r="L43" s="656"/>
      <c r="M43" s="656"/>
      <c r="N43" s="656"/>
      <c r="O43" s="656"/>
      <c r="P43" s="656"/>
      <c r="Q43" s="656"/>
      <c r="R43" s="656"/>
      <c r="S43" s="656"/>
      <c r="T43" s="656"/>
      <c r="U43" s="656"/>
      <c r="V43" s="656"/>
      <c r="W43" s="656"/>
      <c r="X43" s="656"/>
      <c r="Y43" s="656"/>
    </row>
    <row r="44" spans="2:25" s="654" customFormat="1">
      <c r="B44" s="99"/>
      <c r="C44" s="392"/>
      <c r="D44" s="392"/>
      <c r="E44" s="392">
        <v>-1</v>
      </c>
      <c r="F44" s="847">
        <f t="shared" si="7"/>
        <v>4.4952174000000005</v>
      </c>
      <c r="G44" s="847"/>
      <c r="H44" s="105"/>
      <c r="I44" s="392">
        <f t="shared" si="6"/>
        <v>-4.4952174000000005</v>
      </c>
      <c r="J44" s="101">
        <v>4495217.4000000004</v>
      </c>
      <c r="K44" s="656"/>
      <c r="L44" s="656"/>
      <c r="M44" s="656"/>
      <c r="N44" s="656"/>
      <c r="O44" s="656"/>
      <c r="P44" s="656"/>
      <c r="Q44" s="656"/>
      <c r="R44" s="656"/>
      <c r="S44" s="656"/>
      <c r="T44" s="656"/>
      <c r="U44" s="656"/>
      <c r="V44" s="656"/>
      <c r="W44" s="656"/>
      <c r="X44" s="656"/>
      <c r="Y44" s="656"/>
    </row>
    <row r="45" spans="2:25" s="654" customFormat="1">
      <c r="B45" s="99"/>
      <c r="C45" s="392"/>
      <c r="D45" s="392"/>
      <c r="E45" s="392">
        <v>-1</v>
      </c>
      <c r="F45" s="847">
        <f t="shared" si="7"/>
        <v>3.2799895999999999</v>
      </c>
      <c r="G45" s="847"/>
      <c r="H45" s="105"/>
      <c r="I45" s="392">
        <f t="shared" si="6"/>
        <v>-3.2799895999999999</v>
      </c>
      <c r="J45" s="101">
        <v>3279989.6</v>
      </c>
      <c r="K45" s="656"/>
      <c r="L45" s="656"/>
      <c r="M45" s="656"/>
      <c r="N45" s="656"/>
      <c r="O45" s="656"/>
      <c r="P45" s="656"/>
      <c r="Q45" s="656"/>
      <c r="R45" s="656"/>
      <c r="S45" s="656"/>
      <c r="T45" s="656"/>
      <c r="U45" s="656"/>
      <c r="V45" s="656"/>
      <c r="W45" s="656"/>
      <c r="X45" s="656"/>
      <c r="Y45" s="656"/>
    </row>
    <row r="46" spans="2:25" s="654" customFormat="1">
      <c r="B46" s="99"/>
      <c r="C46" s="392"/>
      <c r="D46" s="392"/>
      <c r="E46" s="392">
        <v>-1</v>
      </c>
      <c r="F46" s="847">
        <f t="shared" si="7"/>
        <v>5.8909573000000002</v>
      </c>
      <c r="G46" s="847"/>
      <c r="H46" s="105"/>
      <c r="I46" s="392">
        <f t="shared" si="6"/>
        <v>-5.8909573000000002</v>
      </c>
      <c r="J46" s="101">
        <v>5890957.2999999998</v>
      </c>
      <c r="K46" s="656"/>
      <c r="L46" s="656"/>
      <c r="M46" s="656"/>
      <c r="N46" s="656"/>
      <c r="O46" s="656"/>
      <c r="P46" s="656"/>
      <c r="Q46" s="656"/>
      <c r="R46" s="656"/>
      <c r="S46" s="656"/>
      <c r="T46" s="656"/>
      <c r="U46" s="656"/>
      <c r="V46" s="656"/>
      <c r="W46" s="656"/>
      <c r="X46" s="656"/>
      <c r="Y46" s="656"/>
    </row>
    <row r="47" spans="2:25" s="654" customFormat="1">
      <c r="B47" s="99"/>
      <c r="C47" s="392"/>
      <c r="D47" s="392"/>
      <c r="E47" s="392">
        <v>-1</v>
      </c>
      <c r="F47" s="847">
        <f t="shared" si="7"/>
        <v>7.5177032000000006</v>
      </c>
      <c r="G47" s="847"/>
      <c r="H47" s="105"/>
      <c r="I47" s="392">
        <f t="shared" si="6"/>
        <v>-7.5177032000000006</v>
      </c>
      <c r="J47" s="101">
        <v>7517703.2000000002</v>
      </c>
      <c r="K47" s="656"/>
      <c r="L47" s="656"/>
      <c r="M47" s="656"/>
      <c r="N47" s="656"/>
      <c r="O47" s="656"/>
      <c r="P47" s="656"/>
      <c r="Q47" s="656"/>
      <c r="R47" s="656"/>
      <c r="S47" s="656"/>
      <c r="T47" s="656"/>
      <c r="U47" s="656"/>
      <c r="V47" s="656"/>
      <c r="W47" s="656"/>
      <c r="X47" s="656"/>
      <c r="Y47" s="656"/>
    </row>
    <row r="48" spans="2:25" s="654" customFormat="1">
      <c r="B48" s="99"/>
      <c r="C48" s="392"/>
      <c r="D48" s="392"/>
      <c r="E48" s="392">
        <v>-1</v>
      </c>
      <c r="F48" s="847">
        <f t="shared" si="7"/>
        <v>4.6961415999999998</v>
      </c>
      <c r="G48" s="847"/>
      <c r="H48" s="105"/>
      <c r="I48" s="392">
        <f t="shared" si="6"/>
        <v>-4.6961415999999998</v>
      </c>
      <c r="J48" s="101">
        <v>4696141.5999999996</v>
      </c>
      <c r="K48" s="656"/>
      <c r="L48" s="656"/>
      <c r="M48" s="656"/>
      <c r="N48" s="656"/>
      <c r="O48" s="656"/>
      <c r="P48" s="656"/>
      <c r="Q48" s="656"/>
      <c r="R48" s="656"/>
      <c r="S48" s="656"/>
      <c r="T48" s="656"/>
      <c r="U48" s="656"/>
      <c r="V48" s="656"/>
      <c r="W48" s="656"/>
      <c r="X48" s="656"/>
      <c r="Y48" s="656"/>
    </row>
    <row r="49" spans="2:25" s="654" customFormat="1">
      <c r="B49" s="99"/>
      <c r="C49" s="392"/>
      <c r="D49" s="392"/>
      <c r="E49" s="392">
        <v>-1</v>
      </c>
      <c r="F49" s="847">
        <f t="shared" si="7"/>
        <v>2.3182744</v>
      </c>
      <c r="G49" s="847"/>
      <c r="H49" s="105"/>
      <c r="I49" s="392">
        <f t="shared" si="6"/>
        <v>-2.3182744</v>
      </c>
      <c r="J49" s="101">
        <v>2318274.4</v>
      </c>
      <c r="K49" s="656"/>
      <c r="L49" s="656"/>
      <c r="M49" s="656"/>
      <c r="N49" s="656"/>
      <c r="O49" s="656"/>
      <c r="P49" s="656"/>
      <c r="Q49" s="656"/>
      <c r="R49" s="656"/>
      <c r="S49" s="656"/>
      <c r="T49" s="656"/>
      <c r="U49" s="656"/>
      <c r="V49" s="656"/>
      <c r="W49" s="656"/>
      <c r="X49" s="656"/>
      <c r="Y49" s="656"/>
    </row>
    <row r="50" spans="2:25" s="654" customFormat="1">
      <c r="B50" s="99"/>
      <c r="C50" s="392"/>
      <c r="D50" s="392"/>
      <c r="E50" s="392">
        <v>-1</v>
      </c>
      <c r="F50" s="847">
        <f t="shared" si="7"/>
        <v>4.4895659999999999</v>
      </c>
      <c r="G50" s="847"/>
      <c r="H50" s="105"/>
      <c r="I50" s="392">
        <f t="shared" si="6"/>
        <v>-4.4895659999999999</v>
      </c>
      <c r="J50" s="101">
        <v>4489566</v>
      </c>
      <c r="K50" s="656"/>
      <c r="L50" s="656"/>
      <c r="M50" s="656"/>
      <c r="N50" s="656"/>
      <c r="O50" s="656"/>
      <c r="P50" s="656"/>
      <c r="Q50" s="656"/>
      <c r="R50" s="656"/>
      <c r="S50" s="656"/>
      <c r="T50" s="656"/>
      <c r="U50" s="656"/>
      <c r="V50" s="656"/>
      <c r="W50" s="656"/>
      <c r="X50" s="656"/>
      <c r="Y50" s="656"/>
    </row>
    <row r="51" spans="2:25" s="654" customFormat="1">
      <c r="B51" s="99"/>
      <c r="C51" s="392"/>
      <c r="D51" s="392"/>
      <c r="E51" s="392">
        <v>-1</v>
      </c>
      <c r="F51" s="847">
        <f t="shared" si="7"/>
        <v>2.5483965</v>
      </c>
      <c r="G51" s="847"/>
      <c r="H51" s="105"/>
      <c r="I51" s="392">
        <f t="shared" si="6"/>
        <v>-2.5483965</v>
      </c>
      <c r="J51" s="101">
        <v>2548396.5</v>
      </c>
      <c r="K51" s="656"/>
      <c r="L51" s="656"/>
      <c r="M51" s="656"/>
      <c r="N51" s="656"/>
      <c r="O51" s="656"/>
      <c r="P51" s="656"/>
      <c r="Q51" s="656"/>
      <c r="R51" s="656"/>
      <c r="S51" s="656"/>
      <c r="T51" s="656"/>
      <c r="U51" s="656"/>
      <c r="V51" s="656"/>
      <c r="W51" s="656"/>
      <c r="X51" s="656"/>
      <c r="Y51" s="656"/>
    </row>
    <row r="52" spans="2:25" s="654" customFormat="1">
      <c r="B52" s="99" t="s">
        <v>37</v>
      </c>
      <c r="C52" s="392" t="s">
        <v>550</v>
      </c>
      <c r="D52" s="392"/>
      <c r="E52" s="392">
        <v>1</v>
      </c>
      <c r="F52" s="847">
        <f t="shared" si="7"/>
        <v>273.11108339999998</v>
      </c>
      <c r="G52" s="847"/>
      <c r="H52" s="105"/>
      <c r="I52" s="392">
        <f t="shared" si="6"/>
        <v>273.11108339999998</v>
      </c>
      <c r="J52" s="101">
        <v>273111083.39999998</v>
      </c>
      <c r="K52" s="656"/>
      <c r="L52" s="656"/>
      <c r="M52" s="656"/>
      <c r="N52" s="656"/>
      <c r="O52" s="656"/>
      <c r="P52" s="656"/>
      <c r="Q52" s="656"/>
      <c r="R52" s="656"/>
      <c r="S52" s="656"/>
      <c r="T52" s="656"/>
      <c r="U52" s="656"/>
      <c r="V52" s="656"/>
      <c r="W52" s="656"/>
      <c r="X52" s="656"/>
      <c r="Y52" s="656"/>
    </row>
    <row r="53" spans="2:25" s="654" customFormat="1">
      <c r="B53" s="99"/>
      <c r="C53" s="392" t="s">
        <v>552</v>
      </c>
      <c r="D53" s="392"/>
      <c r="E53" s="392">
        <v>-1</v>
      </c>
      <c r="F53" s="847">
        <f t="shared" si="7"/>
        <v>5.8686932999999994</v>
      </c>
      <c r="G53" s="847"/>
      <c r="H53" s="105"/>
      <c r="I53" s="392">
        <f t="shared" si="6"/>
        <v>-5.8686932999999994</v>
      </c>
      <c r="J53" s="101">
        <v>5868693.2999999998</v>
      </c>
      <c r="K53" s="656"/>
      <c r="L53" s="656"/>
      <c r="M53" s="656"/>
      <c r="N53" s="656"/>
      <c r="O53" s="656"/>
      <c r="P53" s="656"/>
      <c r="Q53" s="656"/>
      <c r="R53" s="656"/>
      <c r="S53" s="656"/>
      <c r="T53" s="656"/>
      <c r="U53" s="656"/>
      <c r="V53" s="656"/>
      <c r="W53" s="656"/>
      <c r="X53" s="656"/>
      <c r="Y53" s="656"/>
    </row>
    <row r="54" spans="2:25" s="654" customFormat="1">
      <c r="B54" s="99"/>
      <c r="C54" s="392"/>
      <c r="D54" s="392"/>
      <c r="E54" s="392">
        <v>-1</v>
      </c>
      <c r="F54" s="847">
        <f t="shared" si="7"/>
        <v>6.7479404000000001</v>
      </c>
      <c r="G54" s="847"/>
      <c r="H54" s="105"/>
      <c r="I54" s="392">
        <f t="shared" si="6"/>
        <v>-6.7479404000000001</v>
      </c>
      <c r="J54" s="101">
        <v>6747940.4000000004</v>
      </c>
      <c r="K54" s="656"/>
      <c r="L54" s="656"/>
      <c r="M54" s="656"/>
      <c r="N54" s="656"/>
      <c r="O54" s="656"/>
      <c r="P54" s="656"/>
      <c r="Q54" s="656"/>
      <c r="R54" s="656"/>
      <c r="S54" s="656"/>
      <c r="T54" s="656"/>
      <c r="U54" s="656"/>
      <c r="V54" s="656"/>
      <c r="W54" s="656"/>
      <c r="X54" s="656"/>
      <c r="Y54" s="656"/>
    </row>
    <row r="55" spans="2:25" s="654" customFormat="1">
      <c r="B55" s="99"/>
      <c r="C55" s="392"/>
      <c r="D55" s="392"/>
      <c r="E55" s="392">
        <v>-1</v>
      </c>
      <c r="F55" s="847">
        <f t="shared" si="7"/>
        <v>3.4570347999999997</v>
      </c>
      <c r="G55" s="847"/>
      <c r="H55" s="105"/>
      <c r="I55" s="392">
        <f t="shared" si="6"/>
        <v>-3.4570347999999997</v>
      </c>
      <c r="J55" s="101">
        <v>3457034.8</v>
      </c>
      <c r="K55" s="656"/>
      <c r="L55" s="656"/>
      <c r="M55" s="656"/>
      <c r="N55" s="656"/>
      <c r="O55" s="656"/>
      <c r="P55" s="656"/>
      <c r="Q55" s="656"/>
      <c r="R55" s="656"/>
      <c r="S55" s="656"/>
      <c r="T55" s="656"/>
      <c r="U55" s="656"/>
      <c r="V55" s="656"/>
      <c r="W55" s="656"/>
      <c r="X55" s="656"/>
      <c r="Y55" s="656"/>
    </row>
    <row r="56" spans="2:25" s="654" customFormat="1">
      <c r="B56" s="99"/>
      <c r="C56" s="392"/>
      <c r="D56" s="392"/>
      <c r="E56" s="392">
        <v>-1</v>
      </c>
      <c r="F56" s="847">
        <f t="shared" si="7"/>
        <v>2.3659961000000003</v>
      </c>
      <c r="G56" s="847"/>
      <c r="H56" s="105"/>
      <c r="I56" s="392">
        <f t="shared" si="6"/>
        <v>-2.3659961000000003</v>
      </c>
      <c r="J56" s="101">
        <v>2365996.1</v>
      </c>
      <c r="K56" s="656"/>
      <c r="L56" s="656"/>
      <c r="M56" s="656"/>
      <c r="N56" s="656"/>
      <c r="O56" s="656"/>
      <c r="P56" s="656"/>
      <c r="Q56" s="656"/>
      <c r="R56" s="656"/>
      <c r="S56" s="656"/>
      <c r="T56" s="656"/>
      <c r="U56" s="656"/>
      <c r="V56" s="656"/>
      <c r="W56" s="656"/>
      <c r="X56" s="656"/>
      <c r="Y56" s="656"/>
    </row>
    <row r="57" spans="2:25" s="654" customFormat="1">
      <c r="B57" s="99"/>
      <c r="C57" s="392"/>
      <c r="D57" s="392"/>
      <c r="E57" s="392">
        <v>-1</v>
      </c>
      <c r="F57" s="847">
        <f t="shared" si="7"/>
        <v>5.4873775</v>
      </c>
      <c r="G57" s="847"/>
      <c r="H57" s="105"/>
      <c r="I57" s="392">
        <f t="shared" si="6"/>
        <v>-5.4873775</v>
      </c>
      <c r="J57" s="101">
        <v>5487377.5</v>
      </c>
      <c r="K57" s="656"/>
      <c r="L57" s="656"/>
      <c r="M57" s="656"/>
      <c r="N57" s="656"/>
      <c r="O57" s="656"/>
      <c r="P57" s="656"/>
      <c r="Q57" s="656"/>
      <c r="R57" s="656"/>
      <c r="S57" s="656"/>
      <c r="T57" s="656"/>
      <c r="U57" s="656"/>
      <c r="V57" s="656"/>
      <c r="W57" s="656"/>
      <c r="X57" s="656"/>
      <c r="Y57" s="656"/>
    </row>
    <row r="58" spans="2:25" s="654" customFormat="1">
      <c r="B58" s="99"/>
      <c r="C58" s="392"/>
      <c r="D58" s="392"/>
      <c r="E58" s="392">
        <v>-1</v>
      </c>
      <c r="F58" s="847">
        <f t="shared" si="7"/>
        <v>6.6297140999999993</v>
      </c>
      <c r="G58" s="847"/>
      <c r="H58" s="105"/>
      <c r="I58" s="392">
        <f t="shared" si="6"/>
        <v>-6.6297140999999993</v>
      </c>
      <c r="J58" s="101">
        <v>6629714.0999999996</v>
      </c>
      <c r="K58" s="656"/>
      <c r="L58" s="656"/>
      <c r="M58" s="656"/>
      <c r="N58" s="656"/>
      <c r="O58" s="656"/>
      <c r="P58" s="656"/>
      <c r="Q58" s="656"/>
      <c r="R58" s="656"/>
      <c r="S58" s="656"/>
      <c r="T58" s="656"/>
      <c r="U58" s="656"/>
      <c r="V58" s="656"/>
      <c r="W58" s="656"/>
      <c r="X58" s="656"/>
      <c r="Y58" s="656"/>
    </row>
    <row r="59" spans="2:25" s="654" customFormat="1">
      <c r="B59" s="99"/>
      <c r="C59" s="392"/>
      <c r="D59" s="392"/>
      <c r="E59" s="392">
        <v>-1</v>
      </c>
      <c r="F59" s="847">
        <f t="shared" si="7"/>
        <v>2.8848351000000001</v>
      </c>
      <c r="G59" s="847"/>
      <c r="H59" s="105"/>
      <c r="I59" s="392">
        <f t="shared" si="6"/>
        <v>-2.8848351000000001</v>
      </c>
      <c r="J59" s="101">
        <v>2884835.1</v>
      </c>
      <c r="K59" s="656"/>
      <c r="L59" s="656"/>
      <c r="M59" s="656"/>
      <c r="N59" s="656"/>
      <c r="O59" s="656"/>
      <c r="P59" s="656"/>
      <c r="Q59" s="656"/>
      <c r="R59" s="656"/>
      <c r="S59" s="656"/>
      <c r="T59" s="656"/>
      <c r="U59" s="656"/>
      <c r="V59" s="656"/>
      <c r="W59" s="656"/>
      <c r="X59" s="656"/>
      <c r="Y59" s="656"/>
    </row>
    <row r="60" spans="2:25" s="654" customFormat="1">
      <c r="B60" s="99"/>
      <c r="C60" s="392"/>
      <c r="D60" s="392"/>
      <c r="E60" s="392">
        <v>-1</v>
      </c>
      <c r="F60" s="847">
        <f t="shared" si="7"/>
        <v>3.6483574999999999</v>
      </c>
      <c r="G60" s="847"/>
      <c r="H60" s="105"/>
      <c r="I60" s="392">
        <f t="shared" si="6"/>
        <v>-3.6483574999999999</v>
      </c>
      <c r="J60" s="101">
        <v>3648357.5</v>
      </c>
      <c r="K60" s="656"/>
      <c r="L60" s="656"/>
      <c r="M60" s="656"/>
      <c r="N60" s="656"/>
      <c r="O60" s="656"/>
      <c r="P60" s="656"/>
      <c r="Q60" s="656"/>
      <c r="R60" s="656"/>
      <c r="S60" s="656"/>
      <c r="T60" s="656"/>
      <c r="U60" s="656"/>
      <c r="V60" s="656"/>
      <c r="W60" s="656"/>
      <c r="X60" s="656"/>
      <c r="Y60" s="656"/>
    </row>
    <row r="61" spans="2:25" s="654" customFormat="1">
      <c r="B61" s="99"/>
      <c r="C61" s="392"/>
      <c r="D61" s="392"/>
      <c r="E61" s="392">
        <v>-1</v>
      </c>
      <c r="F61" s="847">
        <f t="shared" si="7"/>
        <v>0.67741180000000001</v>
      </c>
      <c r="G61" s="847"/>
      <c r="H61" s="105"/>
      <c r="I61" s="392">
        <f t="shared" si="6"/>
        <v>-0.67741180000000001</v>
      </c>
      <c r="J61" s="101">
        <v>677411.8</v>
      </c>
      <c r="K61" s="656"/>
      <c r="L61" s="656"/>
      <c r="M61" s="656"/>
      <c r="N61" s="656"/>
      <c r="O61" s="656"/>
      <c r="P61" s="656"/>
      <c r="Q61" s="656"/>
      <c r="R61" s="656"/>
      <c r="S61" s="656"/>
      <c r="T61" s="656"/>
      <c r="U61" s="656"/>
      <c r="V61" s="656"/>
      <c r="W61" s="656"/>
      <c r="X61" s="656"/>
      <c r="Y61" s="656"/>
    </row>
    <row r="62" spans="2:25" s="654" customFormat="1">
      <c r="B62" s="99" t="s">
        <v>152</v>
      </c>
      <c r="C62" s="392" t="s">
        <v>553</v>
      </c>
      <c r="D62" s="392"/>
      <c r="E62" s="392">
        <v>1</v>
      </c>
      <c r="F62" s="847">
        <f t="shared" si="7"/>
        <v>215.1643612</v>
      </c>
      <c r="G62" s="847"/>
      <c r="H62" s="105"/>
      <c r="I62" s="392">
        <f t="shared" si="6"/>
        <v>215.1643612</v>
      </c>
      <c r="J62" s="101">
        <v>215164361.19999999</v>
      </c>
      <c r="K62" s="656"/>
      <c r="L62" s="656"/>
      <c r="M62" s="656"/>
      <c r="N62" s="656"/>
      <c r="O62" s="656"/>
      <c r="P62" s="656"/>
      <c r="Q62" s="656"/>
      <c r="R62" s="656"/>
      <c r="S62" s="656"/>
      <c r="T62" s="656"/>
      <c r="U62" s="656"/>
      <c r="V62" s="656"/>
      <c r="W62" s="656"/>
      <c r="X62" s="656"/>
      <c r="Y62" s="656"/>
    </row>
    <row r="63" spans="2:25" s="650" customFormat="1">
      <c r="B63" s="99" t="s">
        <v>35</v>
      </c>
      <c r="C63" s="392" t="s">
        <v>451</v>
      </c>
      <c r="D63" s="392"/>
      <c r="E63" s="392">
        <v>1</v>
      </c>
      <c r="F63" s="392">
        <v>160</v>
      </c>
      <c r="G63" s="392">
        <v>4.7</v>
      </c>
      <c r="H63" s="105"/>
      <c r="I63" s="392">
        <f>PRODUCT(E63:H63)</f>
        <v>752</v>
      </c>
      <c r="J63" s="101"/>
      <c r="O63" s="651"/>
      <c r="P63" s="651"/>
    </row>
    <row r="64" spans="2:25">
      <c r="B64" s="41"/>
      <c r="C64" s="42" t="s">
        <v>26</v>
      </c>
      <c r="D64" s="42"/>
      <c r="E64" s="42"/>
      <c r="F64" s="42"/>
      <c r="G64" s="42"/>
      <c r="H64" s="42"/>
      <c r="I64" s="42">
        <f>SUM(I34:I63)</f>
        <v>2536.2292745999998</v>
      </c>
      <c r="J64" s="43" t="s">
        <v>27</v>
      </c>
    </row>
    <row r="65" spans="2:16">
      <c r="B65" s="661"/>
      <c r="C65" s="658"/>
      <c r="D65" s="658"/>
      <c r="E65" s="658"/>
      <c r="F65" s="658"/>
      <c r="G65" s="658"/>
      <c r="H65" s="658"/>
      <c r="I65" s="658"/>
      <c r="J65" s="662"/>
    </row>
    <row r="66" spans="2:16" ht="135">
      <c r="B66" s="582" t="s">
        <v>422</v>
      </c>
      <c r="C66" s="659" t="s">
        <v>425</v>
      </c>
      <c r="D66" s="658"/>
      <c r="E66" s="658"/>
      <c r="F66" s="658"/>
      <c r="G66" s="658"/>
      <c r="H66" s="658"/>
      <c r="I66" s="658"/>
      <c r="J66" s="662"/>
      <c r="N66" s="657">
        <f>951+883.36</f>
        <v>1834.3600000000001</v>
      </c>
    </row>
    <row r="67" spans="2:16" s="650" customFormat="1" ht="14.25">
      <c r="B67" s="197"/>
      <c r="C67" s="455" t="s">
        <v>148</v>
      </c>
      <c r="D67" s="455"/>
      <c r="E67" s="455"/>
      <c r="F67" s="455"/>
      <c r="G67" s="455"/>
      <c r="H67" s="455"/>
      <c r="I67" s="455"/>
      <c r="J67" s="30"/>
      <c r="O67" s="651"/>
      <c r="P67" s="651"/>
    </row>
    <row r="68" spans="2:16" s="650" customFormat="1" ht="14.25">
      <c r="B68" s="197" t="s">
        <v>35</v>
      </c>
      <c r="C68" s="455" t="s">
        <v>423</v>
      </c>
      <c r="D68" s="455"/>
      <c r="E68" s="455">
        <v>1</v>
      </c>
      <c r="F68" s="837">
        <f t="shared" ref="F68:F71" si="8">J68/(1000*1000)</f>
        <v>429.810721</v>
      </c>
      <c r="G68" s="837"/>
      <c r="H68" s="39"/>
      <c r="I68" s="455">
        <f t="shared" ref="I68:I71" si="9">PRODUCT(E68:H68)</f>
        <v>429.810721</v>
      </c>
      <c r="J68" s="30">
        <v>429810721</v>
      </c>
      <c r="K68" s="650">
        <f>I68</f>
        <v>429.810721</v>
      </c>
      <c r="O68" s="651"/>
      <c r="P68" s="651"/>
    </row>
    <row r="69" spans="2:16" s="650" customFormat="1" ht="14.25">
      <c r="B69" s="197"/>
      <c r="C69" s="455" t="s">
        <v>168</v>
      </c>
      <c r="D69" s="455"/>
      <c r="E69" s="455">
        <v>-1</v>
      </c>
      <c r="F69" s="837">
        <f t="shared" si="8"/>
        <v>42.793454300000001</v>
      </c>
      <c r="G69" s="837"/>
      <c r="H69" s="39"/>
      <c r="I69" s="455">
        <f t="shared" si="9"/>
        <v>-42.793454300000001</v>
      </c>
      <c r="J69" s="30">
        <v>42793454.299999997</v>
      </c>
      <c r="K69" s="650">
        <f>I69</f>
        <v>-42.793454300000001</v>
      </c>
      <c r="O69" s="651"/>
      <c r="P69" s="651"/>
    </row>
    <row r="70" spans="2:16" s="650" customFormat="1" ht="14.25">
      <c r="B70" s="197" t="s">
        <v>36</v>
      </c>
      <c r="C70" s="455" t="s">
        <v>424</v>
      </c>
      <c r="D70" s="455"/>
      <c r="E70" s="455">
        <v>1</v>
      </c>
      <c r="F70" s="837">
        <f t="shared" si="8"/>
        <v>274.9102067</v>
      </c>
      <c r="G70" s="837"/>
      <c r="H70" s="39"/>
      <c r="I70" s="455">
        <f t="shared" si="9"/>
        <v>274.9102067</v>
      </c>
      <c r="J70" s="30">
        <v>274910206.69999999</v>
      </c>
      <c r="L70" s="650">
        <f>I70</f>
        <v>274.9102067</v>
      </c>
      <c r="O70" s="651"/>
      <c r="P70" s="651"/>
    </row>
    <row r="71" spans="2:16" s="650" customFormat="1" ht="14.25">
      <c r="B71" s="197"/>
      <c r="C71" s="455"/>
      <c r="D71" s="455"/>
      <c r="E71" s="455">
        <v>1</v>
      </c>
      <c r="F71" s="837">
        <f t="shared" si="8"/>
        <v>221.43299919999998</v>
      </c>
      <c r="G71" s="837"/>
      <c r="H71" s="39"/>
      <c r="I71" s="455">
        <f t="shared" si="9"/>
        <v>221.43299919999998</v>
      </c>
      <c r="J71" s="30">
        <v>221432999.19999999</v>
      </c>
      <c r="L71" s="650">
        <f>I71</f>
        <v>221.43299919999998</v>
      </c>
      <c r="O71" s="651"/>
      <c r="P71" s="651"/>
    </row>
    <row r="72" spans="2:16" ht="15.75" thickBot="1">
      <c r="B72" s="102"/>
      <c r="C72" s="103" t="s">
        <v>26</v>
      </c>
      <c r="D72" s="103"/>
      <c r="E72" s="103"/>
      <c r="F72" s="103"/>
      <c r="G72" s="103"/>
      <c r="H72" s="103"/>
      <c r="I72" s="103">
        <f>SUM(I68:I71)</f>
        <v>883.36047260000009</v>
      </c>
      <c r="J72" s="104" t="s">
        <v>27</v>
      </c>
    </row>
    <row r="73" spans="2:16">
      <c r="I73" s="648"/>
    </row>
  </sheetData>
  <mergeCells count="34">
    <mergeCell ref="F60:G60"/>
    <mergeCell ref="F61:G61"/>
    <mergeCell ref="F62:G62"/>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27:G27"/>
    <mergeCell ref="F70:G70"/>
    <mergeCell ref="F71:G71"/>
    <mergeCell ref="F34:G34"/>
    <mergeCell ref="B2:J2"/>
    <mergeCell ref="B4:J4"/>
    <mergeCell ref="F26:G26"/>
    <mergeCell ref="F68:G68"/>
    <mergeCell ref="F69:G69"/>
    <mergeCell ref="F38:G38"/>
    <mergeCell ref="F39:G39"/>
    <mergeCell ref="F40:G40"/>
    <mergeCell ref="F41:G41"/>
    <mergeCell ref="F42:G42"/>
    <mergeCell ref="F43:G43"/>
    <mergeCell ref="F44:G44"/>
  </mergeCells>
  <printOptions horizontalCentered="1"/>
  <pageMargins left="0.11811023622047245" right="0.11811023622047245" top="0.15748031496062992" bottom="0" header="0" footer="0"/>
  <pageSetup paperSize="9" scale="60" orientation="portrait" r:id="rId1"/>
  <headerFoot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C2:I160"/>
  <sheetViews>
    <sheetView view="pageBreakPreview" zoomScale="60" workbookViewId="0">
      <selection activeCell="G127" sqref="G127"/>
    </sheetView>
  </sheetViews>
  <sheetFormatPr defaultColWidth="9.140625" defaultRowHeight="14.25"/>
  <cols>
    <col min="1" max="2" width="9.140625" style="471"/>
    <col min="3" max="3" width="11.28515625" style="471" customWidth="1"/>
    <col min="4" max="4" width="10.7109375" style="472" bestFit="1" customWidth="1"/>
    <col min="5" max="5" width="19.140625" style="473" customWidth="1"/>
    <col min="6" max="6" width="23.5703125" style="471" customWidth="1"/>
    <col min="7" max="7" width="18.5703125" style="471" customWidth="1"/>
    <col min="8" max="8" width="9.140625" style="471"/>
    <col min="9" max="9" width="17" style="471" bestFit="1" customWidth="1"/>
    <col min="10" max="14" width="9.140625" style="471"/>
    <col min="15" max="15" width="10.42578125" style="471" bestFit="1" customWidth="1"/>
    <col min="16" max="16384" width="9.140625" style="471"/>
  </cols>
  <sheetData>
    <row r="2" spans="3:9" ht="15" thickBot="1"/>
    <row r="3" spans="3:9" ht="20.25">
      <c r="C3" s="867" t="s">
        <v>65</v>
      </c>
      <c r="D3" s="868"/>
      <c r="E3" s="868"/>
      <c r="F3" s="868"/>
      <c r="G3" s="868"/>
      <c r="H3" s="868"/>
      <c r="I3" s="869"/>
    </row>
    <row r="4" spans="3:9" ht="15.75">
      <c r="C4" s="474"/>
      <c r="D4" s="475"/>
      <c r="E4" s="476"/>
      <c r="F4" s="477"/>
      <c r="G4" s="477"/>
      <c r="H4" s="468"/>
      <c r="I4" s="478"/>
    </row>
    <row r="5" spans="3:9" s="479" customFormat="1" ht="15.75">
      <c r="C5" s="67" t="s">
        <v>66</v>
      </c>
      <c r="D5" s="68" t="s">
        <v>108</v>
      </c>
      <c r="E5" s="469" t="s">
        <v>68</v>
      </c>
      <c r="F5" s="69" t="s">
        <v>10</v>
      </c>
      <c r="G5" s="69" t="s">
        <v>0</v>
      </c>
      <c r="H5" s="69" t="s">
        <v>1</v>
      </c>
      <c r="I5" s="470" t="s">
        <v>2</v>
      </c>
    </row>
    <row r="6" spans="3:9">
      <c r="C6" s="480">
        <v>1</v>
      </c>
      <c r="D6" s="481">
        <v>657</v>
      </c>
      <c r="E6" s="192">
        <v>45651</v>
      </c>
      <c r="F6" s="482" t="s">
        <v>109</v>
      </c>
      <c r="G6" s="482">
        <v>34980</v>
      </c>
      <c r="H6" s="482" t="s">
        <v>25</v>
      </c>
      <c r="I6" s="483"/>
    </row>
    <row r="7" spans="3:9">
      <c r="C7" s="480">
        <v>2</v>
      </c>
      <c r="D7" s="481">
        <v>658</v>
      </c>
      <c r="E7" s="192">
        <v>45651</v>
      </c>
      <c r="F7" s="482" t="s">
        <v>109</v>
      </c>
      <c r="G7" s="482">
        <v>33800</v>
      </c>
      <c r="H7" s="482" t="s">
        <v>25</v>
      </c>
      <c r="I7" s="483"/>
    </row>
    <row r="8" spans="3:9">
      <c r="C8" s="480">
        <v>3</v>
      </c>
      <c r="D8" s="481">
        <v>659</v>
      </c>
      <c r="E8" s="192">
        <v>45651</v>
      </c>
      <c r="F8" s="482" t="s">
        <v>109</v>
      </c>
      <c r="G8" s="482">
        <v>34450</v>
      </c>
      <c r="H8" s="482" t="s">
        <v>25</v>
      </c>
      <c r="I8" s="483"/>
    </row>
    <row r="9" spans="3:9">
      <c r="C9" s="480">
        <v>4</v>
      </c>
      <c r="D9" s="481">
        <v>660</v>
      </c>
      <c r="E9" s="192">
        <v>45652</v>
      </c>
      <c r="F9" s="482" t="s">
        <v>109</v>
      </c>
      <c r="G9" s="482">
        <v>34370</v>
      </c>
      <c r="H9" s="482" t="s">
        <v>25</v>
      </c>
      <c r="I9" s="483"/>
    </row>
    <row r="10" spans="3:9">
      <c r="C10" s="480">
        <v>5</v>
      </c>
      <c r="D10" s="481">
        <v>661</v>
      </c>
      <c r="E10" s="192">
        <v>45652</v>
      </c>
      <c r="F10" s="482" t="s">
        <v>109</v>
      </c>
      <c r="G10" s="482">
        <v>33950</v>
      </c>
      <c r="H10" s="482" t="s">
        <v>25</v>
      </c>
      <c r="I10" s="483"/>
    </row>
    <row r="11" spans="3:9">
      <c r="C11" s="480">
        <v>6</v>
      </c>
      <c r="D11" s="481">
        <v>665</v>
      </c>
      <c r="E11" s="192">
        <v>45664</v>
      </c>
      <c r="F11" s="482" t="s">
        <v>109</v>
      </c>
      <c r="G11" s="482">
        <v>33960</v>
      </c>
      <c r="H11" s="482" t="s">
        <v>25</v>
      </c>
      <c r="I11" s="483"/>
    </row>
    <row r="12" spans="3:9">
      <c r="C12" s="480">
        <v>7</v>
      </c>
      <c r="D12" s="481">
        <v>666</v>
      </c>
      <c r="E12" s="192">
        <v>45664</v>
      </c>
      <c r="F12" s="482" t="s">
        <v>109</v>
      </c>
      <c r="G12" s="482">
        <v>34460</v>
      </c>
      <c r="H12" s="482" t="s">
        <v>25</v>
      </c>
      <c r="I12" s="483"/>
    </row>
    <row r="13" spans="3:9">
      <c r="C13" s="480">
        <v>8</v>
      </c>
      <c r="D13" s="481">
        <v>667</v>
      </c>
      <c r="E13" s="192">
        <v>45665</v>
      </c>
      <c r="F13" s="482" t="s">
        <v>109</v>
      </c>
      <c r="G13" s="482">
        <v>33450</v>
      </c>
      <c r="H13" s="482" t="s">
        <v>25</v>
      </c>
      <c r="I13" s="483"/>
    </row>
    <row r="14" spans="3:9">
      <c r="C14" s="480">
        <v>9</v>
      </c>
      <c r="D14" s="481">
        <v>698</v>
      </c>
      <c r="E14" s="192">
        <v>45686</v>
      </c>
      <c r="F14" s="482" t="s">
        <v>109</v>
      </c>
      <c r="G14" s="482">
        <v>38220</v>
      </c>
      <c r="H14" s="482" t="s">
        <v>25</v>
      </c>
      <c r="I14" s="483"/>
    </row>
    <row r="15" spans="3:9">
      <c r="C15" s="480">
        <v>10</v>
      </c>
      <c r="D15" s="481">
        <v>685</v>
      </c>
      <c r="E15" s="192">
        <v>45684</v>
      </c>
      <c r="F15" s="482" t="s">
        <v>109</v>
      </c>
      <c r="G15" s="482">
        <v>35220</v>
      </c>
      <c r="H15" s="482" t="s">
        <v>25</v>
      </c>
      <c r="I15" s="483"/>
    </row>
    <row r="16" spans="3:9">
      <c r="C16" s="480">
        <v>11</v>
      </c>
      <c r="D16" s="481">
        <v>687</v>
      </c>
      <c r="E16" s="192">
        <v>45685</v>
      </c>
      <c r="F16" s="482" t="s">
        <v>109</v>
      </c>
      <c r="G16" s="482">
        <v>35150</v>
      </c>
      <c r="H16" s="482" t="s">
        <v>25</v>
      </c>
      <c r="I16" s="483"/>
    </row>
    <row r="17" spans="3:9">
      <c r="C17" s="480">
        <v>12</v>
      </c>
      <c r="D17" s="481">
        <v>688</v>
      </c>
      <c r="E17" s="192">
        <v>45685</v>
      </c>
      <c r="F17" s="482" t="s">
        <v>109</v>
      </c>
      <c r="G17" s="482">
        <v>34530</v>
      </c>
      <c r="H17" s="482" t="s">
        <v>25</v>
      </c>
      <c r="I17" s="483"/>
    </row>
    <row r="18" spans="3:9">
      <c r="C18" s="480">
        <v>13</v>
      </c>
      <c r="D18" s="481">
        <v>689</v>
      </c>
      <c r="E18" s="192">
        <v>45684</v>
      </c>
      <c r="F18" s="482" t="s">
        <v>109</v>
      </c>
      <c r="G18" s="482">
        <v>36060</v>
      </c>
      <c r="H18" s="482" t="s">
        <v>25</v>
      </c>
      <c r="I18" s="483"/>
    </row>
    <row r="19" spans="3:9">
      <c r="C19" s="480">
        <v>14</v>
      </c>
      <c r="D19" s="481">
        <v>690</v>
      </c>
      <c r="E19" s="192">
        <v>45685</v>
      </c>
      <c r="F19" s="482" t="s">
        <v>109</v>
      </c>
      <c r="G19" s="482">
        <v>35915</v>
      </c>
      <c r="H19" s="482" t="s">
        <v>25</v>
      </c>
      <c r="I19" s="483"/>
    </row>
    <row r="20" spans="3:9">
      <c r="C20" s="480">
        <v>15</v>
      </c>
      <c r="D20" s="481">
        <v>691</v>
      </c>
      <c r="E20" s="192">
        <v>45685</v>
      </c>
      <c r="F20" s="482" t="s">
        <v>109</v>
      </c>
      <c r="G20" s="482">
        <v>35514</v>
      </c>
      <c r="H20" s="482" t="s">
        <v>25</v>
      </c>
      <c r="I20" s="483"/>
    </row>
    <row r="21" spans="3:9">
      <c r="C21" s="480">
        <v>16</v>
      </c>
      <c r="D21" s="481">
        <v>692</v>
      </c>
      <c r="E21" s="192">
        <v>45686</v>
      </c>
      <c r="F21" s="482" t="s">
        <v>109</v>
      </c>
      <c r="G21" s="482">
        <v>35550</v>
      </c>
      <c r="H21" s="482" t="s">
        <v>25</v>
      </c>
      <c r="I21" s="483"/>
    </row>
    <row r="22" spans="3:9">
      <c r="C22" s="480">
        <v>17</v>
      </c>
      <c r="D22" s="481">
        <v>693</v>
      </c>
      <c r="E22" s="192">
        <v>45686</v>
      </c>
      <c r="F22" s="482" t="s">
        <v>109</v>
      </c>
      <c r="G22" s="482">
        <v>35100</v>
      </c>
      <c r="H22" s="482" t="s">
        <v>25</v>
      </c>
      <c r="I22" s="483"/>
    </row>
    <row r="23" spans="3:9">
      <c r="C23" s="480">
        <v>18</v>
      </c>
      <c r="D23" s="481">
        <v>694</v>
      </c>
      <c r="E23" s="192">
        <v>45686</v>
      </c>
      <c r="F23" s="482" t="s">
        <v>109</v>
      </c>
      <c r="G23" s="482">
        <v>35150</v>
      </c>
      <c r="H23" s="482" t="s">
        <v>25</v>
      </c>
      <c r="I23" s="483"/>
    </row>
    <row r="24" spans="3:9">
      <c r="C24" s="480">
        <v>19</v>
      </c>
      <c r="D24" s="481">
        <v>695</v>
      </c>
      <c r="E24" s="192">
        <v>45686</v>
      </c>
      <c r="F24" s="482" t="s">
        <v>109</v>
      </c>
      <c r="G24" s="482">
        <v>35400</v>
      </c>
      <c r="H24" s="482" t="s">
        <v>25</v>
      </c>
      <c r="I24" s="483"/>
    </row>
    <row r="25" spans="3:9">
      <c r="C25" s="480">
        <v>20</v>
      </c>
      <c r="D25" s="481">
        <v>696</v>
      </c>
      <c r="E25" s="192">
        <v>45687</v>
      </c>
      <c r="F25" s="482" t="s">
        <v>109</v>
      </c>
      <c r="G25" s="482">
        <v>35960</v>
      </c>
      <c r="H25" s="482" t="s">
        <v>25</v>
      </c>
      <c r="I25" s="483"/>
    </row>
    <row r="26" spans="3:9">
      <c r="C26" s="480">
        <v>21</v>
      </c>
      <c r="D26" s="481">
        <v>697</v>
      </c>
      <c r="E26" s="192">
        <v>45686</v>
      </c>
      <c r="F26" s="482" t="s">
        <v>109</v>
      </c>
      <c r="G26" s="482">
        <v>36540</v>
      </c>
      <c r="H26" s="482" t="s">
        <v>25</v>
      </c>
      <c r="I26" s="483"/>
    </row>
    <row r="27" spans="3:9">
      <c r="C27" s="480">
        <v>22</v>
      </c>
      <c r="D27" s="481">
        <v>557</v>
      </c>
      <c r="E27" s="192">
        <v>45696</v>
      </c>
      <c r="F27" s="482" t="s">
        <v>109</v>
      </c>
      <c r="G27" s="482">
        <v>35650</v>
      </c>
      <c r="H27" s="482" t="s">
        <v>25</v>
      </c>
      <c r="I27" s="484"/>
    </row>
    <row r="28" spans="3:9">
      <c r="C28" s="480">
        <v>23</v>
      </c>
      <c r="D28" s="481">
        <v>556</v>
      </c>
      <c r="E28" s="192">
        <v>45696</v>
      </c>
      <c r="F28" s="482" t="s">
        <v>109</v>
      </c>
      <c r="G28" s="482">
        <v>35990</v>
      </c>
      <c r="H28" s="482" t="s">
        <v>25</v>
      </c>
      <c r="I28" s="484"/>
    </row>
    <row r="29" spans="3:9">
      <c r="C29" s="480">
        <v>24</v>
      </c>
      <c r="D29" s="481">
        <v>555</v>
      </c>
      <c r="E29" s="192">
        <v>45695</v>
      </c>
      <c r="F29" s="482" t="s">
        <v>109</v>
      </c>
      <c r="G29" s="482">
        <v>35500</v>
      </c>
      <c r="H29" s="482" t="s">
        <v>25</v>
      </c>
      <c r="I29" s="484"/>
    </row>
    <row r="30" spans="3:9">
      <c r="C30" s="480">
        <v>25</v>
      </c>
      <c r="D30" s="481">
        <v>554</v>
      </c>
      <c r="E30" s="192">
        <v>45695</v>
      </c>
      <c r="F30" s="482" t="s">
        <v>109</v>
      </c>
      <c r="G30" s="482">
        <v>35970</v>
      </c>
      <c r="H30" s="482" t="s">
        <v>25</v>
      </c>
      <c r="I30" s="484"/>
    </row>
    <row r="31" spans="3:9">
      <c r="C31" s="480">
        <v>26</v>
      </c>
      <c r="D31" s="481">
        <v>553</v>
      </c>
      <c r="E31" s="192">
        <v>45695</v>
      </c>
      <c r="F31" s="482" t="s">
        <v>109</v>
      </c>
      <c r="G31" s="482">
        <v>35750</v>
      </c>
      <c r="H31" s="482" t="s">
        <v>25</v>
      </c>
      <c r="I31" s="484"/>
    </row>
    <row r="32" spans="3:9">
      <c r="C32" s="480">
        <v>27</v>
      </c>
      <c r="D32" s="481">
        <v>552</v>
      </c>
      <c r="E32" s="192">
        <v>45694</v>
      </c>
      <c r="F32" s="485" t="s">
        <v>109</v>
      </c>
      <c r="G32" s="486">
        <v>35910</v>
      </c>
      <c r="H32" s="487" t="s">
        <v>25</v>
      </c>
      <c r="I32" s="484"/>
    </row>
    <row r="33" spans="3:9">
      <c r="C33" s="480"/>
      <c r="D33" s="481"/>
      <c r="E33" s="488" t="s">
        <v>148</v>
      </c>
      <c r="F33" s="485"/>
      <c r="G33" s="486"/>
      <c r="H33" s="487"/>
      <c r="I33" s="484"/>
    </row>
    <row r="34" spans="3:9">
      <c r="C34" s="480">
        <v>28</v>
      </c>
      <c r="D34" s="481">
        <v>563</v>
      </c>
      <c r="E34" s="192">
        <v>45701</v>
      </c>
      <c r="F34" s="485" t="s">
        <v>109</v>
      </c>
      <c r="G34" s="486">
        <v>35890</v>
      </c>
      <c r="H34" s="487" t="s">
        <v>25</v>
      </c>
      <c r="I34" s="484"/>
    </row>
    <row r="35" spans="3:9">
      <c r="C35" s="480">
        <v>29</v>
      </c>
      <c r="D35" s="481">
        <v>571</v>
      </c>
      <c r="E35" s="192">
        <v>45703</v>
      </c>
      <c r="F35" s="485" t="s">
        <v>109</v>
      </c>
      <c r="G35" s="486">
        <v>36110</v>
      </c>
      <c r="H35" s="487" t="s">
        <v>25</v>
      </c>
      <c r="I35" s="484"/>
    </row>
    <row r="36" spans="3:9">
      <c r="C36" s="480">
        <v>30</v>
      </c>
      <c r="D36" s="481">
        <v>591</v>
      </c>
      <c r="E36" s="192">
        <v>45714</v>
      </c>
      <c r="F36" s="485" t="s">
        <v>109</v>
      </c>
      <c r="G36" s="486">
        <v>36800</v>
      </c>
      <c r="H36" s="487" t="s">
        <v>25</v>
      </c>
      <c r="I36" s="484"/>
    </row>
    <row r="37" spans="3:9">
      <c r="C37" s="480">
        <v>31</v>
      </c>
      <c r="D37" s="481">
        <v>592</v>
      </c>
      <c r="E37" s="192">
        <v>45714</v>
      </c>
      <c r="F37" s="485" t="s">
        <v>109</v>
      </c>
      <c r="G37" s="486">
        <v>36800</v>
      </c>
      <c r="H37" s="487" t="s">
        <v>25</v>
      </c>
      <c r="I37" s="484"/>
    </row>
    <row r="38" spans="3:9">
      <c r="C38" s="480">
        <v>32</v>
      </c>
      <c r="D38" s="481">
        <v>593</v>
      </c>
      <c r="E38" s="192">
        <v>45715</v>
      </c>
      <c r="F38" s="485" t="s">
        <v>109</v>
      </c>
      <c r="G38" s="486">
        <v>36800</v>
      </c>
      <c r="H38" s="487" t="s">
        <v>25</v>
      </c>
      <c r="I38" s="484"/>
    </row>
    <row r="39" spans="3:9">
      <c r="C39" s="480">
        <v>33</v>
      </c>
      <c r="D39" s="481">
        <v>600</v>
      </c>
      <c r="E39" s="192">
        <v>45717</v>
      </c>
      <c r="F39" s="485" t="s">
        <v>109</v>
      </c>
      <c r="G39" s="486">
        <v>36800</v>
      </c>
      <c r="H39" s="487" t="s">
        <v>25</v>
      </c>
      <c r="I39" s="484"/>
    </row>
    <row r="40" spans="3:9">
      <c r="C40" s="480">
        <v>34</v>
      </c>
      <c r="D40" s="481">
        <v>202</v>
      </c>
      <c r="E40" s="192">
        <v>45720</v>
      </c>
      <c r="F40" s="485" t="s">
        <v>109</v>
      </c>
      <c r="G40" s="486">
        <v>36800</v>
      </c>
      <c r="H40" s="487" t="s">
        <v>25</v>
      </c>
      <c r="I40" s="484"/>
    </row>
    <row r="41" spans="3:9">
      <c r="C41" s="480">
        <v>35</v>
      </c>
      <c r="D41" s="481">
        <v>205</v>
      </c>
      <c r="E41" s="192">
        <v>45720</v>
      </c>
      <c r="F41" s="485" t="s">
        <v>109</v>
      </c>
      <c r="G41" s="486">
        <v>36300</v>
      </c>
      <c r="H41" s="487" t="s">
        <v>25</v>
      </c>
      <c r="I41" s="484"/>
    </row>
    <row r="42" spans="3:9">
      <c r="C42" s="480">
        <v>36</v>
      </c>
      <c r="D42" s="481">
        <v>206</v>
      </c>
      <c r="E42" s="192">
        <v>45720</v>
      </c>
      <c r="F42" s="485" t="s">
        <v>109</v>
      </c>
      <c r="G42" s="486">
        <v>35610</v>
      </c>
      <c r="H42" s="487" t="s">
        <v>25</v>
      </c>
      <c r="I42" s="484"/>
    </row>
    <row r="43" spans="3:9">
      <c r="C43" s="480">
        <v>37</v>
      </c>
      <c r="D43" s="481">
        <v>207</v>
      </c>
      <c r="E43" s="192">
        <v>45726</v>
      </c>
      <c r="F43" s="485" t="s">
        <v>109</v>
      </c>
      <c r="G43" s="486">
        <v>36800</v>
      </c>
      <c r="H43" s="487" t="s">
        <v>25</v>
      </c>
      <c r="I43" s="484"/>
    </row>
    <row r="44" spans="3:9">
      <c r="C44" s="480">
        <v>38</v>
      </c>
      <c r="D44" s="481">
        <v>208</v>
      </c>
      <c r="E44" s="192">
        <v>45726</v>
      </c>
      <c r="F44" s="485" t="s">
        <v>109</v>
      </c>
      <c r="G44" s="486">
        <v>36650</v>
      </c>
      <c r="H44" s="487" t="s">
        <v>25</v>
      </c>
      <c r="I44" s="484"/>
    </row>
    <row r="45" spans="3:9">
      <c r="C45" s="480">
        <v>39</v>
      </c>
      <c r="D45" s="481">
        <v>209</v>
      </c>
      <c r="E45" s="192">
        <v>45726</v>
      </c>
      <c r="F45" s="485" t="s">
        <v>109</v>
      </c>
      <c r="G45" s="486">
        <v>36250</v>
      </c>
      <c r="H45" s="487" t="s">
        <v>25</v>
      </c>
      <c r="I45" s="484"/>
    </row>
    <row r="46" spans="3:9">
      <c r="C46" s="480">
        <v>40</v>
      </c>
      <c r="D46" s="481">
        <v>210</v>
      </c>
      <c r="E46" s="192">
        <v>45727</v>
      </c>
      <c r="F46" s="485" t="s">
        <v>109</v>
      </c>
      <c r="G46" s="486">
        <v>36950</v>
      </c>
      <c r="H46" s="487" t="s">
        <v>25</v>
      </c>
      <c r="I46" s="484"/>
    </row>
    <row r="47" spans="3:9">
      <c r="C47" s="480">
        <v>41</v>
      </c>
      <c r="D47" s="481">
        <v>211</v>
      </c>
      <c r="E47" s="192">
        <v>45727</v>
      </c>
      <c r="F47" s="485" t="s">
        <v>109</v>
      </c>
      <c r="G47" s="486">
        <v>34900</v>
      </c>
      <c r="H47" s="487" t="s">
        <v>25</v>
      </c>
      <c r="I47" s="484"/>
    </row>
    <row r="48" spans="3:9">
      <c r="C48" s="480">
        <v>42</v>
      </c>
      <c r="D48" s="481">
        <v>212</v>
      </c>
      <c r="E48" s="192">
        <v>45727</v>
      </c>
      <c r="F48" s="485" t="s">
        <v>109</v>
      </c>
      <c r="G48" s="486">
        <v>38740</v>
      </c>
      <c r="H48" s="487" t="s">
        <v>25</v>
      </c>
      <c r="I48" s="484"/>
    </row>
    <row r="49" spans="3:9">
      <c r="C49" s="480">
        <v>43</v>
      </c>
      <c r="D49" s="481">
        <v>213</v>
      </c>
      <c r="E49" s="192">
        <v>45727</v>
      </c>
      <c r="F49" s="485" t="s">
        <v>109</v>
      </c>
      <c r="G49" s="486">
        <v>38640</v>
      </c>
      <c r="H49" s="487" t="s">
        <v>25</v>
      </c>
      <c r="I49" s="484"/>
    </row>
    <row r="50" spans="3:9">
      <c r="C50" s="480">
        <v>44</v>
      </c>
      <c r="D50" s="481">
        <v>216</v>
      </c>
      <c r="E50" s="192">
        <v>45736</v>
      </c>
      <c r="F50" s="485" t="s">
        <v>109</v>
      </c>
      <c r="G50" s="486">
        <v>36800</v>
      </c>
      <c r="H50" s="487" t="s">
        <v>25</v>
      </c>
      <c r="I50" s="484"/>
    </row>
    <row r="51" spans="3:9">
      <c r="C51" s="480">
        <v>45</v>
      </c>
      <c r="D51" s="481">
        <v>217</v>
      </c>
      <c r="E51" s="192">
        <v>45737</v>
      </c>
      <c r="F51" s="485" t="s">
        <v>109</v>
      </c>
      <c r="G51" s="486">
        <v>36800</v>
      </c>
      <c r="H51" s="487" t="s">
        <v>25</v>
      </c>
      <c r="I51" s="484"/>
    </row>
    <row r="52" spans="3:9">
      <c r="C52" s="480">
        <v>46</v>
      </c>
      <c r="D52" s="481">
        <v>218</v>
      </c>
      <c r="E52" s="192">
        <v>45738</v>
      </c>
      <c r="F52" s="485" t="s">
        <v>109</v>
      </c>
      <c r="G52" s="486">
        <v>36800</v>
      </c>
      <c r="H52" s="487" t="s">
        <v>25</v>
      </c>
      <c r="I52" s="484"/>
    </row>
    <row r="53" spans="3:9">
      <c r="C53" s="480">
        <v>47</v>
      </c>
      <c r="D53" s="481">
        <v>219</v>
      </c>
      <c r="E53" s="192">
        <v>45738</v>
      </c>
      <c r="F53" s="485" t="s">
        <v>109</v>
      </c>
      <c r="G53" s="486">
        <v>36800</v>
      </c>
      <c r="H53" s="487" t="s">
        <v>25</v>
      </c>
      <c r="I53" s="484"/>
    </row>
    <row r="54" spans="3:9">
      <c r="C54" s="480">
        <v>48</v>
      </c>
      <c r="D54" s="481">
        <v>222</v>
      </c>
      <c r="E54" s="192">
        <v>45749</v>
      </c>
      <c r="F54" s="485" t="s">
        <v>109</v>
      </c>
      <c r="G54" s="486">
        <v>36800</v>
      </c>
      <c r="H54" s="487" t="s">
        <v>25</v>
      </c>
      <c r="I54" s="484"/>
    </row>
    <row r="55" spans="3:9">
      <c r="C55" s="480">
        <v>49</v>
      </c>
      <c r="D55" s="481">
        <v>223</v>
      </c>
      <c r="E55" s="192">
        <v>45751</v>
      </c>
      <c r="F55" s="485" t="s">
        <v>109</v>
      </c>
      <c r="G55" s="486">
        <v>36800</v>
      </c>
      <c r="H55" s="487" t="s">
        <v>25</v>
      </c>
      <c r="I55" s="484"/>
    </row>
    <row r="56" spans="3:9">
      <c r="C56" s="480">
        <v>50</v>
      </c>
      <c r="D56" s="481">
        <v>224</v>
      </c>
      <c r="E56" s="192">
        <v>45754</v>
      </c>
      <c r="F56" s="485" t="s">
        <v>109</v>
      </c>
      <c r="G56" s="486">
        <v>36800</v>
      </c>
      <c r="H56" s="487" t="s">
        <v>25</v>
      </c>
      <c r="I56" s="484"/>
    </row>
    <row r="57" spans="3:9">
      <c r="C57" s="480">
        <v>51</v>
      </c>
      <c r="D57" s="481">
        <v>225</v>
      </c>
      <c r="E57" s="192">
        <v>45754</v>
      </c>
      <c r="F57" s="485" t="s">
        <v>109</v>
      </c>
      <c r="G57" s="486">
        <v>36800</v>
      </c>
      <c r="H57" s="487" t="s">
        <v>25</v>
      </c>
      <c r="I57" s="484"/>
    </row>
    <row r="58" spans="3:9">
      <c r="C58" s="480">
        <v>52</v>
      </c>
      <c r="D58" s="481">
        <v>226</v>
      </c>
      <c r="E58" s="192">
        <v>45756</v>
      </c>
      <c r="F58" s="485" t="s">
        <v>109</v>
      </c>
      <c r="G58" s="486">
        <v>36800</v>
      </c>
      <c r="H58" s="487" t="s">
        <v>25</v>
      </c>
      <c r="I58" s="484"/>
    </row>
    <row r="59" spans="3:9">
      <c r="C59" s="480">
        <v>53</v>
      </c>
      <c r="D59" s="481">
        <v>228</v>
      </c>
      <c r="E59" s="192">
        <v>45758</v>
      </c>
      <c r="F59" s="485" t="s">
        <v>109</v>
      </c>
      <c r="G59" s="486">
        <v>48200</v>
      </c>
      <c r="H59" s="487" t="s">
        <v>25</v>
      </c>
      <c r="I59" s="484"/>
    </row>
    <row r="60" spans="3:9">
      <c r="C60" s="480">
        <v>54</v>
      </c>
      <c r="D60" s="481">
        <v>233</v>
      </c>
      <c r="E60" s="192">
        <v>45761</v>
      </c>
      <c r="F60" s="485" t="s">
        <v>109</v>
      </c>
      <c r="G60" s="486">
        <v>48210</v>
      </c>
      <c r="H60" s="487" t="s">
        <v>25</v>
      </c>
      <c r="I60" s="484"/>
    </row>
    <row r="61" spans="3:9">
      <c r="C61" s="480">
        <v>55</v>
      </c>
      <c r="D61" s="481">
        <v>234</v>
      </c>
      <c r="E61" s="192">
        <v>45761</v>
      </c>
      <c r="F61" s="485" t="s">
        <v>109</v>
      </c>
      <c r="G61" s="486">
        <v>46420</v>
      </c>
      <c r="H61" s="487" t="s">
        <v>25</v>
      </c>
      <c r="I61" s="484"/>
    </row>
    <row r="62" spans="3:9">
      <c r="C62" s="480">
        <v>56</v>
      </c>
      <c r="D62" s="481">
        <v>235</v>
      </c>
      <c r="E62" s="192">
        <v>45762</v>
      </c>
      <c r="F62" s="485" t="s">
        <v>109</v>
      </c>
      <c r="G62" s="486">
        <v>46710</v>
      </c>
      <c r="H62" s="487" t="s">
        <v>25</v>
      </c>
      <c r="I62" s="484"/>
    </row>
    <row r="63" spans="3:9">
      <c r="C63" s="480">
        <v>57</v>
      </c>
      <c r="D63" s="481">
        <v>245</v>
      </c>
      <c r="E63" s="192">
        <v>45786</v>
      </c>
      <c r="F63" s="485" t="s">
        <v>109</v>
      </c>
      <c r="G63" s="486">
        <v>46800</v>
      </c>
      <c r="H63" s="487" t="s">
        <v>25</v>
      </c>
      <c r="I63" s="484"/>
    </row>
    <row r="64" spans="3:9">
      <c r="C64" s="480">
        <v>58</v>
      </c>
      <c r="D64" s="481">
        <v>246</v>
      </c>
      <c r="E64" s="192">
        <v>45786</v>
      </c>
      <c r="F64" s="485" t="s">
        <v>109</v>
      </c>
      <c r="G64" s="486">
        <v>47910</v>
      </c>
      <c r="H64" s="487" t="s">
        <v>25</v>
      </c>
      <c r="I64" s="484"/>
    </row>
    <row r="65" spans="3:9">
      <c r="C65" s="480">
        <v>59</v>
      </c>
      <c r="D65" s="481">
        <v>707</v>
      </c>
      <c r="E65" s="192">
        <v>45811</v>
      </c>
      <c r="F65" s="485" t="s">
        <v>109</v>
      </c>
      <c r="G65" s="486">
        <v>34480</v>
      </c>
      <c r="H65" s="487" t="s">
        <v>25</v>
      </c>
      <c r="I65" s="484"/>
    </row>
    <row r="66" spans="3:9">
      <c r="C66" s="480">
        <v>60</v>
      </c>
      <c r="D66" s="481">
        <v>709</v>
      </c>
      <c r="E66" s="192">
        <v>45812</v>
      </c>
      <c r="F66" s="485" t="s">
        <v>109</v>
      </c>
      <c r="G66" s="486">
        <v>46840</v>
      </c>
      <c r="H66" s="487" t="s">
        <v>25</v>
      </c>
      <c r="I66" s="484"/>
    </row>
    <row r="67" spans="3:9" ht="15" thickBot="1">
      <c r="C67" s="480">
        <v>61</v>
      </c>
      <c r="D67" s="481">
        <v>710</v>
      </c>
      <c r="E67" s="192">
        <v>45812</v>
      </c>
      <c r="F67" s="485" t="s">
        <v>109</v>
      </c>
      <c r="G67" s="486">
        <v>37100</v>
      </c>
      <c r="H67" s="487" t="s">
        <v>25</v>
      </c>
      <c r="I67" s="484"/>
    </row>
    <row r="68" spans="3:9">
      <c r="C68" s="480"/>
      <c r="D68" s="481"/>
      <c r="E68" s="192"/>
      <c r="F68" s="489"/>
      <c r="G68" s="490">
        <f>SUM(G6:G67)</f>
        <v>2273209</v>
      </c>
      <c r="H68" s="491"/>
      <c r="I68" s="484"/>
    </row>
    <row r="69" spans="3:9" ht="15.75" thickBot="1">
      <c r="C69" s="492"/>
      <c r="D69" s="493"/>
      <c r="E69" s="494"/>
      <c r="F69" s="495"/>
      <c r="G69" s="496">
        <f>+G68/2100</f>
        <v>1082.4804761904761</v>
      </c>
      <c r="H69" s="497" t="s">
        <v>28</v>
      </c>
      <c r="I69" s="498"/>
    </row>
    <row r="70" spans="3:9">
      <c r="C70" s="490">
        <v>1</v>
      </c>
      <c r="D70" s="499">
        <v>672</v>
      </c>
      <c r="E70" s="500">
        <v>45678</v>
      </c>
      <c r="F70" s="501" t="s">
        <v>110</v>
      </c>
      <c r="G70" s="501">
        <v>32900</v>
      </c>
      <c r="H70" s="501" t="s">
        <v>25</v>
      </c>
      <c r="I70" s="491"/>
    </row>
    <row r="71" spans="3:9">
      <c r="C71" s="480">
        <v>2</v>
      </c>
      <c r="D71" s="481">
        <v>673</v>
      </c>
      <c r="E71" s="192">
        <v>45679</v>
      </c>
      <c r="F71" s="482" t="s">
        <v>110</v>
      </c>
      <c r="G71" s="482">
        <v>34250</v>
      </c>
      <c r="H71" s="482" t="s">
        <v>25</v>
      </c>
      <c r="I71" s="483"/>
    </row>
    <row r="72" spans="3:9">
      <c r="C72" s="480">
        <v>3</v>
      </c>
      <c r="D72" s="481">
        <v>674</v>
      </c>
      <c r="E72" s="192">
        <v>45679</v>
      </c>
      <c r="F72" s="482" t="s">
        <v>110</v>
      </c>
      <c r="G72" s="482">
        <v>35630</v>
      </c>
      <c r="H72" s="482" t="s">
        <v>25</v>
      </c>
      <c r="I72" s="483"/>
    </row>
    <row r="73" spans="3:9">
      <c r="C73" s="480">
        <v>4</v>
      </c>
      <c r="D73" s="481">
        <v>675</v>
      </c>
      <c r="E73" s="192">
        <v>45679</v>
      </c>
      <c r="F73" s="482" t="s">
        <v>110</v>
      </c>
      <c r="G73" s="482">
        <v>36490</v>
      </c>
      <c r="H73" s="482" t="s">
        <v>25</v>
      </c>
      <c r="I73" s="483"/>
    </row>
    <row r="74" spans="3:9">
      <c r="C74" s="480">
        <v>5</v>
      </c>
      <c r="D74" s="481">
        <v>676</v>
      </c>
      <c r="E74" s="192">
        <v>45680</v>
      </c>
      <c r="F74" s="482" t="s">
        <v>110</v>
      </c>
      <c r="G74" s="482">
        <v>36110</v>
      </c>
      <c r="H74" s="482" t="s">
        <v>25</v>
      </c>
      <c r="I74" s="483"/>
    </row>
    <row r="75" spans="3:9">
      <c r="C75" s="480">
        <v>6</v>
      </c>
      <c r="D75" s="481">
        <v>677</v>
      </c>
      <c r="E75" s="192">
        <v>45680</v>
      </c>
      <c r="F75" s="482" t="s">
        <v>110</v>
      </c>
      <c r="G75" s="482">
        <v>35910</v>
      </c>
      <c r="H75" s="482" t="s">
        <v>25</v>
      </c>
      <c r="I75" s="483"/>
    </row>
    <row r="76" spans="3:9">
      <c r="C76" s="480">
        <v>7</v>
      </c>
      <c r="D76" s="481">
        <v>678</v>
      </c>
      <c r="E76" s="192">
        <v>45680</v>
      </c>
      <c r="F76" s="482" t="s">
        <v>110</v>
      </c>
      <c r="G76" s="482">
        <v>35900</v>
      </c>
      <c r="H76" s="482" t="s">
        <v>25</v>
      </c>
      <c r="I76" s="483"/>
    </row>
    <row r="77" spans="3:9">
      <c r="C77" s="480">
        <v>8</v>
      </c>
      <c r="D77" s="481">
        <v>679</v>
      </c>
      <c r="E77" s="192">
        <v>45680</v>
      </c>
      <c r="F77" s="482" t="s">
        <v>110</v>
      </c>
      <c r="G77" s="482">
        <v>36500</v>
      </c>
      <c r="H77" s="482" t="s">
        <v>25</v>
      </c>
      <c r="I77" s="483"/>
    </row>
    <row r="78" spans="3:9">
      <c r="C78" s="480">
        <v>9</v>
      </c>
      <c r="D78" s="481">
        <v>680</v>
      </c>
      <c r="E78" s="192">
        <v>45680</v>
      </c>
      <c r="F78" s="482" t="s">
        <v>110</v>
      </c>
      <c r="G78" s="482">
        <v>36890</v>
      </c>
      <c r="H78" s="482" t="s">
        <v>25</v>
      </c>
      <c r="I78" s="483"/>
    </row>
    <row r="79" spans="3:9">
      <c r="C79" s="480">
        <v>10</v>
      </c>
      <c r="D79" s="481">
        <v>681</v>
      </c>
      <c r="E79" s="192">
        <v>45680</v>
      </c>
      <c r="F79" s="482" t="s">
        <v>110</v>
      </c>
      <c r="G79" s="482">
        <v>38520</v>
      </c>
      <c r="H79" s="482" t="s">
        <v>25</v>
      </c>
      <c r="I79" s="483"/>
    </row>
    <row r="80" spans="3:9">
      <c r="C80" s="480">
        <v>11</v>
      </c>
      <c r="D80" s="481">
        <v>681</v>
      </c>
      <c r="E80" s="192">
        <v>45681</v>
      </c>
      <c r="F80" s="482" t="s">
        <v>110</v>
      </c>
      <c r="G80" s="482">
        <v>36190</v>
      </c>
      <c r="H80" s="482" t="s">
        <v>25</v>
      </c>
      <c r="I80" s="483"/>
    </row>
    <row r="81" spans="3:9">
      <c r="C81" s="480">
        <v>12</v>
      </c>
      <c r="D81" s="481">
        <v>684</v>
      </c>
      <c r="E81" s="192">
        <v>45682</v>
      </c>
      <c r="F81" s="482" t="s">
        <v>110</v>
      </c>
      <c r="G81" s="502">
        <v>36410</v>
      </c>
      <c r="H81" s="502" t="s">
        <v>25</v>
      </c>
      <c r="I81" s="483"/>
    </row>
    <row r="82" spans="3:9">
      <c r="C82" s="480">
        <v>13</v>
      </c>
      <c r="D82" s="481">
        <v>560</v>
      </c>
      <c r="E82" s="192">
        <v>45697</v>
      </c>
      <c r="F82" s="489" t="s">
        <v>110</v>
      </c>
      <c r="G82" s="486">
        <v>35750</v>
      </c>
      <c r="H82" s="487" t="s">
        <v>25</v>
      </c>
      <c r="I82" s="484"/>
    </row>
    <row r="83" spans="3:9">
      <c r="C83" s="480">
        <v>14</v>
      </c>
      <c r="D83" s="481">
        <v>562</v>
      </c>
      <c r="E83" s="192">
        <v>45700</v>
      </c>
      <c r="F83" s="489" t="s">
        <v>110</v>
      </c>
      <c r="G83" s="486">
        <v>35910</v>
      </c>
      <c r="H83" s="487" t="s">
        <v>25</v>
      </c>
      <c r="I83" s="484"/>
    </row>
    <row r="84" spans="3:9">
      <c r="C84" s="480">
        <v>15</v>
      </c>
      <c r="D84" s="481">
        <v>565</v>
      </c>
      <c r="E84" s="192">
        <v>45702</v>
      </c>
      <c r="F84" s="489" t="s">
        <v>110</v>
      </c>
      <c r="G84" s="486">
        <v>35900</v>
      </c>
      <c r="H84" s="487" t="s">
        <v>25</v>
      </c>
      <c r="I84" s="484"/>
    </row>
    <row r="85" spans="3:9">
      <c r="C85" s="480">
        <v>16</v>
      </c>
      <c r="D85" s="481">
        <v>566</v>
      </c>
      <c r="E85" s="192">
        <v>45702</v>
      </c>
      <c r="F85" s="489" t="s">
        <v>110</v>
      </c>
      <c r="G85" s="486">
        <v>35980</v>
      </c>
      <c r="H85" s="487" t="s">
        <v>25</v>
      </c>
      <c r="I85" s="484"/>
    </row>
    <row r="86" spans="3:9">
      <c r="C86" s="480">
        <v>17</v>
      </c>
      <c r="D86" s="481">
        <v>567</v>
      </c>
      <c r="E86" s="192">
        <v>45702</v>
      </c>
      <c r="F86" s="489" t="s">
        <v>110</v>
      </c>
      <c r="G86" s="486">
        <v>36240</v>
      </c>
      <c r="H86" s="487" t="s">
        <v>25</v>
      </c>
      <c r="I86" s="484"/>
    </row>
    <row r="87" spans="3:9">
      <c r="C87" s="480">
        <v>18</v>
      </c>
      <c r="D87" s="481">
        <v>568</v>
      </c>
      <c r="E87" s="192">
        <v>45702</v>
      </c>
      <c r="F87" s="489" t="s">
        <v>110</v>
      </c>
      <c r="G87" s="486">
        <v>36280</v>
      </c>
      <c r="H87" s="487" t="s">
        <v>25</v>
      </c>
      <c r="I87" s="484"/>
    </row>
    <row r="88" spans="3:9">
      <c r="C88" s="480">
        <v>19</v>
      </c>
      <c r="D88" s="481">
        <v>569</v>
      </c>
      <c r="E88" s="192">
        <v>45702</v>
      </c>
      <c r="F88" s="489" t="s">
        <v>110</v>
      </c>
      <c r="G88" s="486">
        <v>36330</v>
      </c>
      <c r="H88" s="487" t="s">
        <v>25</v>
      </c>
      <c r="I88" s="484"/>
    </row>
    <row r="89" spans="3:9">
      <c r="C89" s="480">
        <v>20</v>
      </c>
      <c r="D89" s="481">
        <v>570</v>
      </c>
      <c r="E89" s="192">
        <v>45702</v>
      </c>
      <c r="F89" s="489" t="s">
        <v>110</v>
      </c>
      <c r="G89" s="486">
        <v>36500</v>
      </c>
      <c r="H89" s="487" t="s">
        <v>25</v>
      </c>
      <c r="I89" s="484"/>
    </row>
    <row r="90" spans="3:9">
      <c r="C90" s="480">
        <v>21</v>
      </c>
      <c r="D90" s="481">
        <v>578</v>
      </c>
      <c r="E90" s="192">
        <v>45709</v>
      </c>
      <c r="F90" s="489" t="s">
        <v>110</v>
      </c>
      <c r="G90" s="486">
        <v>35860</v>
      </c>
      <c r="H90" s="487" t="s">
        <v>25</v>
      </c>
      <c r="I90" s="484"/>
    </row>
    <row r="91" spans="3:9">
      <c r="C91" s="480">
        <v>22</v>
      </c>
      <c r="D91" s="481">
        <v>579</v>
      </c>
      <c r="E91" s="192">
        <v>45709</v>
      </c>
      <c r="F91" s="489" t="s">
        <v>110</v>
      </c>
      <c r="G91" s="486">
        <v>37830</v>
      </c>
      <c r="H91" s="487" t="s">
        <v>25</v>
      </c>
      <c r="I91" s="484"/>
    </row>
    <row r="92" spans="3:9">
      <c r="C92" s="480">
        <v>23</v>
      </c>
      <c r="D92" s="481">
        <v>580</v>
      </c>
      <c r="E92" s="192">
        <v>45709</v>
      </c>
      <c r="F92" s="489" t="s">
        <v>110</v>
      </c>
      <c r="G92" s="486">
        <v>33460</v>
      </c>
      <c r="H92" s="487" t="s">
        <v>25</v>
      </c>
      <c r="I92" s="484"/>
    </row>
    <row r="93" spans="3:9">
      <c r="C93" s="480">
        <v>24</v>
      </c>
      <c r="D93" s="481">
        <v>581</v>
      </c>
      <c r="E93" s="192">
        <v>45709</v>
      </c>
      <c r="F93" s="489" t="s">
        <v>110</v>
      </c>
      <c r="G93" s="486">
        <v>34890</v>
      </c>
      <c r="H93" s="487" t="s">
        <v>25</v>
      </c>
      <c r="I93" s="484"/>
    </row>
    <row r="94" spans="3:9">
      <c r="C94" s="480">
        <v>25</v>
      </c>
      <c r="D94" s="481">
        <v>585</v>
      </c>
      <c r="E94" s="192">
        <v>45710</v>
      </c>
      <c r="F94" s="489" t="s">
        <v>110</v>
      </c>
      <c r="G94" s="486">
        <v>46410</v>
      </c>
      <c r="H94" s="487" t="s">
        <v>25</v>
      </c>
      <c r="I94" s="484"/>
    </row>
    <row r="95" spans="3:9">
      <c r="C95" s="480">
        <v>26</v>
      </c>
      <c r="D95" s="481">
        <v>586</v>
      </c>
      <c r="E95" s="192">
        <v>45711</v>
      </c>
      <c r="F95" s="489" t="s">
        <v>110</v>
      </c>
      <c r="G95" s="486">
        <v>43370</v>
      </c>
      <c r="H95" s="487" t="s">
        <v>25</v>
      </c>
      <c r="I95" s="484"/>
    </row>
    <row r="96" spans="3:9">
      <c r="C96" s="480">
        <v>27</v>
      </c>
      <c r="D96" s="481">
        <v>587</v>
      </c>
      <c r="E96" s="192">
        <v>45711</v>
      </c>
      <c r="F96" s="489" t="s">
        <v>110</v>
      </c>
      <c r="G96" s="486">
        <v>36080</v>
      </c>
      <c r="H96" s="487" t="s">
        <v>25</v>
      </c>
      <c r="I96" s="484"/>
    </row>
    <row r="97" spans="3:9">
      <c r="C97" s="480">
        <v>28</v>
      </c>
      <c r="D97" s="481">
        <v>588</v>
      </c>
      <c r="E97" s="192">
        <v>45711</v>
      </c>
      <c r="F97" s="489" t="s">
        <v>110</v>
      </c>
      <c r="G97" s="486">
        <v>46410</v>
      </c>
      <c r="H97" s="487" t="s">
        <v>25</v>
      </c>
      <c r="I97" s="484"/>
    </row>
    <row r="98" spans="3:9">
      <c r="C98" s="480">
        <v>29</v>
      </c>
      <c r="D98" s="481">
        <v>589</v>
      </c>
      <c r="E98" s="192">
        <v>45711</v>
      </c>
      <c r="F98" s="489" t="s">
        <v>110</v>
      </c>
      <c r="G98" s="486">
        <v>46410</v>
      </c>
      <c r="H98" s="487" t="s">
        <v>25</v>
      </c>
      <c r="I98" s="484"/>
    </row>
    <row r="99" spans="3:9">
      <c r="C99" s="480">
        <v>30</v>
      </c>
      <c r="D99" s="481">
        <v>590</v>
      </c>
      <c r="E99" s="192">
        <v>45712</v>
      </c>
      <c r="F99" s="489" t="s">
        <v>110</v>
      </c>
      <c r="G99" s="486">
        <v>34020</v>
      </c>
      <c r="H99" s="487" t="s">
        <v>25</v>
      </c>
      <c r="I99" s="484"/>
    </row>
    <row r="100" spans="3:9">
      <c r="C100" s="480">
        <v>31</v>
      </c>
      <c r="D100" s="481">
        <v>595</v>
      </c>
      <c r="E100" s="192">
        <v>45715</v>
      </c>
      <c r="F100" s="489" t="s">
        <v>110</v>
      </c>
      <c r="G100" s="486">
        <v>46410</v>
      </c>
      <c r="H100" s="487" t="s">
        <v>25</v>
      </c>
      <c r="I100" s="484"/>
    </row>
    <row r="101" spans="3:9">
      <c r="C101" s="480">
        <v>32</v>
      </c>
      <c r="D101" s="481">
        <v>596</v>
      </c>
      <c r="E101" s="192">
        <v>45715</v>
      </c>
      <c r="F101" s="489" t="s">
        <v>110</v>
      </c>
      <c r="G101" s="486">
        <v>46410</v>
      </c>
      <c r="H101" s="487" t="s">
        <v>25</v>
      </c>
      <c r="I101" s="484"/>
    </row>
    <row r="102" spans="3:9">
      <c r="C102" s="480">
        <v>33</v>
      </c>
      <c r="D102" s="481">
        <v>203</v>
      </c>
      <c r="E102" s="192">
        <v>45720</v>
      </c>
      <c r="F102" s="489" t="s">
        <v>110</v>
      </c>
      <c r="G102" s="486">
        <v>46410</v>
      </c>
      <c r="H102" s="487" t="s">
        <v>25</v>
      </c>
      <c r="I102" s="484"/>
    </row>
    <row r="103" spans="3:9">
      <c r="C103" s="480">
        <v>34</v>
      </c>
      <c r="D103" s="481">
        <v>229</v>
      </c>
      <c r="E103" s="192">
        <v>45758</v>
      </c>
      <c r="F103" s="489" t="s">
        <v>110</v>
      </c>
      <c r="G103" s="486">
        <v>48310</v>
      </c>
      <c r="H103" s="487" t="s">
        <v>25</v>
      </c>
      <c r="I103" s="484"/>
    </row>
    <row r="104" spans="3:9">
      <c r="C104" s="480">
        <v>35</v>
      </c>
      <c r="D104" s="481">
        <v>231</v>
      </c>
      <c r="E104" s="192">
        <v>45761</v>
      </c>
      <c r="F104" s="489" t="s">
        <v>110</v>
      </c>
      <c r="G104" s="486">
        <v>46580</v>
      </c>
      <c r="H104" s="487" t="s">
        <v>25</v>
      </c>
      <c r="I104" s="484"/>
    </row>
    <row r="105" spans="3:9">
      <c r="C105" s="480">
        <v>36</v>
      </c>
      <c r="D105" s="481">
        <v>232</v>
      </c>
      <c r="E105" s="192">
        <v>45761</v>
      </c>
      <c r="F105" s="489" t="s">
        <v>110</v>
      </c>
      <c r="G105" s="486">
        <v>34750</v>
      </c>
      <c r="H105" s="487" t="s">
        <v>25</v>
      </c>
      <c r="I105" s="484"/>
    </row>
    <row r="106" spans="3:9">
      <c r="C106" s="480">
        <v>37</v>
      </c>
      <c r="D106" s="481">
        <v>233</v>
      </c>
      <c r="E106" s="192">
        <v>45761</v>
      </c>
      <c r="F106" s="489" t="s">
        <v>110</v>
      </c>
      <c r="G106" s="486">
        <v>48210</v>
      </c>
      <c r="H106" s="487" t="s">
        <v>25</v>
      </c>
      <c r="I106" s="484"/>
    </row>
    <row r="107" spans="3:9">
      <c r="C107" s="480">
        <v>38</v>
      </c>
      <c r="D107" s="481">
        <v>234</v>
      </c>
      <c r="E107" s="192">
        <v>45761</v>
      </c>
      <c r="F107" s="489" t="s">
        <v>110</v>
      </c>
      <c r="G107" s="486">
        <v>46420</v>
      </c>
      <c r="H107" s="487" t="s">
        <v>25</v>
      </c>
      <c r="I107" s="484"/>
    </row>
    <row r="108" spans="3:9">
      <c r="C108" s="480">
        <v>39</v>
      </c>
      <c r="D108" s="481">
        <v>236</v>
      </c>
      <c r="E108" s="192">
        <v>45769</v>
      </c>
      <c r="F108" s="489" t="s">
        <v>110</v>
      </c>
      <c r="G108" s="486">
        <v>48260</v>
      </c>
      <c r="H108" s="487" t="s">
        <v>25</v>
      </c>
      <c r="I108" s="484"/>
    </row>
    <row r="109" spans="3:9">
      <c r="C109" s="480">
        <v>40</v>
      </c>
      <c r="D109" s="481">
        <v>237</v>
      </c>
      <c r="E109" s="192">
        <v>45769</v>
      </c>
      <c r="F109" s="489" t="s">
        <v>110</v>
      </c>
      <c r="G109" s="486">
        <v>38240</v>
      </c>
      <c r="H109" s="487" t="s">
        <v>25</v>
      </c>
      <c r="I109" s="484"/>
    </row>
    <row r="110" spans="3:9">
      <c r="C110" s="480">
        <v>41</v>
      </c>
      <c r="D110" s="481">
        <v>238</v>
      </c>
      <c r="E110" s="192">
        <v>45769</v>
      </c>
      <c r="F110" s="489" t="s">
        <v>110</v>
      </c>
      <c r="G110" s="486">
        <v>38480</v>
      </c>
      <c r="H110" s="487" t="s">
        <v>25</v>
      </c>
      <c r="I110" s="484"/>
    </row>
    <row r="111" spans="3:9">
      <c r="C111" s="480">
        <v>42</v>
      </c>
      <c r="D111" s="481">
        <v>239</v>
      </c>
      <c r="E111" s="192">
        <v>45770</v>
      </c>
      <c r="F111" s="489" t="s">
        <v>110</v>
      </c>
      <c r="G111" s="486">
        <v>38690</v>
      </c>
      <c r="H111" s="487" t="s">
        <v>25</v>
      </c>
      <c r="I111" s="484"/>
    </row>
    <row r="112" spans="3:9">
      <c r="C112" s="480">
        <v>43</v>
      </c>
      <c r="D112" s="481">
        <v>240</v>
      </c>
      <c r="E112" s="192">
        <v>45783</v>
      </c>
      <c r="F112" s="489" t="s">
        <v>110</v>
      </c>
      <c r="G112" s="486">
        <v>46210</v>
      </c>
      <c r="H112" s="487" t="s">
        <v>25</v>
      </c>
      <c r="I112" s="484"/>
    </row>
    <row r="113" spans="3:9">
      <c r="C113" s="480">
        <v>44</v>
      </c>
      <c r="D113" s="481">
        <v>241</v>
      </c>
      <c r="E113" s="192">
        <v>45783</v>
      </c>
      <c r="F113" s="489" t="s">
        <v>110</v>
      </c>
      <c r="G113" s="486">
        <v>38680</v>
      </c>
      <c r="H113" s="487" t="s">
        <v>25</v>
      </c>
      <c r="I113" s="484"/>
    </row>
    <row r="114" spans="3:9">
      <c r="C114" s="480">
        <v>45</v>
      </c>
      <c r="D114" s="481">
        <v>242</v>
      </c>
      <c r="E114" s="192">
        <v>45784</v>
      </c>
      <c r="F114" s="489" t="s">
        <v>110</v>
      </c>
      <c r="G114" s="486">
        <v>36960</v>
      </c>
      <c r="H114" s="487" t="s">
        <v>25</v>
      </c>
      <c r="I114" s="484"/>
    </row>
    <row r="115" spans="3:9">
      <c r="C115" s="480">
        <v>46</v>
      </c>
      <c r="D115" s="481">
        <v>243</v>
      </c>
      <c r="E115" s="192">
        <v>45784</v>
      </c>
      <c r="F115" s="489" t="s">
        <v>110</v>
      </c>
      <c r="G115" s="486">
        <v>34990</v>
      </c>
      <c r="H115" s="487" t="s">
        <v>25</v>
      </c>
      <c r="I115" s="484"/>
    </row>
    <row r="116" spans="3:9">
      <c r="C116" s="480">
        <v>47</v>
      </c>
      <c r="D116" s="481">
        <v>247</v>
      </c>
      <c r="E116" s="192">
        <v>45786</v>
      </c>
      <c r="F116" s="489" t="s">
        <v>110</v>
      </c>
      <c r="G116" s="486">
        <v>48710</v>
      </c>
      <c r="H116" s="487" t="s">
        <v>25</v>
      </c>
      <c r="I116" s="484"/>
    </row>
    <row r="117" spans="3:9">
      <c r="C117" s="480">
        <v>48</v>
      </c>
      <c r="D117" s="481">
        <v>249</v>
      </c>
      <c r="E117" s="192">
        <v>45792</v>
      </c>
      <c r="F117" s="489" t="s">
        <v>110</v>
      </c>
      <c r="G117" s="486">
        <v>47710</v>
      </c>
      <c r="H117" s="487" t="s">
        <v>25</v>
      </c>
      <c r="I117" s="484"/>
    </row>
    <row r="118" spans="3:9">
      <c r="C118" s="480">
        <v>49</v>
      </c>
      <c r="D118" s="481">
        <v>250</v>
      </c>
      <c r="E118" s="192">
        <v>45792</v>
      </c>
      <c r="F118" s="489" t="s">
        <v>110</v>
      </c>
      <c r="G118" s="486">
        <v>48710</v>
      </c>
      <c r="H118" s="487" t="s">
        <v>25</v>
      </c>
      <c r="I118" s="484"/>
    </row>
    <row r="119" spans="3:9">
      <c r="C119" s="480">
        <v>50</v>
      </c>
      <c r="D119" s="481">
        <v>702</v>
      </c>
      <c r="E119" s="192">
        <v>45792</v>
      </c>
      <c r="F119" s="489" t="s">
        <v>110</v>
      </c>
      <c r="G119" s="486">
        <v>48780</v>
      </c>
      <c r="H119" s="487" t="s">
        <v>25</v>
      </c>
      <c r="I119" s="484"/>
    </row>
    <row r="120" spans="3:9">
      <c r="C120" s="480">
        <v>51</v>
      </c>
      <c r="D120" s="481">
        <v>703</v>
      </c>
      <c r="E120" s="192">
        <v>45792</v>
      </c>
      <c r="F120" s="489" t="s">
        <v>110</v>
      </c>
      <c r="G120" s="486">
        <v>46890</v>
      </c>
      <c r="H120" s="487" t="s">
        <v>25</v>
      </c>
      <c r="I120" s="484"/>
    </row>
    <row r="121" spans="3:9">
      <c r="C121" s="480">
        <v>52</v>
      </c>
      <c r="D121" s="481">
        <v>706</v>
      </c>
      <c r="E121" s="192">
        <v>45811</v>
      </c>
      <c r="F121" s="489" t="s">
        <v>110</v>
      </c>
      <c r="G121" s="486">
        <v>37370</v>
      </c>
      <c r="H121" s="487" t="s">
        <v>25</v>
      </c>
      <c r="I121" s="484"/>
    </row>
    <row r="122" spans="3:9">
      <c r="C122" s="480">
        <v>53</v>
      </c>
      <c r="D122" s="481">
        <v>711</v>
      </c>
      <c r="E122" s="192">
        <v>45813</v>
      </c>
      <c r="F122" s="489" t="s">
        <v>110</v>
      </c>
      <c r="G122" s="486">
        <v>37470</v>
      </c>
      <c r="H122" s="487" t="s">
        <v>25</v>
      </c>
      <c r="I122" s="484"/>
    </row>
    <row r="123" spans="3:9">
      <c r="C123" s="480">
        <v>54</v>
      </c>
      <c r="D123" s="481">
        <v>712</v>
      </c>
      <c r="E123" s="192">
        <v>45814</v>
      </c>
      <c r="F123" s="489" t="s">
        <v>110</v>
      </c>
      <c r="G123" s="486">
        <v>37100</v>
      </c>
      <c r="H123" s="487" t="s">
        <v>25</v>
      </c>
      <c r="I123" s="484"/>
    </row>
    <row r="124" spans="3:9">
      <c r="C124" s="480">
        <v>55</v>
      </c>
      <c r="D124" s="481">
        <v>712</v>
      </c>
      <c r="E124" s="192">
        <v>45814</v>
      </c>
      <c r="F124" s="489" t="s">
        <v>110</v>
      </c>
      <c r="G124" s="486">
        <v>38140</v>
      </c>
      <c r="H124" s="487" t="s">
        <v>25</v>
      </c>
      <c r="I124" s="484"/>
    </row>
    <row r="125" spans="3:9" ht="15" thickBot="1">
      <c r="C125" s="480">
        <v>56</v>
      </c>
      <c r="D125" s="481">
        <v>712</v>
      </c>
      <c r="E125" s="192">
        <v>45814</v>
      </c>
      <c r="F125" s="489" t="s">
        <v>110</v>
      </c>
      <c r="G125" s="486">
        <v>38960</v>
      </c>
      <c r="H125" s="487" t="s">
        <v>25</v>
      </c>
      <c r="I125" s="484"/>
    </row>
    <row r="126" spans="3:9" ht="15">
      <c r="C126" s="480"/>
      <c r="D126" s="481"/>
      <c r="E126" s="192"/>
      <c r="F126" s="489"/>
      <c r="G126" s="503">
        <f>SUM(G70:G125)</f>
        <v>2229180</v>
      </c>
      <c r="H126" s="504"/>
      <c r="I126" s="484"/>
    </row>
    <row r="127" spans="3:9" ht="15.75" thickBot="1">
      <c r="C127" s="492"/>
      <c r="D127" s="493"/>
      <c r="E127" s="494"/>
      <c r="F127" s="495"/>
      <c r="G127" s="496">
        <f>+G126/2200</f>
        <v>1013.2636363636364</v>
      </c>
      <c r="H127" s="497" t="s">
        <v>28</v>
      </c>
      <c r="I127" s="498"/>
    </row>
    <row r="128" spans="3:9">
      <c r="C128" s="490">
        <v>1</v>
      </c>
      <c r="D128" s="499">
        <v>551</v>
      </c>
      <c r="E128" s="500">
        <v>45689</v>
      </c>
      <c r="F128" s="501" t="s">
        <v>111</v>
      </c>
      <c r="G128" s="501">
        <v>34200</v>
      </c>
      <c r="H128" s="501" t="s">
        <v>25</v>
      </c>
      <c r="I128" s="491"/>
    </row>
    <row r="129" spans="3:9">
      <c r="C129" s="480">
        <v>2</v>
      </c>
      <c r="D129" s="481">
        <v>654</v>
      </c>
      <c r="E129" s="192">
        <v>45646</v>
      </c>
      <c r="F129" s="482" t="s">
        <v>111</v>
      </c>
      <c r="G129" s="482">
        <v>32800</v>
      </c>
      <c r="H129" s="482" t="s">
        <v>25</v>
      </c>
      <c r="I129" s="483"/>
    </row>
    <row r="130" spans="3:9">
      <c r="C130" s="480">
        <v>3</v>
      </c>
      <c r="D130" s="481">
        <v>682</v>
      </c>
      <c r="E130" s="192">
        <v>45680</v>
      </c>
      <c r="F130" s="482" t="s">
        <v>111</v>
      </c>
      <c r="G130" s="502">
        <v>32750</v>
      </c>
      <c r="H130" s="482" t="s">
        <v>25</v>
      </c>
      <c r="I130" s="483"/>
    </row>
    <row r="131" spans="3:9">
      <c r="C131" s="197">
        <v>4</v>
      </c>
      <c r="D131" s="481">
        <v>564</v>
      </c>
      <c r="E131" s="192">
        <v>45702</v>
      </c>
      <c r="F131" s="482" t="s">
        <v>111</v>
      </c>
      <c r="G131" s="482">
        <v>35570</v>
      </c>
      <c r="H131" s="482" t="s">
        <v>25</v>
      </c>
      <c r="I131" s="484"/>
    </row>
    <row r="132" spans="3:9">
      <c r="C132" s="480">
        <v>5</v>
      </c>
      <c r="D132" s="481">
        <v>598</v>
      </c>
      <c r="E132" s="192">
        <v>45716</v>
      </c>
      <c r="F132" s="482" t="s">
        <v>111</v>
      </c>
      <c r="G132" s="486">
        <v>42270</v>
      </c>
      <c r="H132" s="482" t="s">
        <v>25</v>
      </c>
      <c r="I132" s="484"/>
    </row>
    <row r="133" spans="3:9">
      <c r="C133" s="480">
        <v>6</v>
      </c>
      <c r="D133" s="481">
        <v>599</v>
      </c>
      <c r="E133" s="192">
        <v>45716</v>
      </c>
      <c r="F133" s="482" t="s">
        <v>111</v>
      </c>
      <c r="G133" s="486">
        <v>42270</v>
      </c>
      <c r="H133" s="482" t="s">
        <v>25</v>
      </c>
      <c r="I133" s="484"/>
    </row>
    <row r="134" spans="3:9">
      <c r="C134" s="480">
        <v>7</v>
      </c>
      <c r="D134" s="481">
        <v>204</v>
      </c>
      <c r="E134" s="192">
        <v>45720</v>
      </c>
      <c r="F134" s="482" t="s">
        <v>111</v>
      </c>
      <c r="G134" s="486">
        <v>42270</v>
      </c>
      <c r="H134" s="482" t="s">
        <v>25</v>
      </c>
      <c r="I134" s="484"/>
    </row>
    <row r="135" spans="3:9">
      <c r="C135" s="480">
        <v>8</v>
      </c>
      <c r="D135" s="505">
        <v>214</v>
      </c>
      <c r="E135" s="192">
        <v>45728</v>
      </c>
      <c r="F135" s="489" t="s">
        <v>111</v>
      </c>
      <c r="G135" s="486">
        <v>34950</v>
      </c>
      <c r="H135" s="482" t="s">
        <v>25</v>
      </c>
      <c r="I135" s="484"/>
    </row>
    <row r="136" spans="3:9">
      <c r="C136" s="480">
        <v>9</v>
      </c>
      <c r="D136" s="481">
        <v>215</v>
      </c>
      <c r="E136" s="192">
        <v>45734</v>
      </c>
      <c r="F136" s="489" t="s">
        <v>111</v>
      </c>
      <c r="G136" s="486">
        <v>42270</v>
      </c>
      <c r="H136" s="482" t="s">
        <v>25</v>
      </c>
      <c r="I136" s="484"/>
    </row>
    <row r="137" spans="3:9">
      <c r="C137" s="480">
        <v>10</v>
      </c>
      <c r="D137" s="481">
        <v>221</v>
      </c>
      <c r="E137" s="192">
        <v>45745</v>
      </c>
      <c r="F137" s="489" t="s">
        <v>111</v>
      </c>
      <c r="G137" s="486">
        <v>42270</v>
      </c>
      <c r="H137" s="482" t="s">
        <v>25</v>
      </c>
      <c r="I137" s="484"/>
    </row>
    <row r="138" spans="3:9">
      <c r="C138" s="480">
        <v>11</v>
      </c>
      <c r="D138" s="481">
        <v>230</v>
      </c>
      <c r="E138" s="192">
        <v>45760</v>
      </c>
      <c r="F138" s="489" t="s">
        <v>111</v>
      </c>
      <c r="G138" s="486">
        <v>46410</v>
      </c>
      <c r="H138" s="482" t="s">
        <v>25</v>
      </c>
      <c r="I138" s="484"/>
    </row>
    <row r="139" spans="3:9">
      <c r="C139" s="480">
        <v>12</v>
      </c>
      <c r="D139" s="481">
        <v>248</v>
      </c>
      <c r="E139" s="192">
        <v>45786</v>
      </c>
      <c r="F139" s="489" t="s">
        <v>111</v>
      </c>
      <c r="G139" s="486">
        <v>49290</v>
      </c>
      <c r="H139" s="482" t="s">
        <v>25</v>
      </c>
      <c r="I139" s="484"/>
    </row>
    <row r="140" spans="3:9" ht="15" thickBot="1">
      <c r="C140" s="480">
        <v>13</v>
      </c>
      <c r="D140" s="481">
        <v>708</v>
      </c>
      <c r="E140" s="192">
        <v>45811</v>
      </c>
      <c r="F140" s="489" t="s">
        <v>111</v>
      </c>
      <c r="G140" s="486">
        <v>36340</v>
      </c>
      <c r="H140" s="482" t="s">
        <v>25</v>
      </c>
      <c r="I140" s="484"/>
    </row>
    <row r="141" spans="3:9" ht="15">
      <c r="C141" s="480"/>
      <c r="D141" s="481"/>
      <c r="E141" s="192"/>
      <c r="F141" s="489"/>
      <c r="G141" s="503">
        <f>SUM(G128:G140)</f>
        <v>513660</v>
      </c>
      <c r="H141" s="504"/>
      <c r="I141" s="484"/>
    </row>
    <row r="142" spans="3:9" ht="15.75" thickBot="1">
      <c r="C142" s="480"/>
      <c r="D142" s="481"/>
      <c r="E142" s="192"/>
      <c r="F142" s="489"/>
      <c r="G142" s="496">
        <f>+G141/1800</f>
        <v>285.36666666666667</v>
      </c>
      <c r="H142" s="497" t="s">
        <v>28</v>
      </c>
      <c r="I142" s="484"/>
    </row>
    <row r="143" spans="3:9" ht="15.75" thickBot="1">
      <c r="C143" s="492"/>
      <c r="D143" s="493"/>
      <c r="E143" s="494"/>
      <c r="F143" s="506"/>
      <c r="G143" s="507"/>
      <c r="H143" s="507"/>
      <c r="I143" s="508"/>
    </row>
    <row r="144" spans="3:9">
      <c r="C144" s="490">
        <v>1</v>
      </c>
      <c r="D144" s="499">
        <v>655</v>
      </c>
      <c r="E144" s="500">
        <v>45646</v>
      </c>
      <c r="F144" s="501" t="s">
        <v>112</v>
      </c>
      <c r="G144" s="501">
        <v>32100</v>
      </c>
      <c r="H144" s="501" t="s">
        <v>25</v>
      </c>
      <c r="I144" s="491"/>
    </row>
    <row r="145" spans="3:9" ht="15" thickBot="1">
      <c r="C145" s="480">
        <v>2</v>
      </c>
      <c r="D145" s="481">
        <v>700</v>
      </c>
      <c r="E145" s="192">
        <v>45689</v>
      </c>
      <c r="F145" s="482" t="s">
        <v>112</v>
      </c>
      <c r="G145" s="502">
        <v>33140</v>
      </c>
      <c r="H145" s="502" t="s">
        <v>25</v>
      </c>
      <c r="I145" s="483"/>
    </row>
    <row r="146" spans="3:9" ht="15">
      <c r="C146" s="480"/>
      <c r="D146" s="481"/>
      <c r="E146" s="192"/>
      <c r="F146" s="489"/>
      <c r="G146" s="503">
        <f>SUM(G144:G145)</f>
        <v>65240</v>
      </c>
      <c r="H146" s="504"/>
      <c r="I146" s="484"/>
    </row>
    <row r="147" spans="3:9" ht="15.75" thickBot="1">
      <c r="C147" s="480"/>
      <c r="D147" s="481"/>
      <c r="E147" s="192"/>
      <c r="F147" s="489"/>
      <c r="G147" s="496">
        <f>+G146/1600</f>
        <v>40.774999999999999</v>
      </c>
      <c r="H147" s="497" t="s">
        <v>28</v>
      </c>
      <c r="I147" s="484"/>
    </row>
    <row r="148" spans="3:9" ht="15" thickBot="1">
      <c r="C148" s="492"/>
      <c r="D148" s="493"/>
      <c r="E148" s="494"/>
      <c r="F148" s="506"/>
      <c r="G148" s="509"/>
      <c r="H148" s="509"/>
      <c r="I148" s="508"/>
    </row>
    <row r="149" spans="3:9">
      <c r="C149" s="490">
        <v>1</v>
      </c>
      <c r="D149" s="499">
        <v>699</v>
      </c>
      <c r="E149" s="500">
        <v>45687</v>
      </c>
      <c r="F149" s="501" t="s">
        <v>63</v>
      </c>
      <c r="G149" s="501">
        <v>50</v>
      </c>
      <c r="H149" s="501" t="s">
        <v>64</v>
      </c>
      <c r="I149" s="491"/>
    </row>
    <row r="150" spans="3:9">
      <c r="C150" s="480">
        <v>2</v>
      </c>
      <c r="D150" s="481">
        <v>671</v>
      </c>
      <c r="E150" s="192">
        <v>45677</v>
      </c>
      <c r="F150" s="482" t="s">
        <v>63</v>
      </c>
      <c r="G150" s="502">
        <v>50</v>
      </c>
      <c r="H150" s="502" t="s">
        <v>64</v>
      </c>
      <c r="I150" s="483"/>
    </row>
    <row r="151" spans="3:9">
      <c r="C151" s="480">
        <v>3</v>
      </c>
      <c r="D151" s="481">
        <v>558</v>
      </c>
      <c r="E151" s="192">
        <v>45696</v>
      </c>
      <c r="F151" s="489" t="s">
        <v>63</v>
      </c>
      <c r="G151" s="486">
        <v>100</v>
      </c>
      <c r="H151" s="502" t="s">
        <v>64</v>
      </c>
      <c r="I151" s="484"/>
    </row>
    <row r="152" spans="3:9" ht="15" thickBot="1">
      <c r="C152" s="197">
        <v>4</v>
      </c>
      <c r="D152" s="481">
        <v>583</v>
      </c>
      <c r="E152" s="192">
        <v>45710</v>
      </c>
      <c r="F152" s="489" t="s">
        <v>63</v>
      </c>
      <c r="G152" s="486">
        <v>100</v>
      </c>
      <c r="H152" s="502" t="s">
        <v>64</v>
      </c>
      <c r="I152" s="484"/>
    </row>
    <row r="153" spans="3:9" ht="15.75" thickBot="1">
      <c r="C153" s="480"/>
      <c r="D153" s="481"/>
      <c r="E153" s="192"/>
      <c r="F153" s="489"/>
      <c r="G153" s="510">
        <f>SUM(G149:G152)</f>
        <v>300</v>
      </c>
      <c r="H153" s="511" t="s">
        <v>64</v>
      </c>
      <c r="I153" s="484"/>
    </row>
    <row r="154" spans="3:9" ht="15" thickBot="1">
      <c r="C154" s="492"/>
      <c r="D154" s="493"/>
      <c r="E154" s="494"/>
      <c r="F154" s="506"/>
      <c r="G154" s="509"/>
      <c r="H154" s="509"/>
      <c r="I154" s="508"/>
    </row>
    <row r="155" spans="3:9">
      <c r="C155" s="490">
        <v>1</v>
      </c>
      <c r="D155" s="499">
        <v>656</v>
      </c>
      <c r="E155" s="500">
        <v>45646</v>
      </c>
      <c r="F155" s="501" t="s">
        <v>113</v>
      </c>
      <c r="G155" s="501">
        <v>700</v>
      </c>
      <c r="H155" s="501" t="s">
        <v>34</v>
      </c>
      <c r="I155" s="491"/>
    </row>
    <row r="156" spans="3:9">
      <c r="C156" s="480">
        <v>2</v>
      </c>
      <c r="D156" s="481">
        <v>670</v>
      </c>
      <c r="E156" s="192">
        <v>45677</v>
      </c>
      <c r="F156" s="482" t="s">
        <v>114</v>
      </c>
      <c r="G156" s="482">
        <v>300</v>
      </c>
      <c r="H156" s="482" t="s">
        <v>34</v>
      </c>
      <c r="I156" s="483"/>
    </row>
    <row r="157" spans="3:9">
      <c r="C157" s="480">
        <v>3</v>
      </c>
      <c r="D157" s="481">
        <v>669</v>
      </c>
      <c r="E157" s="192">
        <v>45676</v>
      </c>
      <c r="F157" s="482" t="s">
        <v>114</v>
      </c>
      <c r="G157" s="502">
        <v>300</v>
      </c>
      <c r="H157" s="502" t="s">
        <v>34</v>
      </c>
      <c r="I157" s="483"/>
    </row>
    <row r="158" spans="3:9" ht="15" thickBot="1">
      <c r="C158" s="512">
        <v>4</v>
      </c>
      <c r="D158" s="513">
        <v>561</v>
      </c>
      <c r="E158" s="460">
        <v>45699</v>
      </c>
      <c r="F158" s="482" t="s">
        <v>114</v>
      </c>
      <c r="G158" s="486">
        <v>500</v>
      </c>
      <c r="H158" s="487" t="s">
        <v>34</v>
      </c>
      <c r="I158" s="514"/>
    </row>
    <row r="159" spans="3:9" ht="15.75" thickBot="1">
      <c r="C159" s="492"/>
      <c r="D159" s="493"/>
      <c r="E159" s="494"/>
      <c r="F159" s="495"/>
      <c r="G159" s="510">
        <f>SUM(G155:G158)</f>
        <v>1800</v>
      </c>
      <c r="H159" s="511" t="s">
        <v>34</v>
      </c>
      <c r="I159" s="498"/>
    </row>
    <row r="160" spans="3:9">
      <c r="C160" s="515"/>
      <c r="D160" s="516"/>
      <c r="E160" s="517"/>
      <c r="F160" s="515"/>
      <c r="G160" s="515"/>
      <c r="H160" s="515"/>
      <c r="I160" s="515"/>
    </row>
  </sheetData>
  <autoFilter ref="C5:I159" xr:uid="{00000000-0009-0000-0000-000009000000}"/>
  <mergeCells count="1">
    <mergeCell ref="C3:I3"/>
  </mergeCells>
  <printOptions horizontalCentered="1"/>
  <pageMargins left="0.11811023622047245" right="0.11811023622047245" top="0.15748031496062992" bottom="0.15748031496062992" header="0" footer="0"/>
  <pageSetup paperSize="9" scale="80" fitToHeight="100" orientation="portrait" r:id="rId1"/>
  <headerFooter>
    <oddFooter>Page &amp;P of &amp;N</oddFooter>
  </headerFooter>
  <rowBreaks count="2" manualBreakCount="2">
    <brk id="69" min="2" max="8" man="1"/>
    <brk id="127" min="2"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78C6-3CF3-4583-8F27-309D6B970D41}">
  <sheetPr>
    <pageSetUpPr fitToPage="1"/>
  </sheetPr>
  <dimension ref="C2:P127"/>
  <sheetViews>
    <sheetView tabSelected="1" view="pageBreakPreview" topLeftCell="A43" zoomScale="85" zoomScaleNormal="100" zoomScaleSheetLayoutView="85" workbookViewId="0">
      <selection activeCell="U47" sqref="U47"/>
    </sheetView>
  </sheetViews>
  <sheetFormatPr defaultColWidth="9.140625" defaultRowHeight="14.25"/>
  <cols>
    <col min="1" max="2" width="9.140625" style="47"/>
    <col min="3" max="3" width="9" style="47" bestFit="1" customWidth="1"/>
    <col min="4" max="4" width="13.140625" style="48" bestFit="1" customWidth="1"/>
    <col min="5" max="5" width="11.85546875" style="56" bestFit="1" customWidth="1"/>
    <col min="6" max="6" width="37.28515625" style="47" bestFit="1" customWidth="1"/>
    <col min="7" max="7" width="8.28515625" style="47" bestFit="1" customWidth="1"/>
    <col min="8" max="8" width="10.5703125" style="50" bestFit="1" customWidth="1"/>
    <col min="9" max="9" width="11.5703125" style="26" bestFit="1" customWidth="1"/>
    <col min="10" max="10" width="16.28515625" style="51" bestFit="1" customWidth="1"/>
    <col min="11" max="11" width="15.5703125" style="26" bestFit="1" customWidth="1"/>
    <col min="12" max="12" width="11.28515625" style="47" bestFit="1" customWidth="1"/>
    <col min="13" max="13" width="5.140625" style="47" bestFit="1" customWidth="1"/>
    <col min="14" max="14" width="11.28515625" style="47" bestFit="1" customWidth="1"/>
    <col min="15" max="15" width="9.140625" style="47"/>
    <col min="16" max="16" width="11.28515625" style="47" bestFit="1" customWidth="1"/>
    <col min="17" max="16384" width="9.140625" style="47"/>
  </cols>
  <sheetData>
    <row r="2" spans="3:16" ht="15" thickBot="1"/>
    <row r="3" spans="3:16" s="44" customFormat="1" ht="20.25">
      <c r="C3" s="878" t="s">
        <v>65</v>
      </c>
      <c r="D3" s="879"/>
      <c r="E3" s="879"/>
      <c r="F3" s="879"/>
      <c r="G3" s="879"/>
      <c r="H3" s="879"/>
      <c r="I3" s="879"/>
      <c r="J3" s="879"/>
      <c r="K3" s="880"/>
    </row>
    <row r="4" spans="3:16" s="44" customFormat="1" ht="15.75">
      <c r="C4" s="45"/>
      <c r="D4" s="171"/>
      <c r="E4" s="172"/>
      <c r="F4" s="46"/>
      <c r="G4" s="46"/>
      <c r="H4" s="49"/>
      <c r="I4" s="173"/>
      <c r="J4" s="174"/>
      <c r="K4" s="195"/>
    </row>
    <row r="5" spans="3:16" s="44" customFormat="1" ht="47.25">
      <c r="C5" s="196" t="s">
        <v>66</v>
      </c>
      <c r="D5" s="175" t="s">
        <v>67</v>
      </c>
      <c r="E5" s="176" t="s">
        <v>68</v>
      </c>
      <c r="F5" s="177" t="s">
        <v>10</v>
      </c>
      <c r="G5" s="177" t="s">
        <v>0</v>
      </c>
      <c r="H5" s="881" t="s">
        <v>1</v>
      </c>
      <c r="I5" s="881"/>
      <c r="J5" s="177" t="s">
        <v>686</v>
      </c>
      <c r="K5" s="177" t="s">
        <v>2</v>
      </c>
    </row>
    <row r="6" spans="3:16" s="26" customFormat="1" ht="15.75">
      <c r="C6" s="36"/>
      <c r="D6" s="35"/>
      <c r="E6" s="178"/>
      <c r="F6" s="179" t="s">
        <v>62</v>
      </c>
      <c r="G6" s="37"/>
      <c r="H6" s="35"/>
      <c r="I6" s="37"/>
      <c r="J6" s="34"/>
      <c r="K6" s="38"/>
    </row>
    <row r="7" spans="3:16" s="26" customFormat="1">
      <c r="C7" s="36">
        <v>1</v>
      </c>
      <c r="D7" s="180" t="s">
        <v>69</v>
      </c>
      <c r="E7" s="178">
        <v>45646</v>
      </c>
      <c r="F7" s="37" t="s">
        <v>70</v>
      </c>
      <c r="G7" s="37" t="s">
        <v>34</v>
      </c>
      <c r="H7" s="789">
        <v>360</v>
      </c>
      <c r="I7" s="37"/>
      <c r="J7" s="181" t="s">
        <v>92</v>
      </c>
      <c r="K7" s="38" t="s">
        <v>88</v>
      </c>
    </row>
    <row r="8" spans="3:16" s="26" customFormat="1">
      <c r="C8" s="36">
        <v>2</v>
      </c>
      <c r="D8" s="180" t="s">
        <v>69</v>
      </c>
      <c r="E8" s="178">
        <v>45646</v>
      </c>
      <c r="F8" s="37" t="s">
        <v>70</v>
      </c>
      <c r="G8" s="37" t="s">
        <v>34</v>
      </c>
      <c r="H8" s="789">
        <v>252</v>
      </c>
      <c r="I8" s="37"/>
      <c r="J8" s="181" t="s">
        <v>96</v>
      </c>
      <c r="K8" s="38" t="s">
        <v>88</v>
      </c>
    </row>
    <row r="9" spans="3:16" s="26" customFormat="1">
      <c r="C9" s="197">
        <v>3</v>
      </c>
      <c r="D9" s="180" t="s">
        <v>71</v>
      </c>
      <c r="E9" s="182">
        <v>45647</v>
      </c>
      <c r="F9" s="37" t="s">
        <v>70</v>
      </c>
      <c r="G9" s="37" t="s">
        <v>34</v>
      </c>
      <c r="H9" s="789">
        <v>52</v>
      </c>
      <c r="I9" s="37"/>
      <c r="J9" s="181" t="s">
        <v>94</v>
      </c>
      <c r="K9" s="38" t="s">
        <v>88</v>
      </c>
    </row>
    <row r="10" spans="3:16" s="26" customFormat="1" ht="15">
      <c r="C10" s="197">
        <v>4</v>
      </c>
      <c r="D10" s="180" t="s">
        <v>71</v>
      </c>
      <c r="E10" s="182">
        <v>45647</v>
      </c>
      <c r="F10" s="37" t="s">
        <v>70</v>
      </c>
      <c r="G10" s="37" t="s">
        <v>34</v>
      </c>
      <c r="H10" s="789">
        <v>156</v>
      </c>
      <c r="I10" s="183">
        <f>SUM(H7:H10)</f>
        <v>820</v>
      </c>
      <c r="J10" s="181" t="s">
        <v>95</v>
      </c>
      <c r="K10" s="38" t="s">
        <v>88</v>
      </c>
    </row>
    <row r="11" spans="3:16" s="26" customFormat="1" ht="15">
      <c r="C11" s="197"/>
      <c r="D11" s="180"/>
      <c r="E11" s="182"/>
      <c r="F11" s="37"/>
      <c r="G11" s="37"/>
      <c r="H11" s="35"/>
      <c r="I11" s="184"/>
      <c r="J11" s="181"/>
      <c r="K11" s="38"/>
    </row>
    <row r="12" spans="3:16" s="26" customFormat="1">
      <c r="C12" s="36"/>
      <c r="D12" s="180"/>
      <c r="E12" s="178"/>
      <c r="F12" s="37"/>
      <c r="G12" s="37"/>
      <c r="H12" s="35"/>
      <c r="I12" s="37"/>
      <c r="J12" s="34"/>
      <c r="K12" s="38"/>
    </row>
    <row r="13" spans="3:16" s="26" customFormat="1">
      <c r="C13" s="197">
        <v>1</v>
      </c>
      <c r="D13" s="185" t="s">
        <v>243</v>
      </c>
      <c r="E13" s="185">
        <v>45681</v>
      </c>
      <c r="F13" s="37" t="s">
        <v>76</v>
      </c>
      <c r="G13" s="37" t="s">
        <v>34</v>
      </c>
      <c r="H13" s="789">
        <v>334</v>
      </c>
      <c r="I13" s="37"/>
      <c r="J13" s="181" t="s">
        <v>98</v>
      </c>
      <c r="K13" s="38" t="s">
        <v>84</v>
      </c>
    </row>
    <row r="14" spans="3:16" s="26" customFormat="1" ht="15">
      <c r="C14" s="197">
        <v>2</v>
      </c>
      <c r="D14" s="180" t="s">
        <v>75</v>
      </c>
      <c r="E14" s="182">
        <v>45649</v>
      </c>
      <c r="F14" s="37" t="s">
        <v>76</v>
      </c>
      <c r="G14" s="37" t="s">
        <v>34</v>
      </c>
      <c r="H14" s="789">
        <v>335</v>
      </c>
      <c r="I14" s="184"/>
      <c r="J14" s="181" t="s">
        <v>91</v>
      </c>
      <c r="K14" s="38" t="s">
        <v>84</v>
      </c>
    </row>
    <row r="15" spans="3:16" s="26" customFormat="1" ht="15">
      <c r="C15" s="197">
        <v>3</v>
      </c>
      <c r="D15" s="180" t="s">
        <v>253</v>
      </c>
      <c r="E15" s="182">
        <v>45334</v>
      </c>
      <c r="F15" s="37" t="s">
        <v>76</v>
      </c>
      <c r="G15" s="37" t="s">
        <v>34</v>
      </c>
      <c r="H15" s="789">
        <v>608</v>
      </c>
      <c r="I15" s="184"/>
      <c r="J15" s="181" t="s">
        <v>254</v>
      </c>
      <c r="K15" s="38" t="s">
        <v>84</v>
      </c>
    </row>
    <row r="16" spans="3:16" s="26" customFormat="1" ht="15">
      <c r="C16" s="197">
        <v>4</v>
      </c>
      <c r="D16" s="180" t="s">
        <v>253</v>
      </c>
      <c r="E16" s="182">
        <v>45334</v>
      </c>
      <c r="F16" s="37" t="s">
        <v>76</v>
      </c>
      <c r="G16" s="37" t="s">
        <v>34</v>
      </c>
      <c r="H16" s="789">
        <v>528</v>
      </c>
      <c r="I16" s="184"/>
      <c r="J16" s="181" t="s">
        <v>255</v>
      </c>
      <c r="K16" s="38" t="s">
        <v>84</v>
      </c>
      <c r="P16" s="26">
        <f>20466-P17</f>
        <v>114</v>
      </c>
    </row>
    <row r="17" spans="3:16" s="26" customFormat="1" ht="15">
      <c r="C17" s="197">
        <v>5</v>
      </c>
      <c r="D17" s="180" t="s">
        <v>257</v>
      </c>
      <c r="E17" s="182">
        <v>45705</v>
      </c>
      <c r="F17" s="37" t="s">
        <v>76</v>
      </c>
      <c r="G17" s="37" t="s">
        <v>34</v>
      </c>
      <c r="H17" s="789">
        <v>576</v>
      </c>
      <c r="I17" s="184"/>
      <c r="J17" s="181" t="s">
        <v>259</v>
      </c>
      <c r="K17" s="38" t="s">
        <v>84</v>
      </c>
      <c r="L17" s="26">
        <v>576</v>
      </c>
      <c r="P17" s="26">
        <f>28240-7500-1600-50-50+600-200-10-40-300-1650+1400-1500-200-170-50-379-500-400-100+9000-320-1000-50-199-180-100-300-15-100-1350-80-100+2500-200-170-100-80-100-30-40-80+40-50-1500-40+40-35-30-50-20-400-50-1500+1500</f>
        <v>20352</v>
      </c>
    </row>
    <row r="18" spans="3:16" s="26" customFormat="1" ht="15">
      <c r="C18" s="197">
        <v>6</v>
      </c>
      <c r="D18" s="180" t="s">
        <v>257</v>
      </c>
      <c r="E18" s="182">
        <v>45705</v>
      </c>
      <c r="F18" s="37" t="s">
        <v>76</v>
      </c>
      <c r="G18" s="37" t="s">
        <v>34</v>
      </c>
      <c r="H18" s="789">
        <v>512</v>
      </c>
      <c r="I18" s="184"/>
      <c r="J18" s="181" t="s">
        <v>260</v>
      </c>
      <c r="K18" s="38" t="s">
        <v>84</v>
      </c>
      <c r="P18" s="26">
        <f>+P17-15000</f>
        <v>5352</v>
      </c>
    </row>
    <row r="19" spans="3:16" s="26" customFormat="1" ht="15">
      <c r="C19" s="197">
        <v>10</v>
      </c>
      <c r="D19" s="180" t="s">
        <v>660</v>
      </c>
      <c r="E19" s="182">
        <v>45719</v>
      </c>
      <c r="F19" s="37" t="s">
        <v>76</v>
      </c>
      <c r="G19" s="37" t="s">
        <v>34</v>
      </c>
      <c r="H19" s="789">
        <v>480</v>
      </c>
      <c r="I19" s="184"/>
      <c r="J19" s="181" t="s">
        <v>661</v>
      </c>
      <c r="K19" s="38" t="s">
        <v>84</v>
      </c>
    </row>
    <row r="20" spans="3:16" s="26" customFormat="1">
      <c r="C20" s="197">
        <v>10</v>
      </c>
      <c r="D20" s="180" t="s">
        <v>662</v>
      </c>
      <c r="E20" s="182">
        <v>45719</v>
      </c>
      <c r="F20" s="37" t="s">
        <v>76</v>
      </c>
      <c r="G20" s="37" t="s">
        <v>34</v>
      </c>
      <c r="H20" s="789">
        <v>287</v>
      </c>
      <c r="J20" s="181" t="s">
        <v>663</v>
      </c>
      <c r="K20" s="38" t="s">
        <v>84</v>
      </c>
    </row>
    <row r="21" spans="3:16" s="26" customFormat="1" ht="15">
      <c r="C21" s="197"/>
      <c r="D21" s="180"/>
      <c r="E21" s="182"/>
      <c r="F21" s="37"/>
      <c r="G21" s="37"/>
      <c r="H21" s="35"/>
      <c r="I21" s="183">
        <f>SUM(H13:H20)</f>
        <v>3660</v>
      </c>
      <c r="J21" s="181"/>
      <c r="K21" s="38"/>
    </row>
    <row r="22" spans="3:16" s="26" customFormat="1">
      <c r="C22" s="36"/>
      <c r="D22" s="180"/>
      <c r="E22" s="178"/>
      <c r="F22" s="37"/>
      <c r="G22" s="37"/>
      <c r="H22" s="35"/>
      <c r="I22" s="37"/>
      <c r="J22" s="34"/>
      <c r="K22" s="38"/>
    </row>
    <row r="23" spans="3:16" s="26" customFormat="1">
      <c r="C23" s="197">
        <v>1</v>
      </c>
      <c r="D23" s="180" t="s">
        <v>81</v>
      </c>
      <c r="E23" s="182">
        <v>45677</v>
      </c>
      <c r="F23" s="37" t="s">
        <v>82</v>
      </c>
      <c r="G23" s="37" t="s">
        <v>34</v>
      </c>
      <c r="H23" s="789">
        <v>348</v>
      </c>
      <c r="I23" s="37"/>
      <c r="J23" s="181" t="s">
        <v>89</v>
      </c>
      <c r="K23" s="38" t="s">
        <v>88</v>
      </c>
    </row>
    <row r="24" spans="3:16" s="26" customFormat="1">
      <c r="C24" s="36">
        <v>2</v>
      </c>
      <c r="D24" s="180" t="s">
        <v>81</v>
      </c>
      <c r="E24" s="182">
        <v>45677</v>
      </c>
      <c r="F24" s="37" t="s">
        <v>82</v>
      </c>
      <c r="G24" s="37" t="s">
        <v>34</v>
      </c>
      <c r="H24" s="789">
        <v>354</v>
      </c>
      <c r="I24" s="37"/>
      <c r="J24" s="181" t="s">
        <v>679</v>
      </c>
      <c r="K24" s="38" t="s">
        <v>88</v>
      </c>
    </row>
    <row r="25" spans="3:16" s="26" customFormat="1">
      <c r="C25" s="197">
        <v>3</v>
      </c>
      <c r="D25" s="180" t="s">
        <v>244</v>
      </c>
      <c r="E25" s="182">
        <v>45707</v>
      </c>
      <c r="F25" s="37" t="s">
        <v>82</v>
      </c>
      <c r="G25" s="37" t="s">
        <v>34</v>
      </c>
      <c r="H25" s="789">
        <v>48</v>
      </c>
      <c r="I25" s="37"/>
      <c r="J25" s="181" t="s">
        <v>676</v>
      </c>
      <c r="K25" s="38" t="s">
        <v>88</v>
      </c>
    </row>
    <row r="26" spans="3:16" s="26" customFormat="1">
      <c r="C26" s="36">
        <v>4</v>
      </c>
      <c r="D26" s="180" t="s">
        <v>247</v>
      </c>
      <c r="E26" s="182">
        <v>45706</v>
      </c>
      <c r="F26" s="37" t="s">
        <v>82</v>
      </c>
      <c r="G26" s="37" t="s">
        <v>34</v>
      </c>
      <c r="H26" s="789">
        <v>300</v>
      </c>
      <c r="I26" s="37"/>
      <c r="J26" s="181" t="s">
        <v>678</v>
      </c>
      <c r="K26" s="38"/>
    </row>
    <row r="27" spans="3:16" s="26" customFormat="1" ht="15">
      <c r="C27" s="36">
        <v>5</v>
      </c>
      <c r="D27" s="180" t="s">
        <v>257</v>
      </c>
      <c r="E27" s="182">
        <v>45705</v>
      </c>
      <c r="F27" s="37" t="s">
        <v>82</v>
      </c>
      <c r="G27" s="37" t="s">
        <v>34</v>
      </c>
      <c r="H27" s="789">
        <v>216</v>
      </c>
      <c r="I27" s="184"/>
      <c r="J27" s="181" t="s">
        <v>258</v>
      </c>
      <c r="K27" s="38"/>
    </row>
    <row r="28" spans="3:16" s="26" customFormat="1">
      <c r="C28" s="197">
        <v>6</v>
      </c>
      <c r="D28" s="180" t="s">
        <v>225</v>
      </c>
      <c r="E28" s="182">
        <v>45709</v>
      </c>
      <c r="F28" s="37" t="s">
        <v>82</v>
      </c>
      <c r="G28" s="37" t="s">
        <v>34</v>
      </c>
      <c r="H28" s="789">
        <v>67</v>
      </c>
      <c r="J28" s="181" t="s">
        <v>226</v>
      </c>
      <c r="K28" s="38"/>
    </row>
    <row r="29" spans="3:16" s="26" customFormat="1" ht="15">
      <c r="C29" s="197">
        <v>8</v>
      </c>
      <c r="D29" s="180" t="s">
        <v>247</v>
      </c>
      <c r="E29" s="182">
        <v>45706</v>
      </c>
      <c r="F29" s="37" t="s">
        <v>76</v>
      </c>
      <c r="G29" s="37" t="s">
        <v>34</v>
      </c>
      <c r="H29" s="789">
        <v>216</v>
      </c>
      <c r="I29" s="184"/>
      <c r="J29" s="181" t="s">
        <v>248</v>
      </c>
      <c r="K29" s="38" t="s">
        <v>84</v>
      </c>
    </row>
    <row r="30" spans="3:16" s="26" customFormat="1" ht="15">
      <c r="C30" s="197">
        <v>9</v>
      </c>
      <c r="D30" s="180" t="s">
        <v>247</v>
      </c>
      <c r="E30" s="182">
        <v>45706</v>
      </c>
      <c r="F30" s="37" t="s">
        <v>76</v>
      </c>
      <c r="G30" s="37" t="s">
        <v>34</v>
      </c>
      <c r="H30" s="789">
        <v>180</v>
      </c>
      <c r="I30" s="184"/>
      <c r="J30" s="181" t="s">
        <v>249</v>
      </c>
      <c r="K30" s="38" t="s">
        <v>84</v>
      </c>
    </row>
    <row r="31" spans="3:16" s="26" customFormat="1" ht="15">
      <c r="C31" s="197"/>
      <c r="D31" s="180"/>
      <c r="E31" s="182"/>
      <c r="F31" s="37"/>
      <c r="G31" s="37"/>
      <c r="H31" s="35"/>
      <c r="I31" s="183">
        <f>SUM(H23:H30)</f>
        <v>1729</v>
      </c>
      <c r="J31" s="181"/>
      <c r="K31" s="38"/>
    </row>
    <row r="32" spans="3:16" s="26" customFormat="1" ht="15">
      <c r="C32" s="36"/>
      <c r="D32" s="180"/>
      <c r="E32" s="182"/>
      <c r="F32" s="37"/>
      <c r="G32" s="37"/>
      <c r="H32" s="35"/>
      <c r="I32" s="184"/>
      <c r="J32" s="181"/>
      <c r="K32" s="38"/>
    </row>
    <row r="33" spans="3:11" s="26" customFormat="1">
      <c r="C33" s="36"/>
      <c r="D33" s="180"/>
      <c r="E33" s="178"/>
      <c r="F33" s="37"/>
      <c r="G33" s="37"/>
      <c r="H33" s="35"/>
      <c r="I33" s="37"/>
      <c r="J33" s="34"/>
      <c r="K33" s="38"/>
    </row>
    <row r="34" spans="3:11" s="26" customFormat="1" ht="15">
      <c r="C34" s="36"/>
      <c r="D34" s="180"/>
      <c r="E34" s="178"/>
      <c r="F34" s="184" t="s">
        <v>99</v>
      </c>
      <c r="G34" s="37"/>
      <c r="H34" s="35"/>
      <c r="I34" s="37"/>
      <c r="J34" s="34"/>
      <c r="K34" s="38"/>
    </row>
    <row r="35" spans="3:11" s="26" customFormat="1">
      <c r="C35" s="36">
        <v>1</v>
      </c>
      <c r="D35" s="180" t="s">
        <v>81</v>
      </c>
      <c r="E35" s="182">
        <v>45677</v>
      </c>
      <c r="F35" s="37" t="s">
        <v>83</v>
      </c>
      <c r="G35" s="37" t="s">
        <v>34</v>
      </c>
      <c r="H35" s="789">
        <v>420</v>
      </c>
      <c r="I35" s="37"/>
      <c r="J35" s="181" t="s">
        <v>86</v>
      </c>
      <c r="K35" s="38"/>
    </row>
    <row r="36" spans="3:11" s="26" customFormat="1">
      <c r="C36" s="36">
        <v>2</v>
      </c>
      <c r="D36" s="180" t="s">
        <v>81</v>
      </c>
      <c r="E36" s="182">
        <v>45677</v>
      </c>
      <c r="F36" s="37" t="s">
        <v>83</v>
      </c>
      <c r="G36" s="37" t="s">
        <v>34</v>
      </c>
      <c r="H36" s="789">
        <v>280</v>
      </c>
      <c r="I36" s="37"/>
      <c r="J36" s="181" t="s">
        <v>87</v>
      </c>
      <c r="K36" s="38"/>
    </row>
    <row r="37" spans="3:11" s="26" customFormat="1">
      <c r="C37" s="36">
        <v>3</v>
      </c>
      <c r="D37" s="180" t="s">
        <v>75</v>
      </c>
      <c r="E37" s="182">
        <v>45654</v>
      </c>
      <c r="F37" s="37" t="s">
        <v>83</v>
      </c>
      <c r="G37" s="37" t="s">
        <v>34</v>
      </c>
      <c r="H37" s="789">
        <v>259</v>
      </c>
      <c r="I37" s="37"/>
      <c r="J37" s="181" t="s">
        <v>90</v>
      </c>
      <c r="K37" s="38"/>
    </row>
    <row r="38" spans="3:11" s="26" customFormat="1">
      <c r="C38" s="36">
        <v>4</v>
      </c>
      <c r="D38" s="180" t="s">
        <v>244</v>
      </c>
      <c r="E38" s="182">
        <v>45707</v>
      </c>
      <c r="F38" s="37" t="s">
        <v>83</v>
      </c>
      <c r="G38" s="37" t="s">
        <v>34</v>
      </c>
      <c r="H38" s="789">
        <v>320</v>
      </c>
      <c r="I38" s="37"/>
      <c r="J38" s="181" t="s">
        <v>677</v>
      </c>
      <c r="K38" s="38"/>
    </row>
    <row r="39" spans="3:11" s="26" customFormat="1">
      <c r="C39" s="36">
        <v>5</v>
      </c>
      <c r="D39" s="180" t="s">
        <v>244</v>
      </c>
      <c r="E39" s="182">
        <v>45707</v>
      </c>
      <c r="F39" s="37" t="s">
        <v>246</v>
      </c>
      <c r="G39" s="37" t="s">
        <v>34</v>
      </c>
      <c r="H39" s="789">
        <v>75</v>
      </c>
      <c r="I39" s="37"/>
      <c r="J39" s="181" t="s">
        <v>676</v>
      </c>
      <c r="K39" s="38"/>
    </row>
    <row r="40" spans="3:11" s="26" customFormat="1">
      <c r="C40" s="36">
        <v>8</v>
      </c>
      <c r="D40" s="180" t="s">
        <v>73</v>
      </c>
      <c r="E40" s="182">
        <v>45649</v>
      </c>
      <c r="F40" s="37" t="s">
        <v>83</v>
      </c>
      <c r="G40" s="37" t="s">
        <v>34</v>
      </c>
      <c r="H40" s="789">
        <v>441</v>
      </c>
      <c r="I40" s="37"/>
      <c r="J40" s="181" t="s">
        <v>97</v>
      </c>
      <c r="K40" s="38"/>
    </row>
    <row r="41" spans="3:11" s="26" customFormat="1" ht="15">
      <c r="C41" s="36">
        <v>11</v>
      </c>
      <c r="D41" s="180" t="s">
        <v>454</v>
      </c>
      <c r="E41" s="182">
        <v>45729</v>
      </c>
      <c r="F41" s="37" t="s">
        <v>246</v>
      </c>
      <c r="G41" s="37" t="s">
        <v>34</v>
      </c>
      <c r="H41" s="789">
        <v>189</v>
      </c>
      <c r="I41" s="184"/>
      <c r="J41" s="181" t="s">
        <v>675</v>
      </c>
      <c r="K41" s="38"/>
    </row>
    <row r="42" spans="3:11" s="26" customFormat="1" ht="15">
      <c r="C42" s="36">
        <v>12</v>
      </c>
      <c r="D42" s="180" t="s">
        <v>454</v>
      </c>
      <c r="E42" s="182">
        <v>45729</v>
      </c>
      <c r="F42" s="37" t="s">
        <v>246</v>
      </c>
      <c r="G42" s="37" t="s">
        <v>34</v>
      </c>
      <c r="H42" s="789">
        <v>172</v>
      </c>
      <c r="I42" s="184"/>
      <c r="J42" s="181" t="s">
        <v>681</v>
      </c>
      <c r="K42" s="38"/>
    </row>
    <row r="43" spans="3:11" s="26" customFormat="1" ht="15">
      <c r="C43" s="36">
        <v>13</v>
      </c>
      <c r="D43" s="180" t="s">
        <v>660</v>
      </c>
      <c r="E43" s="182">
        <v>45719</v>
      </c>
      <c r="F43" s="37" t="s">
        <v>246</v>
      </c>
      <c r="G43" s="37" t="s">
        <v>34</v>
      </c>
      <c r="H43" s="789">
        <v>280</v>
      </c>
      <c r="I43" s="184"/>
      <c r="J43" s="181" t="s">
        <v>664</v>
      </c>
      <c r="K43" s="38"/>
    </row>
    <row r="44" spans="3:11" s="26" customFormat="1" ht="15">
      <c r="C44" s="36">
        <v>14</v>
      </c>
      <c r="D44" s="180" t="s">
        <v>662</v>
      </c>
      <c r="E44" s="182">
        <v>45719</v>
      </c>
      <c r="F44" s="37" t="s">
        <v>83</v>
      </c>
      <c r="G44" s="37" t="s">
        <v>34</v>
      </c>
      <c r="H44" s="789">
        <v>28</v>
      </c>
      <c r="I44" s="184"/>
      <c r="J44" s="181" t="s">
        <v>665</v>
      </c>
      <c r="K44" s="38"/>
    </row>
    <row r="45" spans="3:11" s="26" customFormat="1" ht="15">
      <c r="C45" s="36">
        <v>15</v>
      </c>
      <c r="D45" s="180" t="s">
        <v>490</v>
      </c>
      <c r="E45" s="182">
        <v>45719</v>
      </c>
      <c r="F45" s="37" t="s">
        <v>246</v>
      </c>
      <c r="G45" s="37" t="s">
        <v>34</v>
      </c>
      <c r="H45" s="789">
        <v>210</v>
      </c>
      <c r="I45" s="184"/>
      <c r="J45" s="181" t="s">
        <v>666</v>
      </c>
      <c r="K45" s="38"/>
    </row>
    <row r="46" spans="3:11" s="26" customFormat="1" ht="15">
      <c r="C46" s="36"/>
      <c r="D46" s="180"/>
      <c r="E46" s="182"/>
      <c r="F46" s="37"/>
      <c r="G46" s="37"/>
      <c r="H46" s="35"/>
      <c r="I46" s="183">
        <f>SUM(H35:H45)</f>
        <v>2674</v>
      </c>
      <c r="J46" s="181"/>
      <c r="K46" s="38"/>
    </row>
    <row r="47" spans="3:11" s="26" customFormat="1">
      <c r="C47" s="36"/>
      <c r="D47" s="180"/>
      <c r="E47" s="182"/>
      <c r="F47" s="37"/>
      <c r="G47" s="37"/>
      <c r="H47" s="35"/>
      <c r="I47" s="37"/>
      <c r="J47" s="181"/>
      <c r="K47" s="38"/>
    </row>
    <row r="48" spans="3:11" s="26" customFormat="1" ht="15">
      <c r="C48" s="36"/>
      <c r="D48" s="180"/>
      <c r="E48" s="182"/>
      <c r="F48" s="184" t="s">
        <v>116</v>
      </c>
      <c r="G48" s="37"/>
      <c r="H48" s="35"/>
      <c r="I48" s="37"/>
      <c r="J48" s="181"/>
      <c r="K48" s="38"/>
    </row>
    <row r="49" spans="3:12" s="26" customFormat="1" ht="28.5">
      <c r="C49" s="197">
        <v>1</v>
      </c>
      <c r="D49" s="776" t="s">
        <v>71</v>
      </c>
      <c r="E49" s="182">
        <v>45647</v>
      </c>
      <c r="F49" s="188" t="s">
        <v>74</v>
      </c>
      <c r="G49" s="35" t="s">
        <v>72</v>
      </c>
      <c r="H49" s="789">
        <v>1419</v>
      </c>
      <c r="I49" s="35"/>
      <c r="J49" s="181" t="s">
        <v>94</v>
      </c>
      <c r="K49" s="38"/>
    </row>
    <row r="50" spans="3:12" s="26" customFormat="1" ht="28.5">
      <c r="C50" s="197">
        <v>3</v>
      </c>
      <c r="D50" s="776" t="s">
        <v>239</v>
      </c>
      <c r="E50" s="182">
        <v>45709</v>
      </c>
      <c r="F50" s="188" t="s">
        <v>74</v>
      </c>
      <c r="G50" s="35" t="s">
        <v>72</v>
      </c>
      <c r="H50" s="790">
        <v>1677</v>
      </c>
      <c r="I50" s="189"/>
      <c r="J50" s="181" t="s">
        <v>242</v>
      </c>
      <c r="K50" s="38"/>
    </row>
    <row r="51" spans="3:12" s="26" customFormat="1" ht="28.5">
      <c r="C51" s="198">
        <v>4</v>
      </c>
      <c r="D51" s="776" t="s">
        <v>244</v>
      </c>
      <c r="E51" s="182">
        <v>45707</v>
      </c>
      <c r="F51" s="188" t="s">
        <v>74</v>
      </c>
      <c r="G51" s="35" t="s">
        <v>72</v>
      </c>
      <c r="H51" s="790">
        <v>1806</v>
      </c>
      <c r="I51" s="189"/>
      <c r="J51" s="181" t="s">
        <v>245</v>
      </c>
      <c r="K51" s="38"/>
    </row>
    <row r="52" spans="3:12" s="26" customFormat="1" ht="28.5">
      <c r="C52" s="198">
        <v>5</v>
      </c>
      <c r="D52" s="776" t="s">
        <v>486</v>
      </c>
      <c r="E52" s="182">
        <v>45790</v>
      </c>
      <c r="F52" s="188" t="s">
        <v>74</v>
      </c>
      <c r="G52" s="35" t="s">
        <v>72</v>
      </c>
      <c r="H52" s="34">
        <v>1817</v>
      </c>
      <c r="I52" s="189"/>
      <c r="J52" s="181"/>
      <c r="K52" s="38"/>
      <c r="L52" s="26">
        <f>+K52/10.76</f>
        <v>0</v>
      </c>
    </row>
    <row r="53" spans="3:12" s="26" customFormat="1" ht="28.5">
      <c r="C53" s="198">
        <v>8</v>
      </c>
      <c r="D53" s="776" t="s">
        <v>75</v>
      </c>
      <c r="E53" s="182">
        <v>46018</v>
      </c>
      <c r="F53" s="188" t="s">
        <v>74</v>
      </c>
      <c r="G53" s="35" t="s">
        <v>72</v>
      </c>
      <c r="H53" s="789">
        <v>475</v>
      </c>
      <c r="I53" s="189"/>
      <c r="J53" s="181" t="s">
        <v>91</v>
      </c>
      <c r="K53" s="38"/>
    </row>
    <row r="54" spans="3:12" s="26" customFormat="1" ht="28.5">
      <c r="C54" s="198">
        <v>7</v>
      </c>
      <c r="D54" s="776" t="s">
        <v>490</v>
      </c>
      <c r="E54" s="182">
        <v>45719</v>
      </c>
      <c r="F54" s="188" t="s">
        <v>74</v>
      </c>
      <c r="G54" s="35" t="s">
        <v>72</v>
      </c>
      <c r="H54" s="790">
        <v>2189</v>
      </c>
      <c r="I54" s="367">
        <f>SUM(H49:H54)</f>
        <v>9383</v>
      </c>
      <c r="J54" s="181" t="s">
        <v>682</v>
      </c>
      <c r="K54" s="38">
        <f>I54/10.76</f>
        <v>872.02602230483274</v>
      </c>
    </row>
    <row r="55" spans="3:12" s="26" customFormat="1" ht="15">
      <c r="C55" s="198"/>
      <c r="D55" s="180"/>
      <c r="E55" s="182"/>
      <c r="F55" s="188"/>
      <c r="G55" s="35"/>
      <c r="H55" s="34"/>
      <c r="I55" s="189"/>
      <c r="J55" s="181"/>
      <c r="K55" s="38"/>
    </row>
    <row r="56" spans="3:12" s="26" customFormat="1">
      <c r="C56" s="198"/>
      <c r="D56" s="180"/>
      <c r="E56" s="182"/>
      <c r="F56" s="188"/>
      <c r="G56" s="35"/>
      <c r="H56" s="35"/>
      <c r="I56" s="37"/>
      <c r="J56" s="181"/>
      <c r="K56" s="38"/>
    </row>
    <row r="57" spans="3:12" s="26" customFormat="1" ht="28.5">
      <c r="C57" s="198">
        <v>1</v>
      </c>
      <c r="D57" s="776" t="s">
        <v>243</v>
      </c>
      <c r="E57" s="182">
        <v>45681</v>
      </c>
      <c r="F57" s="188" t="s">
        <v>85</v>
      </c>
      <c r="G57" s="35" t="s">
        <v>72</v>
      </c>
      <c r="H57" s="790">
        <v>413.33</v>
      </c>
      <c r="I57" s="37"/>
      <c r="J57" s="181" t="s">
        <v>98</v>
      </c>
      <c r="K57" s="38"/>
    </row>
    <row r="58" spans="3:12" s="26" customFormat="1" ht="28.5">
      <c r="C58" s="198">
        <v>2</v>
      </c>
      <c r="D58" s="776" t="s">
        <v>243</v>
      </c>
      <c r="E58" s="182">
        <v>45681</v>
      </c>
      <c r="F58" s="188" t="s">
        <v>85</v>
      </c>
      <c r="G58" s="35" t="s">
        <v>72</v>
      </c>
      <c r="H58" s="790">
        <v>1567.24</v>
      </c>
      <c r="I58" s="37"/>
      <c r="J58" s="181" t="s">
        <v>104</v>
      </c>
      <c r="K58" s="38"/>
    </row>
    <row r="59" spans="3:12" s="26" customFormat="1" ht="28.5">
      <c r="C59" s="198">
        <v>3</v>
      </c>
      <c r="D59" s="776" t="s">
        <v>73</v>
      </c>
      <c r="E59" s="182">
        <v>45649</v>
      </c>
      <c r="F59" s="188" t="s">
        <v>85</v>
      </c>
      <c r="G59" s="35" t="s">
        <v>72</v>
      </c>
      <c r="H59" s="790">
        <v>1981</v>
      </c>
      <c r="I59" s="189"/>
      <c r="J59" s="181" t="s">
        <v>93</v>
      </c>
      <c r="K59" s="38"/>
    </row>
    <row r="60" spans="3:12" s="26" customFormat="1" ht="28.5">
      <c r="C60" s="198">
        <v>4</v>
      </c>
      <c r="D60" s="776" t="s">
        <v>239</v>
      </c>
      <c r="E60" s="182">
        <v>45709</v>
      </c>
      <c r="F60" s="188" t="s">
        <v>240</v>
      </c>
      <c r="G60" s="35" t="s">
        <v>72</v>
      </c>
      <c r="H60" s="790">
        <v>516</v>
      </c>
      <c r="I60" s="189"/>
      <c r="J60" s="181" t="s">
        <v>241</v>
      </c>
      <c r="K60" s="38"/>
    </row>
    <row r="61" spans="3:12" s="26" customFormat="1" ht="28.5">
      <c r="C61" s="198">
        <v>6</v>
      </c>
      <c r="D61" s="776" t="s">
        <v>487</v>
      </c>
      <c r="E61" s="182">
        <v>45719</v>
      </c>
      <c r="F61" s="188" t="s">
        <v>240</v>
      </c>
      <c r="G61" s="35" t="s">
        <v>72</v>
      </c>
      <c r="H61" s="790">
        <v>1858</v>
      </c>
      <c r="I61" s="189"/>
      <c r="J61" s="181" t="s">
        <v>488</v>
      </c>
      <c r="K61" s="38"/>
    </row>
    <row r="62" spans="3:12" s="26" customFormat="1" ht="28.5">
      <c r="C62" s="198">
        <v>7</v>
      </c>
      <c r="D62" s="776" t="s">
        <v>487</v>
      </c>
      <c r="E62" s="182">
        <v>45719</v>
      </c>
      <c r="F62" s="188" t="s">
        <v>240</v>
      </c>
      <c r="G62" s="35" t="s">
        <v>72</v>
      </c>
      <c r="H62" s="790">
        <v>1445</v>
      </c>
      <c r="I62" s="189"/>
      <c r="J62" s="181" t="s">
        <v>489</v>
      </c>
      <c r="K62" s="38"/>
    </row>
    <row r="63" spans="3:12" s="26" customFormat="1" ht="28.5">
      <c r="C63" s="198">
        <v>9</v>
      </c>
      <c r="D63" s="776" t="s">
        <v>490</v>
      </c>
      <c r="E63" s="182">
        <v>45719</v>
      </c>
      <c r="F63" s="188" t="s">
        <v>240</v>
      </c>
      <c r="G63" s="35" t="s">
        <v>72</v>
      </c>
      <c r="H63" s="790">
        <v>826</v>
      </c>
      <c r="I63" s="367">
        <f>SUM(H57:H63)</f>
        <v>8606.57</v>
      </c>
      <c r="J63" s="181" t="s">
        <v>667</v>
      </c>
      <c r="K63" s="38">
        <f>I63/10.76</f>
        <v>799.86710037174726</v>
      </c>
    </row>
    <row r="64" spans="3:12" s="26" customFormat="1" ht="15">
      <c r="C64" s="36"/>
      <c r="D64" s="35"/>
      <c r="E64" s="178"/>
      <c r="F64" s="37"/>
      <c r="G64" s="37"/>
      <c r="H64" s="35"/>
      <c r="I64" s="37"/>
      <c r="J64" s="34"/>
      <c r="K64" s="38"/>
      <c r="L64" s="777"/>
    </row>
    <row r="65" spans="3:13" s="26" customFormat="1" ht="15">
      <c r="C65" s="36"/>
      <c r="D65" s="35"/>
      <c r="E65" s="178"/>
      <c r="F65" s="184" t="s">
        <v>100</v>
      </c>
      <c r="G65" s="37"/>
      <c r="H65" s="35"/>
      <c r="I65" s="37"/>
      <c r="J65" s="34"/>
      <c r="K65" s="38"/>
    </row>
    <row r="66" spans="3:13" s="26" customFormat="1" ht="28.5">
      <c r="C66" s="198">
        <v>1</v>
      </c>
      <c r="D66" s="776" t="s">
        <v>77</v>
      </c>
      <c r="E66" s="182">
        <v>45664</v>
      </c>
      <c r="F66" s="188" t="s">
        <v>78</v>
      </c>
      <c r="G66" s="35" t="s">
        <v>72</v>
      </c>
      <c r="H66" s="35">
        <v>287.81</v>
      </c>
      <c r="I66" s="189">
        <f>+H66/10.76</f>
        <v>26.748141263940521</v>
      </c>
      <c r="J66" s="34"/>
      <c r="K66" s="38"/>
    </row>
    <row r="67" spans="3:13" s="26" customFormat="1" ht="28.5">
      <c r="C67" s="198">
        <v>2</v>
      </c>
      <c r="D67" s="776" t="s">
        <v>77</v>
      </c>
      <c r="E67" s="182">
        <v>45664</v>
      </c>
      <c r="F67" s="188" t="s">
        <v>80</v>
      </c>
      <c r="G67" s="35" t="s">
        <v>72</v>
      </c>
      <c r="H67" s="35">
        <v>57.81</v>
      </c>
      <c r="I67" s="189">
        <f t="shared" ref="I67:I73" si="0">+H67/10.76</f>
        <v>5.3726765799256508</v>
      </c>
      <c r="J67" s="34"/>
      <c r="K67" s="38"/>
    </row>
    <row r="68" spans="3:13" s="26" customFormat="1" ht="28.5">
      <c r="C68" s="198">
        <v>3</v>
      </c>
      <c r="D68" s="776" t="s">
        <v>77</v>
      </c>
      <c r="E68" s="182">
        <v>45664</v>
      </c>
      <c r="F68" s="188" t="s">
        <v>79</v>
      </c>
      <c r="G68" s="35" t="s">
        <v>72</v>
      </c>
      <c r="H68" s="35">
        <v>503.03</v>
      </c>
      <c r="I68" s="189">
        <f t="shared" si="0"/>
        <v>46.75</v>
      </c>
      <c r="J68" s="34"/>
      <c r="K68" s="38"/>
    </row>
    <row r="69" spans="3:13" s="26" customFormat="1" ht="28.5">
      <c r="C69" s="198">
        <v>4</v>
      </c>
      <c r="D69" s="776" t="s">
        <v>486</v>
      </c>
      <c r="E69" s="182">
        <v>45709</v>
      </c>
      <c r="F69" s="188" t="s">
        <v>668</v>
      </c>
      <c r="G69" s="35" t="s">
        <v>72</v>
      </c>
      <c r="H69" s="35">
        <v>521.80499999999995</v>
      </c>
      <c r="I69" s="189">
        <f t="shared" si="0"/>
        <v>48.494888475836426</v>
      </c>
      <c r="J69" s="34"/>
      <c r="K69" s="38"/>
    </row>
    <row r="70" spans="3:13" s="26" customFormat="1" ht="28.5">
      <c r="C70" s="198">
        <v>5</v>
      </c>
      <c r="D70" s="776" t="s">
        <v>669</v>
      </c>
      <c r="E70" s="182">
        <v>45644</v>
      </c>
      <c r="F70" s="188" t="s">
        <v>668</v>
      </c>
      <c r="G70" s="35" t="s">
        <v>72</v>
      </c>
      <c r="H70" s="35">
        <v>645.61300000000006</v>
      </c>
      <c r="I70" s="189">
        <f t="shared" si="0"/>
        <v>60.001208178438667</v>
      </c>
      <c r="J70" s="181" t="s">
        <v>670</v>
      </c>
      <c r="K70" s="38"/>
    </row>
    <row r="71" spans="3:13" s="26" customFormat="1" ht="28.5">
      <c r="C71" s="198">
        <v>6</v>
      </c>
      <c r="D71" s="776" t="s">
        <v>669</v>
      </c>
      <c r="E71" s="182">
        <v>45709</v>
      </c>
      <c r="F71" s="188" t="s">
        <v>671</v>
      </c>
      <c r="G71" s="35" t="s">
        <v>72</v>
      </c>
      <c r="H71" s="35">
        <v>83.87</v>
      </c>
      <c r="I71" s="189">
        <f t="shared" si="0"/>
        <v>7.7946096654275099</v>
      </c>
      <c r="J71" s="181" t="s">
        <v>670</v>
      </c>
      <c r="K71" s="38"/>
    </row>
    <row r="72" spans="3:13" s="26" customFormat="1" ht="15">
      <c r="C72" s="198">
        <v>7</v>
      </c>
      <c r="D72" s="776" t="s">
        <v>680</v>
      </c>
      <c r="E72" s="182">
        <v>45652</v>
      </c>
      <c r="F72" s="188" t="s">
        <v>672</v>
      </c>
      <c r="G72" s="35" t="s">
        <v>72</v>
      </c>
      <c r="H72" s="35">
        <v>66.900000000000006</v>
      </c>
      <c r="I72" s="189">
        <f t="shared" si="0"/>
        <v>6.2174721189591082</v>
      </c>
      <c r="J72" s="181" t="s">
        <v>673</v>
      </c>
      <c r="K72" s="38"/>
    </row>
    <row r="73" spans="3:13" s="26" customFormat="1" ht="15">
      <c r="C73" s="198">
        <v>8</v>
      </c>
      <c r="D73" s="776" t="s">
        <v>680</v>
      </c>
      <c r="E73" s="182">
        <v>45652</v>
      </c>
      <c r="F73" s="188" t="s">
        <v>674</v>
      </c>
      <c r="G73" s="35" t="s">
        <v>72</v>
      </c>
      <c r="H73" s="35">
        <v>646.17999999999995</v>
      </c>
      <c r="I73" s="189">
        <f t="shared" si="0"/>
        <v>60.053903345724905</v>
      </c>
      <c r="J73" s="181" t="s">
        <v>673</v>
      </c>
      <c r="K73" s="38"/>
    </row>
    <row r="74" spans="3:13" s="26" customFormat="1" ht="15">
      <c r="C74" s="198"/>
      <c r="D74" s="180"/>
      <c r="E74" s="182"/>
      <c r="F74" s="190" t="s">
        <v>115</v>
      </c>
      <c r="G74" s="35"/>
      <c r="H74" s="35"/>
      <c r="I74" s="35"/>
      <c r="J74" s="34"/>
      <c r="K74" s="38"/>
    </row>
    <row r="75" spans="3:13" s="26" customFormat="1">
      <c r="C75" s="198">
        <v>1</v>
      </c>
      <c r="D75" s="180" t="s">
        <v>117</v>
      </c>
      <c r="E75" s="182">
        <v>45696</v>
      </c>
      <c r="F75" s="188" t="s">
        <v>118</v>
      </c>
      <c r="G75" s="35" t="s">
        <v>28</v>
      </c>
      <c r="H75" s="35">
        <v>7</v>
      </c>
      <c r="I75" s="35"/>
      <c r="J75" s="837" t="s">
        <v>256</v>
      </c>
      <c r="K75" s="38"/>
    </row>
    <row r="76" spans="3:13" s="26" customFormat="1">
      <c r="C76" s="198">
        <v>2</v>
      </c>
      <c r="D76" s="180" t="s">
        <v>119</v>
      </c>
      <c r="E76" s="182">
        <v>45697</v>
      </c>
      <c r="F76" s="188" t="s">
        <v>118</v>
      </c>
      <c r="G76" s="35" t="s">
        <v>28</v>
      </c>
      <c r="H76" s="35">
        <v>8</v>
      </c>
      <c r="I76" s="35"/>
      <c r="J76" s="837"/>
      <c r="K76" s="38"/>
    </row>
    <row r="77" spans="3:13">
      <c r="C77" s="198">
        <v>3</v>
      </c>
      <c r="D77" s="191" t="s">
        <v>120</v>
      </c>
      <c r="E77" s="192">
        <v>45696</v>
      </c>
      <c r="F77" s="193" t="s">
        <v>118</v>
      </c>
      <c r="G77" s="194" t="s">
        <v>28</v>
      </c>
      <c r="H77" s="35">
        <v>8</v>
      </c>
      <c r="I77" s="35"/>
      <c r="J77" s="837"/>
      <c r="K77" s="38"/>
      <c r="M77" s="26"/>
    </row>
    <row r="78" spans="3:13">
      <c r="C78" s="198">
        <v>4</v>
      </c>
      <c r="D78" s="191" t="s">
        <v>121</v>
      </c>
      <c r="E78" s="192">
        <v>45700</v>
      </c>
      <c r="F78" s="193" t="s">
        <v>118</v>
      </c>
      <c r="G78" s="194" t="s">
        <v>28</v>
      </c>
      <c r="H78" s="35">
        <v>7</v>
      </c>
      <c r="I78" s="35"/>
      <c r="J78" s="837"/>
      <c r="K78" s="38"/>
      <c r="M78" s="26"/>
    </row>
    <row r="79" spans="3:13">
      <c r="C79" s="198">
        <v>5</v>
      </c>
      <c r="D79" s="191" t="s">
        <v>122</v>
      </c>
      <c r="E79" s="192">
        <v>45700</v>
      </c>
      <c r="F79" s="193" t="s">
        <v>118</v>
      </c>
      <c r="G79" s="194" t="s">
        <v>28</v>
      </c>
      <c r="H79" s="35">
        <v>5</v>
      </c>
      <c r="I79" s="35"/>
      <c r="J79" s="837"/>
      <c r="K79" s="38"/>
      <c r="M79" s="26"/>
    </row>
    <row r="80" spans="3:13">
      <c r="C80" s="198">
        <v>6</v>
      </c>
      <c r="D80" s="191" t="s">
        <v>123</v>
      </c>
      <c r="E80" s="192">
        <v>45700</v>
      </c>
      <c r="F80" s="193" t="s">
        <v>118</v>
      </c>
      <c r="G80" s="194" t="s">
        <v>28</v>
      </c>
      <c r="H80" s="35">
        <v>8</v>
      </c>
      <c r="I80" s="35"/>
      <c r="J80" s="837"/>
      <c r="K80" s="38"/>
      <c r="M80" s="26"/>
    </row>
    <row r="81" spans="3:13">
      <c r="C81" s="198">
        <v>7</v>
      </c>
      <c r="D81" s="191" t="s">
        <v>455</v>
      </c>
      <c r="E81" s="192">
        <v>45712</v>
      </c>
      <c r="F81" s="193" t="s">
        <v>118</v>
      </c>
      <c r="G81" s="194" t="s">
        <v>28</v>
      </c>
      <c r="H81" s="35">
        <v>6</v>
      </c>
      <c r="I81" s="35"/>
      <c r="J81" s="772"/>
      <c r="K81" s="38"/>
      <c r="M81" s="26"/>
    </row>
    <row r="82" spans="3:13">
      <c r="C82" s="198">
        <v>8</v>
      </c>
      <c r="D82" s="191" t="s">
        <v>456</v>
      </c>
      <c r="E82" s="192">
        <v>45712</v>
      </c>
      <c r="F82" s="193" t="s">
        <v>118</v>
      </c>
      <c r="G82" s="194" t="s">
        <v>28</v>
      </c>
      <c r="H82" s="35">
        <v>6</v>
      </c>
      <c r="I82" s="35"/>
      <c r="J82" s="772"/>
      <c r="K82" s="38"/>
      <c r="M82" s="26"/>
    </row>
    <row r="83" spans="3:13">
      <c r="C83" s="198">
        <v>9</v>
      </c>
      <c r="D83" s="191" t="s">
        <v>457</v>
      </c>
      <c r="E83" s="192">
        <v>45713</v>
      </c>
      <c r="F83" s="193" t="s">
        <v>118</v>
      </c>
      <c r="G83" s="194" t="s">
        <v>28</v>
      </c>
      <c r="H83" s="35">
        <v>8</v>
      </c>
      <c r="I83" s="35"/>
      <c r="J83" s="772"/>
      <c r="K83" s="38"/>
      <c r="M83" s="26"/>
    </row>
    <row r="84" spans="3:13">
      <c r="C84" s="198">
        <v>10</v>
      </c>
      <c r="D84" s="191" t="s">
        <v>458</v>
      </c>
      <c r="E84" s="192">
        <v>45715</v>
      </c>
      <c r="F84" s="193" t="s">
        <v>118</v>
      </c>
      <c r="G84" s="194" t="s">
        <v>28</v>
      </c>
      <c r="H84" s="35">
        <v>6</v>
      </c>
      <c r="I84" s="35"/>
      <c r="J84" s="772"/>
      <c r="K84" s="38"/>
      <c r="M84" s="26"/>
    </row>
    <row r="85" spans="3:13">
      <c r="C85" s="198">
        <v>11</v>
      </c>
      <c r="D85" s="191" t="s">
        <v>459</v>
      </c>
      <c r="E85" s="192">
        <v>45715</v>
      </c>
      <c r="F85" s="193" t="s">
        <v>118</v>
      </c>
      <c r="G85" s="194" t="s">
        <v>28</v>
      </c>
      <c r="H85" s="35">
        <v>7</v>
      </c>
      <c r="I85" s="35"/>
      <c r="J85" s="772"/>
      <c r="K85" s="38"/>
      <c r="M85" s="26"/>
    </row>
    <row r="86" spans="3:13">
      <c r="C86" s="198">
        <v>12</v>
      </c>
      <c r="D86" s="191" t="s">
        <v>460</v>
      </c>
      <c r="E86" s="192">
        <v>45715</v>
      </c>
      <c r="F86" s="193" t="s">
        <v>118</v>
      </c>
      <c r="G86" s="194" t="s">
        <v>28</v>
      </c>
      <c r="H86" s="35">
        <v>7</v>
      </c>
      <c r="I86" s="35"/>
      <c r="J86" s="772"/>
      <c r="K86" s="38"/>
      <c r="M86" s="26"/>
    </row>
    <row r="87" spans="3:13">
      <c r="C87" s="198">
        <v>13</v>
      </c>
      <c r="D87" s="191" t="s">
        <v>461</v>
      </c>
      <c r="E87" s="192">
        <v>45715</v>
      </c>
      <c r="F87" s="193" t="s">
        <v>118</v>
      </c>
      <c r="G87" s="194" t="s">
        <v>28</v>
      </c>
      <c r="H87" s="35">
        <v>7</v>
      </c>
      <c r="I87" s="35"/>
      <c r="J87" s="772"/>
      <c r="K87" s="38"/>
      <c r="M87" s="26"/>
    </row>
    <row r="88" spans="3:13">
      <c r="C88" s="198">
        <v>14</v>
      </c>
      <c r="D88" s="191" t="s">
        <v>455</v>
      </c>
      <c r="E88" s="192">
        <v>45715</v>
      </c>
      <c r="F88" s="193" t="s">
        <v>118</v>
      </c>
      <c r="G88" s="194" t="s">
        <v>28</v>
      </c>
      <c r="H88" s="35">
        <v>7</v>
      </c>
      <c r="I88" s="35"/>
      <c r="J88" s="772"/>
      <c r="K88" s="38"/>
      <c r="M88" s="26"/>
    </row>
    <row r="89" spans="3:13">
      <c r="C89" s="198">
        <v>15</v>
      </c>
      <c r="D89" s="191" t="s">
        <v>462</v>
      </c>
      <c r="E89" s="192">
        <v>45717</v>
      </c>
      <c r="F89" s="193" t="s">
        <v>118</v>
      </c>
      <c r="G89" s="194" t="s">
        <v>28</v>
      </c>
      <c r="H89" s="35">
        <v>6</v>
      </c>
      <c r="I89" s="35"/>
      <c r="J89" s="772"/>
      <c r="K89" s="38"/>
      <c r="M89" s="26"/>
    </row>
    <row r="90" spans="3:13">
      <c r="C90" s="198">
        <v>16</v>
      </c>
      <c r="D90" s="191" t="s">
        <v>463</v>
      </c>
      <c r="E90" s="192">
        <v>45717</v>
      </c>
      <c r="F90" s="193" t="s">
        <v>118</v>
      </c>
      <c r="G90" s="194" t="s">
        <v>28</v>
      </c>
      <c r="H90" s="35">
        <v>5</v>
      </c>
      <c r="I90" s="35"/>
      <c r="J90" s="772"/>
      <c r="K90" s="38"/>
      <c r="M90" s="26"/>
    </row>
    <row r="91" spans="3:13">
      <c r="C91" s="198">
        <v>17</v>
      </c>
      <c r="D91" s="191" t="s">
        <v>464</v>
      </c>
      <c r="E91" s="192">
        <v>45720</v>
      </c>
      <c r="F91" s="193" t="s">
        <v>118</v>
      </c>
      <c r="G91" s="194" t="s">
        <v>28</v>
      </c>
      <c r="H91" s="35">
        <v>6</v>
      </c>
      <c r="I91" s="35"/>
      <c r="J91" s="772"/>
      <c r="K91" s="38"/>
      <c r="M91" s="26"/>
    </row>
    <row r="92" spans="3:13">
      <c r="C92" s="198">
        <v>18</v>
      </c>
      <c r="D92" s="191" t="s">
        <v>465</v>
      </c>
      <c r="E92" s="192">
        <v>45729</v>
      </c>
      <c r="F92" s="193" t="s">
        <v>118</v>
      </c>
      <c r="G92" s="194" t="s">
        <v>28</v>
      </c>
      <c r="H92" s="35">
        <v>3</v>
      </c>
      <c r="I92" s="35"/>
      <c r="J92" s="772"/>
      <c r="K92" s="38"/>
      <c r="M92" s="26"/>
    </row>
    <row r="93" spans="3:13">
      <c r="C93" s="198">
        <v>19</v>
      </c>
      <c r="D93" s="191" t="s">
        <v>466</v>
      </c>
      <c r="E93" s="192">
        <v>45736</v>
      </c>
      <c r="F93" s="193" t="s">
        <v>118</v>
      </c>
      <c r="G93" s="194" t="s">
        <v>28</v>
      </c>
      <c r="H93" s="35">
        <v>5</v>
      </c>
      <c r="I93" s="35"/>
      <c r="J93" s="772"/>
      <c r="K93" s="38"/>
      <c r="M93" s="26"/>
    </row>
    <row r="94" spans="3:13">
      <c r="C94" s="198">
        <v>20</v>
      </c>
      <c r="D94" s="191" t="s">
        <v>467</v>
      </c>
      <c r="E94" s="192">
        <v>45736</v>
      </c>
      <c r="F94" s="193" t="s">
        <v>118</v>
      </c>
      <c r="G94" s="194" t="s">
        <v>28</v>
      </c>
      <c r="H94" s="35">
        <v>3</v>
      </c>
      <c r="I94" s="35"/>
      <c r="J94" s="772"/>
      <c r="K94" s="38"/>
      <c r="M94" s="26"/>
    </row>
    <row r="95" spans="3:13">
      <c r="C95" s="198">
        <v>21</v>
      </c>
      <c r="D95" s="191" t="s">
        <v>468</v>
      </c>
      <c r="E95" s="192">
        <v>45738</v>
      </c>
      <c r="F95" s="193" t="s">
        <v>118</v>
      </c>
      <c r="G95" s="194" t="s">
        <v>28</v>
      </c>
      <c r="H95" s="35">
        <v>3</v>
      </c>
      <c r="I95" s="35"/>
      <c r="J95" s="772"/>
      <c r="K95" s="38"/>
      <c r="M95" s="26"/>
    </row>
    <row r="96" spans="3:13">
      <c r="C96" s="198">
        <v>22</v>
      </c>
      <c r="D96" s="191" t="s">
        <v>469</v>
      </c>
      <c r="E96" s="192">
        <v>45724</v>
      </c>
      <c r="F96" s="193" t="s">
        <v>118</v>
      </c>
      <c r="G96" s="194" t="s">
        <v>28</v>
      </c>
      <c r="H96" s="35">
        <v>5</v>
      </c>
      <c r="I96" s="35"/>
      <c r="J96" s="772"/>
      <c r="K96" s="38"/>
      <c r="M96" s="26"/>
    </row>
    <row r="97" spans="3:13">
      <c r="C97" s="198">
        <v>23</v>
      </c>
      <c r="D97" s="191" t="s">
        <v>470</v>
      </c>
      <c r="E97" s="192">
        <v>45724</v>
      </c>
      <c r="F97" s="193" t="s">
        <v>118</v>
      </c>
      <c r="G97" s="194" t="s">
        <v>28</v>
      </c>
      <c r="H97" s="35">
        <v>5</v>
      </c>
      <c r="I97" s="35"/>
      <c r="J97" s="772"/>
      <c r="K97" s="38"/>
      <c r="M97" s="26"/>
    </row>
    <row r="98" spans="3:13">
      <c r="C98" s="198">
        <v>24</v>
      </c>
      <c r="D98" s="191" t="s">
        <v>471</v>
      </c>
      <c r="E98" s="192">
        <v>45744</v>
      </c>
      <c r="F98" s="193" t="s">
        <v>118</v>
      </c>
      <c r="G98" s="194" t="s">
        <v>28</v>
      </c>
      <c r="H98" s="35">
        <v>3</v>
      </c>
      <c r="I98" s="35"/>
      <c r="J98" s="772"/>
      <c r="K98" s="38"/>
      <c r="M98" s="26"/>
    </row>
    <row r="99" spans="3:13">
      <c r="C99" s="198">
        <v>25</v>
      </c>
      <c r="D99" s="191" t="s">
        <v>472</v>
      </c>
      <c r="E99" s="192">
        <v>45748</v>
      </c>
      <c r="F99" s="193" t="s">
        <v>118</v>
      </c>
      <c r="G99" s="194" t="s">
        <v>28</v>
      </c>
      <c r="H99" s="35">
        <v>3</v>
      </c>
      <c r="I99" s="35"/>
      <c r="J99" s="772"/>
      <c r="K99" s="38"/>
      <c r="M99" s="26"/>
    </row>
    <row r="100" spans="3:13">
      <c r="C100" s="198">
        <v>26</v>
      </c>
      <c r="D100" s="191" t="s">
        <v>473</v>
      </c>
      <c r="E100" s="192">
        <v>45753</v>
      </c>
      <c r="F100" s="193" t="s">
        <v>118</v>
      </c>
      <c r="G100" s="194" t="s">
        <v>28</v>
      </c>
      <c r="H100" s="35">
        <v>5</v>
      </c>
      <c r="I100" s="35"/>
      <c r="J100" s="772"/>
      <c r="K100" s="38"/>
      <c r="M100" s="26"/>
    </row>
    <row r="101" spans="3:13">
      <c r="C101" s="198">
        <v>27</v>
      </c>
      <c r="D101" s="191" t="s">
        <v>474</v>
      </c>
      <c r="E101" s="192">
        <v>45761</v>
      </c>
      <c r="F101" s="193" t="s">
        <v>118</v>
      </c>
      <c r="G101" s="194" t="s">
        <v>28</v>
      </c>
      <c r="H101" s="35">
        <v>5</v>
      </c>
      <c r="I101" s="35"/>
      <c r="J101" s="772"/>
      <c r="K101" s="38"/>
      <c r="M101" s="26"/>
    </row>
    <row r="102" spans="3:13">
      <c r="C102" s="198">
        <v>28</v>
      </c>
      <c r="D102" s="191" t="s">
        <v>582</v>
      </c>
      <c r="E102" s="192">
        <v>45764</v>
      </c>
      <c r="F102" s="193" t="s">
        <v>118</v>
      </c>
      <c r="G102" s="194" t="s">
        <v>28</v>
      </c>
      <c r="H102" s="35">
        <v>3</v>
      </c>
      <c r="I102" s="35"/>
      <c r="J102" s="772"/>
      <c r="K102" s="38"/>
      <c r="M102" s="26"/>
    </row>
    <row r="103" spans="3:13">
      <c r="C103" s="198">
        <v>29</v>
      </c>
      <c r="D103" s="191" t="s">
        <v>583</v>
      </c>
      <c r="E103" s="192">
        <v>45765</v>
      </c>
      <c r="F103" s="193" t="s">
        <v>118</v>
      </c>
      <c r="G103" s="194" t="s">
        <v>28</v>
      </c>
      <c r="H103" s="35">
        <v>3</v>
      </c>
      <c r="I103" s="35"/>
      <c r="J103" s="772"/>
      <c r="K103" s="38"/>
      <c r="M103" s="26"/>
    </row>
    <row r="104" spans="3:13">
      <c r="C104" s="198">
        <v>30</v>
      </c>
      <c r="D104" s="191" t="s">
        <v>584</v>
      </c>
      <c r="E104" s="192">
        <v>45769</v>
      </c>
      <c r="F104" s="193" t="s">
        <v>118</v>
      </c>
      <c r="G104" s="194" t="s">
        <v>28</v>
      </c>
      <c r="H104" s="35">
        <v>3</v>
      </c>
      <c r="I104" s="35"/>
      <c r="J104" s="772"/>
      <c r="K104" s="38"/>
      <c r="M104" s="26"/>
    </row>
    <row r="105" spans="3:13">
      <c r="C105" s="198">
        <v>31</v>
      </c>
      <c r="D105" s="191" t="s">
        <v>585</v>
      </c>
      <c r="E105" s="192">
        <v>45770</v>
      </c>
      <c r="F105" s="193" t="s">
        <v>118</v>
      </c>
      <c r="G105" s="194" t="s">
        <v>28</v>
      </c>
      <c r="H105" s="35">
        <v>3</v>
      </c>
      <c r="I105" s="35"/>
      <c r="J105" s="772"/>
      <c r="K105" s="38"/>
      <c r="M105" s="26"/>
    </row>
    <row r="106" spans="3:13">
      <c r="C106" s="198">
        <v>32</v>
      </c>
      <c r="D106" s="191" t="s">
        <v>586</v>
      </c>
      <c r="E106" s="192">
        <v>45771</v>
      </c>
      <c r="F106" s="193" t="s">
        <v>118</v>
      </c>
      <c r="G106" s="194" t="s">
        <v>28</v>
      </c>
      <c r="H106" s="35">
        <v>3</v>
      </c>
      <c r="I106" s="35"/>
      <c r="J106" s="772"/>
      <c r="K106" s="38"/>
      <c r="M106" s="26"/>
    </row>
    <row r="107" spans="3:13">
      <c r="C107" s="198">
        <v>33</v>
      </c>
      <c r="D107" s="191" t="s">
        <v>587</v>
      </c>
      <c r="E107" s="192">
        <v>45812</v>
      </c>
      <c r="F107" s="193" t="s">
        <v>118</v>
      </c>
      <c r="G107" s="194" t="s">
        <v>28</v>
      </c>
      <c r="H107" s="35">
        <v>3</v>
      </c>
      <c r="I107" s="35"/>
      <c r="J107" s="772"/>
      <c r="K107" s="38"/>
      <c r="M107" s="26"/>
    </row>
    <row r="108" spans="3:13">
      <c r="C108" s="198">
        <v>34</v>
      </c>
      <c r="D108" s="191" t="s">
        <v>588</v>
      </c>
      <c r="E108" s="192">
        <v>45783</v>
      </c>
      <c r="F108" s="193" t="s">
        <v>118</v>
      </c>
      <c r="G108" s="194" t="s">
        <v>28</v>
      </c>
      <c r="H108" s="35">
        <v>3</v>
      </c>
      <c r="I108" s="35"/>
      <c r="J108" s="772"/>
      <c r="K108" s="38"/>
      <c r="M108" s="26"/>
    </row>
    <row r="109" spans="3:13">
      <c r="C109" s="198">
        <v>35</v>
      </c>
      <c r="D109" s="191" t="s">
        <v>589</v>
      </c>
      <c r="E109" s="192">
        <v>45783</v>
      </c>
      <c r="F109" s="193" t="s">
        <v>118</v>
      </c>
      <c r="G109" s="194" t="s">
        <v>28</v>
      </c>
      <c r="H109" s="35">
        <v>4</v>
      </c>
      <c r="I109" s="35"/>
      <c r="J109" s="772"/>
      <c r="K109" s="38"/>
      <c r="M109" s="26"/>
    </row>
    <row r="110" spans="3:13">
      <c r="C110" s="198">
        <v>28</v>
      </c>
      <c r="D110" s="191" t="s">
        <v>578</v>
      </c>
      <c r="E110" s="192">
        <v>45813</v>
      </c>
      <c r="F110" s="193" t="s">
        <v>118</v>
      </c>
      <c r="G110" s="194" t="s">
        <v>28</v>
      </c>
      <c r="H110" s="35">
        <v>3</v>
      </c>
      <c r="I110" s="35"/>
      <c r="J110" s="34">
        <v>105</v>
      </c>
      <c r="K110" s="38"/>
      <c r="M110" s="26"/>
    </row>
    <row r="111" spans="3:13">
      <c r="C111" s="198">
        <v>29</v>
      </c>
      <c r="D111" s="191" t="s">
        <v>243</v>
      </c>
      <c r="E111" s="192">
        <v>45804</v>
      </c>
      <c r="F111" s="193" t="s">
        <v>118</v>
      </c>
      <c r="G111" s="194" t="s">
        <v>28</v>
      </c>
      <c r="H111" s="35">
        <v>13</v>
      </c>
      <c r="I111" s="35"/>
      <c r="J111" s="772">
        <v>73</v>
      </c>
      <c r="K111" s="38"/>
      <c r="M111" s="26"/>
    </row>
    <row r="112" spans="3:13">
      <c r="C112" s="198">
        <v>30</v>
      </c>
      <c r="D112" s="191" t="s">
        <v>580</v>
      </c>
      <c r="E112" s="192">
        <v>45835</v>
      </c>
      <c r="F112" s="193" t="s">
        <v>118</v>
      </c>
      <c r="G112" s="194" t="s">
        <v>28</v>
      </c>
      <c r="H112" s="35">
        <v>6</v>
      </c>
      <c r="I112" s="35"/>
      <c r="J112" s="772">
        <v>134</v>
      </c>
      <c r="K112" s="38"/>
      <c r="M112" s="26"/>
    </row>
    <row r="113" spans="3:11" ht="15">
      <c r="C113" s="198"/>
      <c r="D113" s="191"/>
      <c r="E113" s="192"/>
      <c r="F113" s="193"/>
      <c r="G113" s="194"/>
      <c r="H113" s="35"/>
      <c r="I113" s="367">
        <f>SUM(H75:H112)</f>
        <v>201</v>
      </c>
      <c r="J113" s="34"/>
      <c r="K113" s="38"/>
    </row>
    <row r="114" spans="3:11" ht="15">
      <c r="C114" s="199"/>
      <c r="D114" s="191"/>
      <c r="E114" s="192"/>
      <c r="F114" s="193"/>
      <c r="G114" s="194"/>
      <c r="H114" s="35"/>
      <c r="I114" s="189"/>
      <c r="J114" s="34"/>
      <c r="K114" s="38"/>
    </row>
    <row r="115" spans="3:11" ht="15">
      <c r="C115" s="199">
        <v>1</v>
      </c>
      <c r="D115" s="776" t="s">
        <v>251</v>
      </c>
      <c r="E115" s="192">
        <v>45692</v>
      </c>
      <c r="F115" s="193" t="s">
        <v>250</v>
      </c>
      <c r="G115" s="194" t="s">
        <v>252</v>
      </c>
      <c r="H115" s="35">
        <v>28.86</v>
      </c>
      <c r="I115" s="367">
        <f>SUM(H115)</f>
        <v>28.86</v>
      </c>
      <c r="J115" s="34"/>
      <c r="K115" s="38"/>
    </row>
    <row r="116" spans="3:11" ht="15">
      <c r="C116" s="199"/>
      <c r="D116" s="191"/>
      <c r="E116" s="192"/>
      <c r="F116" s="193"/>
      <c r="G116" s="194"/>
      <c r="H116" s="35"/>
      <c r="I116" s="189"/>
      <c r="J116" s="34"/>
      <c r="K116" s="38"/>
    </row>
    <row r="117" spans="3:11" ht="15">
      <c r="C117" s="199">
        <v>1</v>
      </c>
      <c r="D117" s="776" t="s">
        <v>475</v>
      </c>
      <c r="E117" s="192">
        <v>45733</v>
      </c>
      <c r="F117" s="193" t="s">
        <v>476</v>
      </c>
      <c r="G117" s="194" t="s">
        <v>477</v>
      </c>
      <c r="H117" s="35">
        <v>300</v>
      </c>
      <c r="I117" s="189"/>
      <c r="J117" s="34"/>
      <c r="K117" s="38"/>
    </row>
    <row r="118" spans="3:11" ht="15">
      <c r="C118" s="199"/>
      <c r="D118" s="191"/>
      <c r="E118" s="192"/>
      <c r="F118" s="193"/>
      <c r="G118" s="194"/>
      <c r="H118" s="35"/>
      <c r="I118" s="367">
        <f>SUM(H117)</f>
        <v>300</v>
      </c>
      <c r="J118" s="34" t="s">
        <v>478</v>
      </c>
      <c r="K118" s="38"/>
    </row>
    <row r="119" spans="3:11" ht="15">
      <c r="C119" s="199"/>
      <c r="D119" s="191"/>
      <c r="E119" s="192"/>
      <c r="F119" s="190" t="s">
        <v>115</v>
      </c>
      <c r="G119" s="194"/>
      <c r="H119" s="35"/>
      <c r="I119" s="189"/>
      <c r="J119" s="34"/>
      <c r="K119" s="38"/>
    </row>
    <row r="120" spans="3:11" ht="15">
      <c r="C120" s="198">
        <v>1</v>
      </c>
      <c r="D120" s="191" t="s">
        <v>479</v>
      </c>
      <c r="E120" s="192">
        <v>45769</v>
      </c>
      <c r="F120" s="193" t="s">
        <v>417</v>
      </c>
      <c r="G120" s="194" t="s">
        <v>28</v>
      </c>
      <c r="H120" s="35">
        <v>98</v>
      </c>
      <c r="I120" s="189"/>
      <c r="J120" s="181" t="s">
        <v>480</v>
      </c>
      <c r="K120" s="38"/>
    </row>
    <row r="121" spans="3:11" ht="15">
      <c r="C121" s="198">
        <v>2</v>
      </c>
      <c r="D121" s="191" t="s">
        <v>75</v>
      </c>
      <c r="E121" s="192">
        <v>45742</v>
      </c>
      <c r="F121" s="193" t="s">
        <v>417</v>
      </c>
      <c r="G121" s="194" t="s">
        <v>28</v>
      </c>
      <c r="H121" s="35">
        <v>80</v>
      </c>
      <c r="I121" s="189"/>
      <c r="J121" s="181" t="s">
        <v>481</v>
      </c>
      <c r="K121" s="38"/>
    </row>
    <row r="122" spans="3:11" ht="15">
      <c r="C122" s="198">
        <v>3</v>
      </c>
      <c r="D122" s="191" t="s">
        <v>75</v>
      </c>
      <c r="E122" s="192"/>
      <c r="F122" s="193"/>
      <c r="G122" s="194" t="s">
        <v>28</v>
      </c>
      <c r="H122" s="35">
        <f>216-H120-H121</f>
        <v>38</v>
      </c>
      <c r="I122" s="189"/>
      <c r="J122" s="181"/>
      <c r="K122" s="38"/>
    </row>
    <row r="123" spans="3:11" ht="15">
      <c r="C123" s="198">
        <v>4</v>
      </c>
      <c r="D123" s="191" t="s">
        <v>578</v>
      </c>
      <c r="E123" s="192">
        <v>45813</v>
      </c>
      <c r="F123" s="193" t="s">
        <v>417</v>
      </c>
      <c r="G123" s="194" t="s">
        <v>28</v>
      </c>
      <c r="H123" s="35">
        <v>117</v>
      </c>
      <c r="I123" s="189"/>
      <c r="J123" s="34">
        <v>105</v>
      </c>
      <c r="K123" s="38"/>
    </row>
    <row r="124" spans="3:11" ht="15.75" thickBot="1">
      <c r="C124" s="466">
        <v>5</v>
      </c>
      <c r="D124" s="191" t="s">
        <v>243</v>
      </c>
      <c r="E124" s="192">
        <v>45804</v>
      </c>
      <c r="F124" s="34" t="s">
        <v>417</v>
      </c>
      <c r="G124" s="34" t="s">
        <v>28</v>
      </c>
      <c r="H124" s="34">
        <v>70</v>
      </c>
      <c r="I124" s="463"/>
      <c r="J124" s="200">
        <v>73</v>
      </c>
      <c r="K124" s="465"/>
    </row>
    <row r="125" spans="3:11" ht="15">
      <c r="C125" s="458">
        <v>6</v>
      </c>
      <c r="D125" s="459" t="s">
        <v>579</v>
      </c>
      <c r="E125" s="545">
        <v>45827</v>
      </c>
      <c r="F125" s="461" t="s">
        <v>417</v>
      </c>
      <c r="G125" s="57" t="s">
        <v>28</v>
      </c>
      <c r="H125" s="462">
        <v>55</v>
      </c>
      <c r="I125" s="463"/>
      <c r="J125" s="464">
        <v>118</v>
      </c>
      <c r="K125" s="465"/>
    </row>
    <row r="126" spans="3:11" ht="15">
      <c r="C126" s="546">
        <v>7</v>
      </c>
      <c r="D126" s="539" t="s">
        <v>594</v>
      </c>
      <c r="E126" s="540">
        <v>45841</v>
      </c>
      <c r="F126" s="541" t="s">
        <v>417</v>
      </c>
      <c r="G126" s="542" t="s">
        <v>28</v>
      </c>
      <c r="H126" s="538">
        <v>52</v>
      </c>
      <c r="I126" s="543">
        <f>SUM(H120:H126)</f>
        <v>510</v>
      </c>
      <c r="J126" s="544">
        <v>144</v>
      </c>
      <c r="K126" s="547"/>
    </row>
    <row r="127" spans="3:11" ht="15" thickBot="1">
      <c r="C127" s="548"/>
      <c r="D127" s="549"/>
      <c r="E127" s="550"/>
      <c r="F127" s="312"/>
      <c r="G127" s="312"/>
      <c r="H127" s="551"/>
      <c r="I127" s="552"/>
      <c r="J127" s="553"/>
      <c r="K127" s="554"/>
    </row>
  </sheetData>
  <mergeCells count="3">
    <mergeCell ref="C3:K3"/>
    <mergeCell ref="H5:I5"/>
    <mergeCell ref="J75:J80"/>
  </mergeCells>
  <pageMargins left="0.7" right="0.7" top="0.75" bottom="0.75" header="0.3" footer="0.3"/>
  <pageSetup paperSize="9" scale="65" fitToHeight="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2E86-F438-46D3-AEE6-44D934BA1035}">
  <dimension ref="B1:N30"/>
  <sheetViews>
    <sheetView view="pageBreakPreview" zoomScale="60" zoomScaleNormal="70" workbookViewId="0">
      <selection activeCell="F7" sqref="F7"/>
    </sheetView>
  </sheetViews>
  <sheetFormatPr defaultColWidth="9.140625" defaultRowHeight="18"/>
  <cols>
    <col min="1" max="1" width="9.140625" style="325"/>
    <col min="2" max="2" width="9.7109375" style="325" bestFit="1" customWidth="1"/>
    <col min="3" max="3" width="58.42578125" style="325" bestFit="1" customWidth="1"/>
    <col min="4" max="4" width="9.140625" style="325"/>
    <col min="5" max="5" width="14" style="325" bestFit="1" customWidth="1"/>
    <col min="6" max="6" width="26.42578125" style="325" bestFit="1" customWidth="1"/>
    <col min="7" max="7" width="12.7109375" style="325" bestFit="1" customWidth="1"/>
    <col min="8" max="8" width="16.5703125" style="325" bestFit="1" customWidth="1"/>
    <col min="9" max="9" width="15.85546875" style="325" bestFit="1" customWidth="1"/>
    <col min="10" max="10" width="14.7109375" style="325" bestFit="1" customWidth="1"/>
    <col min="11" max="11" width="15.7109375" style="325" bestFit="1" customWidth="1"/>
    <col min="12" max="12" width="15.85546875" style="325" bestFit="1" customWidth="1"/>
    <col min="13" max="13" width="20.7109375" style="325" bestFit="1" customWidth="1"/>
    <col min="14" max="14" width="27.28515625" style="325" customWidth="1"/>
    <col min="15" max="16384" width="9.140625" style="325"/>
  </cols>
  <sheetData>
    <row r="1" spans="2:14" ht="18.75" thickBot="1"/>
    <row r="2" spans="2:14" s="329" customFormat="1" ht="18.75">
      <c r="B2" s="326"/>
      <c r="C2" s="327"/>
      <c r="D2" s="327"/>
      <c r="E2" s="327"/>
      <c r="F2" s="327"/>
      <c r="G2" s="327"/>
      <c r="H2" s="327"/>
      <c r="I2" s="327"/>
      <c r="J2" s="327"/>
      <c r="K2" s="327"/>
      <c r="L2" s="327"/>
      <c r="M2" s="327"/>
      <c r="N2" s="328"/>
    </row>
    <row r="3" spans="2:14" s="329" customFormat="1" ht="18.75">
      <c r="B3" s="332"/>
      <c r="C3" s="330"/>
      <c r="D3" s="330"/>
      <c r="E3" s="330"/>
      <c r="F3" s="330"/>
      <c r="G3" s="330"/>
      <c r="H3" s="330"/>
      <c r="I3" s="330"/>
      <c r="J3" s="330"/>
      <c r="K3" s="330"/>
      <c r="L3" s="330"/>
      <c r="M3" s="330"/>
      <c r="N3" s="331"/>
    </row>
    <row r="4" spans="2:14" s="329" customFormat="1" ht="18.75">
      <c r="B4" s="875" t="s">
        <v>683</v>
      </c>
      <c r="C4" s="876"/>
      <c r="D4" s="876"/>
      <c r="E4" s="876"/>
      <c r="F4" s="876"/>
      <c r="G4" s="876"/>
      <c r="H4" s="876"/>
      <c r="I4" s="876"/>
      <c r="J4" s="876"/>
      <c r="K4" s="876"/>
      <c r="L4" s="876"/>
      <c r="M4" s="876"/>
      <c r="N4" s="877"/>
    </row>
    <row r="5" spans="2:14" s="329" customFormat="1" ht="75">
      <c r="B5" s="333" t="s">
        <v>55</v>
      </c>
      <c r="C5" s="334" t="s">
        <v>56</v>
      </c>
      <c r="D5" s="334" t="s">
        <v>0</v>
      </c>
      <c r="E5" s="335" t="s">
        <v>57</v>
      </c>
      <c r="F5" s="335" t="s">
        <v>684</v>
      </c>
      <c r="G5" s="335" t="s">
        <v>134</v>
      </c>
      <c r="H5" s="335" t="s">
        <v>58</v>
      </c>
      <c r="I5" s="335" t="s">
        <v>59</v>
      </c>
      <c r="J5" s="335" t="s">
        <v>626</v>
      </c>
      <c r="K5" s="775" t="s">
        <v>659</v>
      </c>
      <c r="L5" s="335" t="s">
        <v>60</v>
      </c>
      <c r="M5" s="335" t="s">
        <v>61</v>
      </c>
      <c r="N5" s="336" t="s">
        <v>2</v>
      </c>
    </row>
    <row r="6" spans="2:14" s="54" customFormat="1" ht="18.75">
      <c r="B6" s="337">
        <v>1</v>
      </c>
      <c r="C6" s="338" t="s">
        <v>62</v>
      </c>
      <c r="D6" s="339"/>
      <c r="E6" s="340"/>
      <c r="F6" s="340"/>
      <c r="G6" s="340"/>
      <c r="H6" s="340"/>
      <c r="I6" s="340"/>
      <c r="J6" s="340"/>
      <c r="K6" s="340"/>
      <c r="L6" s="340"/>
      <c r="M6" s="340"/>
      <c r="N6" s="341"/>
    </row>
    <row r="7" spans="2:14" s="329" customFormat="1" ht="18.75">
      <c r="B7" s="342"/>
      <c r="C7" s="343" t="s">
        <v>101</v>
      </c>
      <c r="D7" s="344" t="s">
        <v>34</v>
      </c>
      <c r="E7" s="673">
        <f>'ISSUE DETAILS'!I21</f>
        <v>3660</v>
      </c>
      <c r="F7" s="346">
        <f>ROUND('[3]M BOOK'!I131*G7,0)</f>
        <v>1910</v>
      </c>
      <c r="G7" s="346">
        <v>1.639344262295082</v>
      </c>
      <c r="H7" s="347"/>
      <c r="I7" s="347"/>
      <c r="J7" s="347">
        <v>270</v>
      </c>
      <c r="K7" s="773">
        <v>1350</v>
      </c>
      <c r="L7" s="347">
        <f>E7-F7-J7-K7</f>
        <v>130</v>
      </c>
      <c r="M7" s="788">
        <f>(L7)/E7</f>
        <v>3.5519125683060107E-2</v>
      </c>
      <c r="N7" s="348"/>
    </row>
    <row r="8" spans="2:14" s="329" customFormat="1" ht="18.75">
      <c r="B8" s="342"/>
      <c r="C8" s="343" t="s">
        <v>102</v>
      </c>
      <c r="D8" s="344" t="s">
        <v>34</v>
      </c>
      <c r="E8" s="673">
        <f>'ISSUE DETAILS'!I10+'ISSUE DETAILS'!I31</f>
        <v>2549</v>
      </c>
      <c r="F8" s="346">
        <f>ROUNDUP('[3]M BOOK'!I97*G8,0)</f>
        <v>1817</v>
      </c>
      <c r="G8" s="346">
        <v>1.639344262295082</v>
      </c>
      <c r="H8" s="347"/>
      <c r="I8" s="347"/>
      <c r="J8" s="347"/>
      <c r="K8" s="773">
        <v>1300</v>
      </c>
      <c r="L8" s="347">
        <f>E8-F8-J8-K8</f>
        <v>-568</v>
      </c>
      <c r="M8" s="788">
        <f t="shared" ref="M8:M28" si="0">(L8)/E8</f>
        <v>-0.22283248332679481</v>
      </c>
      <c r="N8" s="791"/>
    </row>
    <row r="9" spans="2:14" s="329" customFormat="1" ht="18.75">
      <c r="B9" s="349">
        <v>2</v>
      </c>
      <c r="C9" s="350" t="s">
        <v>99</v>
      </c>
      <c r="D9" s="344"/>
      <c r="E9" s="345"/>
      <c r="F9" s="346"/>
      <c r="G9" s="346"/>
      <c r="H9" s="347"/>
      <c r="I9" s="347"/>
      <c r="J9" s="347"/>
      <c r="K9" s="774"/>
      <c r="L9" s="347">
        <f t="shared" ref="L9:L27" si="1">E9-F9-I9-H9-J9</f>
        <v>0</v>
      </c>
      <c r="M9" s="788"/>
      <c r="N9" s="791"/>
    </row>
    <row r="10" spans="2:14" s="329" customFormat="1" ht="18.75">
      <c r="B10" s="342"/>
      <c r="C10" s="343" t="s">
        <v>83</v>
      </c>
      <c r="D10" s="344" t="s">
        <v>34</v>
      </c>
      <c r="E10" s="673">
        <f>'ISSUE DETAILS'!I46</f>
        <v>2674</v>
      </c>
      <c r="F10" s="346">
        <f>ROUNDUP('[3]NT MEAS'!I21*G10,0)</f>
        <v>439</v>
      </c>
      <c r="G10" s="346">
        <v>1.639344262295082</v>
      </c>
      <c r="H10" s="347"/>
      <c r="I10" s="347"/>
      <c r="J10" s="347">
        <v>950</v>
      </c>
      <c r="K10" s="773">
        <v>600</v>
      </c>
      <c r="L10" s="347">
        <f>E10-F10-J10-K10</f>
        <v>685</v>
      </c>
      <c r="M10" s="788">
        <f t="shared" si="0"/>
        <v>0.25617053103964099</v>
      </c>
      <c r="N10" s="791"/>
    </row>
    <row r="11" spans="2:14" s="329" customFormat="1" ht="18.75">
      <c r="B11" s="342"/>
      <c r="C11" s="343"/>
      <c r="D11" s="344"/>
      <c r="E11" s="345"/>
      <c r="F11" s="346"/>
      <c r="G11" s="346"/>
      <c r="H11" s="347"/>
      <c r="I11" s="347"/>
      <c r="J11" s="347"/>
      <c r="K11" s="774"/>
      <c r="L11" s="347">
        <f t="shared" si="1"/>
        <v>0</v>
      </c>
      <c r="M11" s="788"/>
      <c r="N11" s="791"/>
    </row>
    <row r="12" spans="2:14" s="329" customFormat="1" ht="18.75">
      <c r="B12" s="349">
        <v>3</v>
      </c>
      <c r="C12" s="350" t="s">
        <v>116</v>
      </c>
      <c r="D12" s="344" t="s">
        <v>27</v>
      </c>
      <c r="E12" s="379">
        <f>SUM(E13:E14)</f>
        <v>1671.8931226765799</v>
      </c>
      <c r="F12" s="379">
        <f>SUM(F13:F14)</f>
        <v>1836.4196926000002</v>
      </c>
      <c r="G12" s="379"/>
      <c r="H12" s="376">
        <v>0</v>
      </c>
      <c r="I12" s="347"/>
      <c r="J12" s="347"/>
      <c r="K12" s="774"/>
      <c r="L12" s="347">
        <f>E12-F12-J12-K12</f>
        <v>-164.52656992342031</v>
      </c>
      <c r="M12" s="788">
        <f t="shared" si="0"/>
        <v>-9.8407348945861547E-2</v>
      </c>
      <c r="N12" s="791"/>
    </row>
    <row r="13" spans="2:14" s="329" customFormat="1" ht="36">
      <c r="B13" s="351"/>
      <c r="C13" s="352" t="s">
        <v>74</v>
      </c>
      <c r="D13" s="344" t="s">
        <v>27</v>
      </c>
      <c r="E13" s="673">
        <f>'ISSUE DETAILS'!K54</f>
        <v>872.02602230483274</v>
      </c>
      <c r="F13" s="354">
        <f>'[3]M BOOK'!L270</f>
        <v>1064.8501831000001</v>
      </c>
      <c r="G13" s="354"/>
      <c r="H13" s="355"/>
      <c r="I13" s="347"/>
      <c r="J13" s="347"/>
      <c r="K13" s="773"/>
      <c r="L13" s="347">
        <f>E13-F13-J13-K13</f>
        <v>-192.82416079516736</v>
      </c>
      <c r="M13" s="788">
        <f t="shared" si="0"/>
        <v>-0.22112202602110206</v>
      </c>
      <c r="N13" s="792"/>
    </row>
    <row r="14" spans="2:14" s="329" customFormat="1" ht="36">
      <c r="B14" s="351"/>
      <c r="C14" s="352" t="s">
        <v>85</v>
      </c>
      <c r="D14" s="356" t="s">
        <v>27</v>
      </c>
      <c r="E14" s="673">
        <f>'ISSUE DETAILS'!K63</f>
        <v>799.86710037174726</v>
      </c>
      <c r="F14" s="354">
        <f>'[3]M BOOK'!K270</f>
        <v>771.56950950000009</v>
      </c>
      <c r="G14" s="354"/>
      <c r="H14" s="355"/>
      <c r="I14" s="347"/>
      <c r="J14" s="347"/>
      <c r="K14" s="773"/>
      <c r="L14" s="347">
        <f>E14-F14-J14-K14</f>
        <v>28.297590871747161</v>
      </c>
      <c r="M14" s="788">
        <f t="shared" si="0"/>
        <v>3.5377865721187354E-2</v>
      </c>
      <c r="N14" s="792"/>
    </row>
    <row r="15" spans="2:14" s="329" customFormat="1" ht="18.75">
      <c r="B15" s="351"/>
      <c r="C15" s="352"/>
      <c r="D15" s="356"/>
      <c r="E15" s="353"/>
      <c r="F15" s="354"/>
      <c r="G15" s="354"/>
      <c r="H15" s="355"/>
      <c r="I15" s="347"/>
      <c r="J15" s="347"/>
      <c r="K15" s="773"/>
      <c r="L15" s="347"/>
      <c r="M15" s="788"/>
      <c r="N15" s="792"/>
    </row>
    <row r="16" spans="2:14" s="329" customFormat="1" ht="18.75">
      <c r="B16" s="357">
        <v>4</v>
      </c>
      <c r="C16" s="358" t="s">
        <v>100</v>
      </c>
      <c r="D16" s="356"/>
      <c r="E16" s="353"/>
      <c r="F16" s="354"/>
      <c r="G16" s="354"/>
      <c r="H16" s="355"/>
      <c r="I16" s="347">
        <f t="shared" ref="I16" si="2">E16-F16-H16</f>
        <v>0</v>
      </c>
      <c r="J16" s="347"/>
      <c r="K16" s="774"/>
      <c r="L16" s="347"/>
      <c r="M16" s="788"/>
      <c r="N16" s="792"/>
    </row>
    <row r="17" spans="2:14" s="329" customFormat="1" ht="36">
      <c r="B17" s="351"/>
      <c r="C17" s="352" t="s">
        <v>80</v>
      </c>
      <c r="D17" s="356" t="s">
        <v>27</v>
      </c>
      <c r="E17" s="672">
        <v>5.3706800445930885</v>
      </c>
      <c r="F17" s="354"/>
      <c r="G17" s="354"/>
      <c r="H17" s="355"/>
      <c r="I17" s="347"/>
      <c r="J17" s="347"/>
      <c r="K17" s="774"/>
      <c r="L17" s="347">
        <f t="shared" si="1"/>
        <v>5.3706800445930885</v>
      </c>
      <c r="M17" s="788">
        <f t="shared" si="0"/>
        <v>1</v>
      </c>
      <c r="N17" s="792" t="s">
        <v>685</v>
      </c>
    </row>
    <row r="18" spans="2:14" s="329" customFormat="1" ht="18.75">
      <c r="B18" s="351"/>
      <c r="C18" s="352" t="s">
        <v>79</v>
      </c>
      <c r="D18" s="356" t="s">
        <v>27</v>
      </c>
      <c r="E18" s="672">
        <v>46.128</v>
      </c>
      <c r="F18" s="354"/>
      <c r="G18" s="354"/>
      <c r="H18" s="355"/>
      <c r="I18" s="347"/>
      <c r="J18" s="347"/>
      <c r="K18" s="774"/>
      <c r="L18" s="347">
        <f t="shared" si="1"/>
        <v>46.128</v>
      </c>
      <c r="M18" s="788">
        <f t="shared" si="0"/>
        <v>1</v>
      </c>
      <c r="N18" s="792" t="s">
        <v>685</v>
      </c>
    </row>
    <row r="19" spans="2:14" s="329" customFormat="1" ht="18.75">
      <c r="B19" s="351"/>
      <c r="C19" s="352" t="s">
        <v>413</v>
      </c>
      <c r="D19" s="356" t="s">
        <v>27</v>
      </c>
      <c r="E19" s="672">
        <v>120.054</v>
      </c>
      <c r="F19" s="354">
        <f>[3]NT!I28</f>
        <v>99.915139799999992</v>
      </c>
      <c r="G19" s="354"/>
      <c r="H19" s="355"/>
      <c r="I19" s="347"/>
      <c r="J19" s="355"/>
      <c r="K19" s="773"/>
      <c r="L19" s="347">
        <f t="shared" si="1"/>
        <v>20.138860200000011</v>
      </c>
      <c r="M19" s="788">
        <f t="shared" si="0"/>
        <v>0.1677483482432906</v>
      </c>
      <c r="N19" s="792"/>
    </row>
    <row r="20" spans="2:14" s="329" customFormat="1" ht="36">
      <c r="B20" s="351"/>
      <c r="C20" s="352" t="s">
        <v>414</v>
      </c>
      <c r="D20" s="356" t="s">
        <v>27</v>
      </c>
      <c r="E20" s="672">
        <v>14.010999999999999</v>
      </c>
      <c r="F20" s="354"/>
      <c r="G20" s="354"/>
      <c r="H20" s="355"/>
      <c r="I20" s="347"/>
      <c r="J20" s="355"/>
      <c r="K20" s="774"/>
      <c r="L20" s="347">
        <f t="shared" si="1"/>
        <v>14.010999999999999</v>
      </c>
      <c r="M20" s="788">
        <f t="shared" si="0"/>
        <v>1</v>
      </c>
      <c r="N20" s="792" t="s">
        <v>685</v>
      </c>
    </row>
    <row r="21" spans="2:14" s="329" customFormat="1" ht="36">
      <c r="B21" s="351"/>
      <c r="C21" s="352" t="s">
        <v>415</v>
      </c>
      <c r="D21" s="356" t="s">
        <v>27</v>
      </c>
      <c r="E21" s="672">
        <v>26.228000000000002</v>
      </c>
      <c r="F21" s="354"/>
      <c r="G21" s="354"/>
      <c r="H21" s="355"/>
      <c r="I21" s="347"/>
      <c r="J21" s="355"/>
      <c r="K21" s="774"/>
      <c r="L21" s="347">
        <f t="shared" si="1"/>
        <v>26.228000000000002</v>
      </c>
      <c r="M21" s="788">
        <f t="shared" si="0"/>
        <v>1</v>
      </c>
      <c r="N21" s="792" t="s">
        <v>685</v>
      </c>
    </row>
    <row r="22" spans="2:14" s="329" customFormat="1" ht="18.75">
      <c r="B22" s="351"/>
      <c r="C22" s="352" t="s">
        <v>416</v>
      </c>
      <c r="D22" s="356" t="s">
        <v>27</v>
      </c>
      <c r="E22" s="672">
        <v>108.5</v>
      </c>
      <c r="F22" s="354"/>
      <c r="G22" s="354"/>
      <c r="H22" s="355"/>
      <c r="I22" s="347"/>
      <c r="J22" s="355"/>
      <c r="K22" s="774"/>
      <c r="L22" s="347">
        <f t="shared" si="1"/>
        <v>108.5</v>
      </c>
      <c r="M22" s="788">
        <f t="shared" si="0"/>
        <v>1</v>
      </c>
      <c r="N22" s="792" t="s">
        <v>685</v>
      </c>
    </row>
    <row r="23" spans="2:14" s="329" customFormat="1" ht="18.75">
      <c r="B23" s="351"/>
      <c r="C23" s="352" t="s">
        <v>627</v>
      </c>
      <c r="D23" s="356" t="s">
        <v>27</v>
      </c>
      <c r="E23" s="672">
        <v>42</v>
      </c>
      <c r="F23" s="354"/>
      <c r="G23" s="354"/>
      <c r="H23" s="355"/>
      <c r="I23" s="347"/>
      <c r="J23" s="355"/>
      <c r="K23" s="774"/>
      <c r="L23" s="347">
        <f t="shared" si="1"/>
        <v>42</v>
      </c>
      <c r="M23" s="788">
        <f t="shared" si="0"/>
        <v>1</v>
      </c>
      <c r="N23" s="792" t="s">
        <v>685</v>
      </c>
    </row>
    <row r="24" spans="2:14" s="329" customFormat="1" ht="18.75">
      <c r="B24" s="357">
        <v>5</v>
      </c>
      <c r="C24" s="358" t="s">
        <v>115</v>
      </c>
      <c r="D24" s="356"/>
      <c r="E24" s="353"/>
      <c r="F24" s="354"/>
      <c r="G24" s="354"/>
      <c r="H24" s="355"/>
      <c r="I24" s="355"/>
      <c r="J24" s="355"/>
      <c r="K24" s="774"/>
      <c r="L24" s="347">
        <f t="shared" si="1"/>
        <v>0</v>
      </c>
      <c r="M24" s="788"/>
      <c r="N24" s="792"/>
    </row>
    <row r="25" spans="2:14" s="329" customFormat="1" ht="18.75">
      <c r="B25" s="351"/>
      <c r="C25" s="352" t="s">
        <v>417</v>
      </c>
      <c r="D25" s="356" t="str">
        <f>'[3]ISSUE BACKUP'!G68</f>
        <v>CUM</v>
      </c>
      <c r="E25" s="672">
        <v>617</v>
      </c>
      <c r="F25" s="374">
        <f>'[3]Abstract '!J38</f>
        <v>602.99415401999988</v>
      </c>
      <c r="G25" s="374"/>
      <c r="H25" s="375"/>
      <c r="I25" s="376"/>
      <c r="J25" s="376"/>
      <c r="K25" s="774"/>
      <c r="L25" s="347">
        <f t="shared" si="1"/>
        <v>14.005845980000117</v>
      </c>
      <c r="M25" s="788">
        <f t="shared" si="0"/>
        <v>2.269991244732596E-2</v>
      </c>
      <c r="N25" s="792"/>
    </row>
    <row r="26" spans="2:14" s="329" customFormat="1" ht="18.75" hidden="1">
      <c r="B26" s="351"/>
      <c r="C26" s="352" t="s">
        <v>118</v>
      </c>
      <c r="D26" s="356" t="s">
        <v>28</v>
      </c>
      <c r="E26" s="373">
        <v>196</v>
      </c>
      <c r="F26" s="374">
        <f>'[3]M BOOK'!K197</f>
        <v>199.38895187</v>
      </c>
      <c r="G26" s="374"/>
      <c r="H26" s="375"/>
      <c r="I26" s="375"/>
      <c r="J26" s="375"/>
      <c r="K26" s="774"/>
      <c r="L26" s="347">
        <f t="shared" si="1"/>
        <v>-3.3889518699999996</v>
      </c>
      <c r="M26" s="788">
        <f t="shared" si="0"/>
        <v>-1.7290570765306122E-2</v>
      </c>
      <c r="N26" s="792"/>
    </row>
    <row r="27" spans="2:14" s="329" customFormat="1" ht="18.75">
      <c r="B27" s="357">
        <v>6</v>
      </c>
      <c r="C27" s="358" t="s">
        <v>418</v>
      </c>
      <c r="D27" s="356"/>
      <c r="E27" s="353"/>
      <c r="F27" s="354"/>
      <c r="G27" s="354"/>
      <c r="H27" s="355"/>
      <c r="I27" s="355"/>
      <c r="J27" s="355"/>
      <c r="K27" s="774"/>
      <c r="L27" s="347">
        <f t="shared" si="1"/>
        <v>0</v>
      </c>
      <c r="M27" s="788"/>
      <c r="N27" s="792"/>
    </row>
    <row r="28" spans="2:14" s="329" customFormat="1" ht="18.75">
      <c r="B28" s="351"/>
      <c r="C28" s="352" t="s">
        <v>419</v>
      </c>
      <c r="D28" s="356" t="s">
        <v>252</v>
      </c>
      <c r="E28" s="672">
        <v>28.86</v>
      </c>
      <c r="F28" s="359">
        <f>[3]BBS!O70</f>
        <v>11.597467985555559</v>
      </c>
      <c r="G28" s="354"/>
      <c r="H28" s="355"/>
      <c r="I28" s="347"/>
      <c r="J28" s="347">
        <v>9.57</v>
      </c>
      <c r="K28" s="773">
        <f>4.2</f>
        <v>4.2</v>
      </c>
      <c r="L28" s="347">
        <f>E28-F28-J28-K28</f>
        <v>3.4925320144444383</v>
      </c>
      <c r="M28" s="788">
        <f t="shared" si="0"/>
        <v>0.1210163553168551</v>
      </c>
      <c r="N28" s="792"/>
    </row>
    <row r="29" spans="2:14" s="329" customFormat="1" ht="19.5" thickBot="1">
      <c r="B29" s="360"/>
      <c r="C29" s="361"/>
      <c r="D29" s="362"/>
      <c r="E29" s="361"/>
      <c r="F29" s="363"/>
      <c r="G29" s="363"/>
      <c r="H29" s="363"/>
      <c r="I29" s="363"/>
      <c r="J29" s="363"/>
      <c r="K29" s="364"/>
      <c r="L29" s="364"/>
      <c r="M29" s="793"/>
      <c r="N29" s="365"/>
    </row>
    <row r="30" spans="2:14">
      <c r="F30" s="366"/>
      <c r="G30" s="366"/>
    </row>
  </sheetData>
  <mergeCells count="1">
    <mergeCell ref="B4:N4"/>
  </mergeCells>
  <pageMargins left="0.7" right="0.7" top="0.75" bottom="0.75" header="0.3" footer="0.3"/>
  <pageSetup paperSize="9" scale="3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C2:M116"/>
  <sheetViews>
    <sheetView view="pageBreakPreview" zoomScale="85" zoomScaleNormal="85" zoomScaleSheetLayoutView="85" workbookViewId="0">
      <selection activeCell="K55" sqref="K55"/>
    </sheetView>
  </sheetViews>
  <sheetFormatPr defaultColWidth="9.140625" defaultRowHeight="14.25"/>
  <cols>
    <col min="1" max="2" width="9.140625" style="522"/>
    <col min="3" max="3" width="14.28515625" style="522" bestFit="1" customWidth="1"/>
    <col min="4" max="4" width="22.7109375" style="557" customWidth="1"/>
    <col min="5" max="5" width="11.7109375" style="557" bestFit="1" customWidth="1"/>
    <col min="6" max="6" width="14.85546875" style="522" customWidth="1"/>
    <col min="7" max="7" width="9.140625" style="522"/>
    <col min="8" max="8" width="9.140625" style="522" customWidth="1"/>
    <col min="9" max="9" width="19.28515625" style="471" customWidth="1"/>
    <col min="10" max="10" width="9.85546875" style="522" bestFit="1" customWidth="1"/>
    <col min="11" max="11" width="10.7109375" style="557" customWidth="1"/>
    <col min="12" max="12" width="14.140625" style="522" bestFit="1" customWidth="1"/>
    <col min="13" max="16384" width="9.140625" style="522"/>
  </cols>
  <sheetData>
    <row r="2" spans="3:12" ht="15" thickBot="1"/>
    <row r="3" spans="3:12" ht="18.75">
      <c r="C3" s="890" t="s">
        <v>127</v>
      </c>
      <c r="D3" s="891"/>
      <c r="E3" s="891"/>
      <c r="F3" s="892"/>
      <c r="I3" s="890" t="s">
        <v>127</v>
      </c>
      <c r="J3" s="891"/>
      <c r="K3" s="891"/>
      <c r="L3" s="892"/>
    </row>
    <row r="4" spans="3:12">
      <c r="C4" s="558"/>
      <c r="D4" s="559"/>
      <c r="E4" s="559"/>
      <c r="F4" s="560"/>
      <c r="I4" s="558"/>
      <c r="J4" s="559"/>
      <c r="K4" s="559"/>
      <c r="L4" s="560"/>
    </row>
    <row r="5" spans="3:12" ht="15.75">
      <c r="C5" s="519" t="s">
        <v>128</v>
      </c>
      <c r="D5" s="520" t="s">
        <v>129</v>
      </c>
      <c r="E5" s="520" t="s">
        <v>130</v>
      </c>
      <c r="F5" s="521" t="s">
        <v>2</v>
      </c>
      <c r="I5" s="519" t="s">
        <v>128</v>
      </c>
      <c r="J5" s="520" t="s">
        <v>129</v>
      </c>
      <c r="K5" s="520" t="s">
        <v>130</v>
      </c>
      <c r="L5" s="521" t="s">
        <v>2</v>
      </c>
    </row>
    <row r="6" spans="3:12" ht="15">
      <c r="C6" s="887" t="s">
        <v>133</v>
      </c>
      <c r="D6" s="887"/>
      <c r="E6" s="887"/>
      <c r="F6" s="893"/>
      <c r="I6" s="480"/>
      <c r="J6" s="561"/>
      <c r="K6" s="559"/>
      <c r="L6" s="560"/>
    </row>
    <row r="7" spans="3:12">
      <c r="C7" s="480">
        <v>1</v>
      </c>
      <c r="D7" s="559">
        <v>97.56</v>
      </c>
      <c r="E7" s="559">
        <v>98.055000000000007</v>
      </c>
      <c r="F7" s="560"/>
      <c r="I7" s="480">
        <v>1</v>
      </c>
      <c r="J7" s="482">
        <v>97.3</v>
      </c>
      <c r="K7" s="559">
        <v>98.1</v>
      </c>
      <c r="L7" s="560"/>
    </row>
    <row r="8" spans="3:12">
      <c r="C8" s="480">
        <v>2</v>
      </c>
      <c r="D8" s="559">
        <v>97.509</v>
      </c>
      <c r="E8" s="559">
        <v>98.1</v>
      </c>
      <c r="F8" s="560"/>
      <c r="I8" s="480">
        <v>2</v>
      </c>
      <c r="J8" s="482">
        <v>97.54</v>
      </c>
      <c r="K8" s="559">
        <v>98.05</v>
      </c>
      <c r="L8" s="560"/>
    </row>
    <row r="9" spans="3:12">
      <c r="C9" s="480">
        <v>3</v>
      </c>
      <c r="D9" s="559">
        <v>97.706000000000003</v>
      </c>
      <c r="E9" s="559">
        <v>98.13</v>
      </c>
      <c r="F9" s="560"/>
      <c r="I9" s="480">
        <v>3</v>
      </c>
      <c r="J9" s="482">
        <v>97.823999999999998</v>
      </c>
      <c r="K9" s="559">
        <v>98.07</v>
      </c>
      <c r="L9" s="560"/>
    </row>
    <row r="10" spans="3:12">
      <c r="C10" s="480">
        <v>4</v>
      </c>
      <c r="D10" s="559">
        <v>97.548000000000002</v>
      </c>
      <c r="E10" s="559">
        <v>98.105000000000004</v>
      </c>
      <c r="F10" s="560"/>
      <c r="I10" s="480">
        <v>4</v>
      </c>
      <c r="J10" s="482">
        <v>97.391000000000005</v>
      </c>
      <c r="K10" s="559">
        <v>98.14</v>
      </c>
      <c r="L10" s="560"/>
    </row>
    <row r="11" spans="3:12">
      <c r="C11" s="480">
        <v>5</v>
      </c>
      <c r="D11" s="559">
        <v>97.492999999999995</v>
      </c>
      <c r="E11" s="559">
        <v>98.04</v>
      </c>
      <c r="F11" s="560"/>
      <c r="I11" s="480">
        <v>5</v>
      </c>
      <c r="J11" s="482">
        <v>97.763999999999996</v>
      </c>
      <c r="K11" s="559">
        <v>98.08</v>
      </c>
      <c r="L11" s="560"/>
    </row>
    <row r="12" spans="3:12">
      <c r="C12" s="480">
        <v>6</v>
      </c>
      <c r="D12" s="559">
        <v>97.558000000000007</v>
      </c>
      <c r="E12" s="559">
        <v>98.155000000000001</v>
      </c>
      <c r="F12" s="560"/>
      <c r="I12" s="480">
        <v>6</v>
      </c>
      <c r="J12" s="482">
        <v>95.65</v>
      </c>
      <c r="K12" s="559">
        <v>98.01</v>
      </c>
      <c r="L12" s="560"/>
    </row>
    <row r="13" spans="3:12">
      <c r="C13" s="480">
        <v>7</v>
      </c>
      <c r="D13" s="559">
        <v>97.561000000000007</v>
      </c>
      <c r="E13" s="559">
        <v>98.015000000000001</v>
      </c>
      <c r="F13" s="560"/>
      <c r="I13" s="480">
        <v>7</v>
      </c>
      <c r="J13" s="482">
        <v>98.79</v>
      </c>
      <c r="K13" s="559">
        <v>98.144999999999996</v>
      </c>
      <c r="L13" s="560"/>
    </row>
    <row r="14" spans="3:12">
      <c r="C14" s="480">
        <v>8</v>
      </c>
      <c r="D14" s="559">
        <v>97.617000000000004</v>
      </c>
      <c r="E14" s="559">
        <v>98.114999999999995</v>
      </c>
      <c r="F14" s="560"/>
      <c r="I14" s="480">
        <v>8</v>
      </c>
      <c r="J14" s="482">
        <v>97.721000000000004</v>
      </c>
      <c r="K14" s="559">
        <v>98.105000000000004</v>
      </c>
      <c r="L14" s="560"/>
    </row>
    <row r="15" spans="3:12">
      <c r="C15" s="480">
        <v>9</v>
      </c>
      <c r="D15" s="559">
        <v>97.531999999999996</v>
      </c>
      <c r="E15" s="559">
        <v>98.15</v>
      </c>
      <c r="F15" s="560"/>
      <c r="I15" s="480">
        <v>9</v>
      </c>
      <c r="J15" s="482">
        <v>97.745000000000005</v>
      </c>
      <c r="K15" s="559"/>
      <c r="L15" s="560"/>
    </row>
    <row r="16" spans="3:12">
      <c r="C16" s="480">
        <v>10</v>
      </c>
      <c r="D16" s="559">
        <v>97.543000000000006</v>
      </c>
      <c r="E16" s="559">
        <v>98.084999999999994</v>
      </c>
      <c r="F16" s="560"/>
      <c r="I16" s="480">
        <v>10</v>
      </c>
      <c r="J16" s="482">
        <v>97.233999999999995</v>
      </c>
      <c r="K16" s="559"/>
      <c r="L16" s="560"/>
    </row>
    <row r="17" spans="3:13">
      <c r="C17" s="480">
        <v>11</v>
      </c>
      <c r="D17" s="559">
        <v>97.486000000000004</v>
      </c>
      <c r="E17" s="559">
        <v>98.075000000000003</v>
      </c>
      <c r="F17" s="560"/>
      <c r="I17" s="480">
        <v>11</v>
      </c>
      <c r="J17" s="482">
        <v>97.65</v>
      </c>
      <c r="K17" s="559"/>
      <c r="L17" s="560"/>
    </row>
    <row r="18" spans="3:13" ht="15">
      <c r="C18" s="480">
        <v>12</v>
      </c>
      <c r="D18" s="559">
        <v>97.718000000000004</v>
      </c>
      <c r="E18" s="559">
        <v>97.89</v>
      </c>
      <c r="F18" s="560"/>
      <c r="I18" s="562" t="s">
        <v>131</v>
      </c>
      <c r="J18" s="563">
        <f>SUM(J7:J17)/11</f>
        <v>97.509909090909105</v>
      </c>
      <c r="K18" s="563">
        <f>SUM(K7:K17)/8</f>
        <v>98.087499999999991</v>
      </c>
      <c r="L18" s="564"/>
    </row>
    <row r="19" spans="3:13" ht="15.75" thickBot="1">
      <c r="C19" s="480">
        <v>13</v>
      </c>
      <c r="D19" s="559">
        <v>97.682000000000002</v>
      </c>
      <c r="E19" s="559">
        <v>98.084999999999994</v>
      </c>
      <c r="F19" s="560"/>
      <c r="I19" s="565" t="s">
        <v>132</v>
      </c>
      <c r="J19" s="566"/>
      <c r="K19" s="566">
        <f>K18-J18</f>
        <v>0.57759090909088684</v>
      </c>
      <c r="L19" s="567" t="s">
        <v>24</v>
      </c>
    </row>
    <row r="20" spans="3:13">
      <c r="C20" s="480">
        <v>14</v>
      </c>
      <c r="D20" s="559">
        <v>97.754999999999995</v>
      </c>
      <c r="E20" s="559">
        <v>98.15</v>
      </c>
      <c r="F20" s="560"/>
      <c r="J20" s="568"/>
    </row>
    <row r="21" spans="3:13">
      <c r="C21" s="480">
        <v>15</v>
      </c>
      <c r="D21" s="559">
        <v>97.64</v>
      </c>
      <c r="E21" s="559">
        <v>98.075000000000003</v>
      </c>
      <c r="F21" s="560"/>
      <c r="J21" s="569"/>
    </row>
    <row r="22" spans="3:13">
      <c r="C22" s="480">
        <v>16</v>
      </c>
      <c r="D22" s="559">
        <v>97.483999999999995</v>
      </c>
      <c r="E22" s="559">
        <v>98.04</v>
      </c>
      <c r="F22" s="560"/>
    </row>
    <row r="23" spans="3:13">
      <c r="C23" s="480">
        <v>17</v>
      </c>
      <c r="D23" s="559">
        <v>97.51</v>
      </c>
      <c r="E23" s="559">
        <v>98.105000000000004</v>
      </c>
      <c r="F23" s="560"/>
    </row>
    <row r="24" spans="3:13">
      <c r="C24" s="558"/>
      <c r="D24" s="559">
        <f>SUM(D7:D23)</f>
        <v>1658.902</v>
      </c>
      <c r="E24" s="559">
        <f>SUM(E7:E23)</f>
        <v>1667.3700000000003</v>
      </c>
      <c r="F24" s="560"/>
    </row>
    <row r="25" spans="3:13" ht="15">
      <c r="C25" s="562" t="s">
        <v>131</v>
      </c>
      <c r="D25" s="563">
        <f>+D24/17</f>
        <v>97.582470588235296</v>
      </c>
      <c r="E25" s="563">
        <f>+E24/17</f>
        <v>98.080588235294144</v>
      </c>
      <c r="F25" s="564"/>
      <c r="H25" s="570"/>
    </row>
    <row r="26" spans="3:13" ht="15.75" thickBot="1">
      <c r="C26" s="565" t="s">
        <v>132</v>
      </c>
      <c r="D26" s="566"/>
      <c r="E26" s="566">
        <f>E25-D25</f>
        <v>0.49811764705884798</v>
      </c>
      <c r="F26" s="567" t="s">
        <v>24</v>
      </c>
    </row>
    <row r="28" spans="3:13" ht="15" thickBot="1"/>
    <row r="29" spans="3:13">
      <c r="C29" s="571"/>
      <c r="D29" s="572"/>
      <c r="E29" s="572"/>
      <c r="F29" s="572"/>
      <c r="G29" s="572"/>
      <c r="H29" s="572"/>
      <c r="I29" s="572"/>
      <c r="J29" s="572"/>
      <c r="K29" s="572"/>
      <c r="L29" s="572"/>
      <c r="M29" s="573"/>
    </row>
    <row r="30" spans="3:13" ht="15.75" thickBot="1">
      <c r="C30" s="574"/>
      <c r="D30" s="522"/>
      <c r="E30" s="889" t="s">
        <v>441</v>
      </c>
      <c r="F30" s="889"/>
      <c r="I30" s="522"/>
      <c r="J30" s="889" t="s">
        <v>441</v>
      </c>
      <c r="K30" s="889"/>
      <c r="M30" s="575"/>
    </row>
    <row r="31" spans="3:13" ht="18.75">
      <c r="C31" s="574"/>
      <c r="D31" s="890" t="s">
        <v>127</v>
      </c>
      <c r="E31" s="891"/>
      <c r="F31" s="891"/>
      <c r="G31" s="892"/>
      <c r="I31" s="890" t="s">
        <v>127</v>
      </c>
      <c r="J31" s="891"/>
      <c r="K31" s="891"/>
      <c r="L31" s="892"/>
      <c r="M31" s="575"/>
    </row>
    <row r="32" spans="3:13">
      <c r="C32" s="574"/>
      <c r="D32" s="558"/>
      <c r="E32" s="559"/>
      <c r="F32" s="559"/>
      <c r="G32" s="560"/>
      <c r="I32" s="558"/>
      <c r="J32" s="559"/>
      <c r="K32" s="559"/>
      <c r="L32" s="560"/>
      <c r="M32" s="575"/>
    </row>
    <row r="33" spans="3:13" ht="47.25">
      <c r="C33" s="574"/>
      <c r="D33" s="519" t="s">
        <v>128</v>
      </c>
      <c r="E33" s="520" t="s">
        <v>129</v>
      </c>
      <c r="F33" s="520" t="s">
        <v>130</v>
      </c>
      <c r="G33" s="521" t="s">
        <v>2</v>
      </c>
      <c r="I33" s="519" t="s">
        <v>128</v>
      </c>
      <c r="J33" s="520" t="s">
        <v>129</v>
      </c>
      <c r="K33" s="520" t="s">
        <v>130</v>
      </c>
      <c r="L33" s="521" t="s">
        <v>2</v>
      </c>
      <c r="M33" s="575"/>
    </row>
    <row r="34" spans="3:13" ht="15">
      <c r="C34" s="574"/>
      <c r="D34" s="886" t="s">
        <v>442</v>
      </c>
      <c r="E34" s="887"/>
      <c r="F34" s="887"/>
      <c r="G34" s="888"/>
      <c r="I34" s="886" t="s">
        <v>443</v>
      </c>
      <c r="J34" s="887"/>
      <c r="K34" s="887"/>
      <c r="L34" s="888"/>
      <c r="M34" s="575"/>
    </row>
    <row r="35" spans="3:13">
      <c r="C35" s="574"/>
      <c r="D35" s="480">
        <v>1</v>
      </c>
      <c r="E35" s="559">
        <v>97.683999999999997</v>
      </c>
      <c r="F35" s="559">
        <v>97.974999999999994</v>
      </c>
      <c r="G35" s="560"/>
      <c r="I35" s="480">
        <v>1</v>
      </c>
      <c r="J35" s="559">
        <v>97.637</v>
      </c>
      <c r="K35" s="559">
        <v>98.21</v>
      </c>
      <c r="L35" s="560"/>
      <c r="M35" s="575"/>
    </row>
    <row r="36" spans="3:13">
      <c r="C36" s="574"/>
      <c r="D36" s="480">
        <v>2</v>
      </c>
      <c r="E36" s="559">
        <v>97.721999999999994</v>
      </c>
      <c r="F36" s="559">
        <v>97.97</v>
      </c>
      <c r="G36" s="560"/>
      <c r="I36" s="480">
        <v>2</v>
      </c>
      <c r="J36" s="559">
        <v>97.858999999999995</v>
      </c>
      <c r="K36" s="559">
        <v>98.215000000000003</v>
      </c>
      <c r="L36" s="560"/>
      <c r="M36" s="575"/>
    </row>
    <row r="37" spans="3:13">
      <c r="C37" s="574"/>
      <c r="D37" s="480">
        <v>3</v>
      </c>
      <c r="E37" s="559">
        <v>97.778000000000006</v>
      </c>
      <c r="F37" s="559">
        <v>97.96</v>
      </c>
      <c r="G37" s="560"/>
      <c r="I37" s="480">
        <v>3</v>
      </c>
      <c r="J37" s="559">
        <v>97.718000000000004</v>
      </c>
      <c r="K37" s="559">
        <v>98.215000000000003</v>
      </c>
      <c r="L37" s="560"/>
      <c r="M37" s="575"/>
    </row>
    <row r="38" spans="3:13">
      <c r="C38" s="574"/>
      <c r="D38" s="480">
        <v>4</v>
      </c>
      <c r="E38" s="559"/>
      <c r="F38" s="559">
        <v>97.99</v>
      </c>
      <c r="G38" s="560"/>
      <c r="I38" s="480">
        <v>4</v>
      </c>
      <c r="J38" s="559">
        <v>97.628</v>
      </c>
      <c r="K38" s="559">
        <v>98.19</v>
      </c>
      <c r="L38" s="560"/>
      <c r="M38" s="575"/>
    </row>
    <row r="39" spans="3:13">
      <c r="C39" s="574"/>
      <c r="D39" s="480">
        <v>5</v>
      </c>
      <c r="E39" s="559"/>
      <c r="F39" s="559">
        <v>97.965000000000003</v>
      </c>
      <c r="G39" s="560"/>
      <c r="I39" s="480">
        <v>5</v>
      </c>
      <c r="J39" s="559">
        <v>97.682000000000002</v>
      </c>
      <c r="K39" s="559">
        <v>98.174999999999997</v>
      </c>
      <c r="L39" s="560"/>
      <c r="M39" s="575"/>
    </row>
    <row r="40" spans="3:13">
      <c r="C40" s="574"/>
      <c r="D40" s="480">
        <v>6</v>
      </c>
      <c r="E40" s="559"/>
      <c r="F40" s="559">
        <v>97.96</v>
      </c>
      <c r="G40" s="560"/>
      <c r="I40" s="480">
        <v>6</v>
      </c>
      <c r="J40" s="559">
        <v>97.682000000000002</v>
      </c>
      <c r="K40" s="559">
        <v>98.18</v>
      </c>
      <c r="L40" s="560"/>
      <c r="M40" s="575"/>
    </row>
    <row r="41" spans="3:13">
      <c r="C41" s="574"/>
      <c r="D41" s="480">
        <v>7</v>
      </c>
      <c r="E41" s="559"/>
      <c r="F41" s="559">
        <v>97.974999999999994</v>
      </c>
      <c r="G41" s="560"/>
      <c r="I41" s="480">
        <v>7</v>
      </c>
      <c r="J41" s="559"/>
      <c r="K41" s="559">
        <v>98.204999999999998</v>
      </c>
      <c r="L41" s="560"/>
      <c r="M41" s="575"/>
    </row>
    <row r="42" spans="3:13">
      <c r="C42" s="574"/>
      <c r="D42" s="480">
        <v>8</v>
      </c>
      <c r="E42" s="559"/>
      <c r="F42" s="559">
        <v>97.99</v>
      </c>
      <c r="G42" s="560"/>
      <c r="I42" s="480">
        <v>8</v>
      </c>
      <c r="J42" s="559"/>
      <c r="K42" s="559">
        <v>98.114999999999995</v>
      </c>
      <c r="L42" s="560"/>
      <c r="M42" s="575"/>
    </row>
    <row r="43" spans="3:13">
      <c r="C43" s="574"/>
      <c r="D43" s="558"/>
      <c r="E43" s="559">
        <f>SUM(E35:E42)</f>
        <v>293.18400000000003</v>
      </c>
      <c r="F43" s="559">
        <f>SUM(F35:F42)</f>
        <v>783.78500000000008</v>
      </c>
      <c r="G43" s="560"/>
      <c r="I43" s="558"/>
      <c r="J43" s="559">
        <f>SUM(J35:J42)</f>
        <v>586.20600000000002</v>
      </c>
      <c r="K43" s="559">
        <f>SUM(K35:K42)</f>
        <v>785.505</v>
      </c>
      <c r="L43" s="560"/>
      <c r="M43" s="575"/>
    </row>
    <row r="44" spans="3:13" ht="15">
      <c r="C44" s="574"/>
      <c r="D44" s="562" t="s">
        <v>131</v>
      </c>
      <c r="E44" s="563">
        <f>+E43/3</f>
        <v>97.728000000000009</v>
      </c>
      <c r="F44" s="563">
        <f>+F43/8</f>
        <v>97.97312500000001</v>
      </c>
      <c r="G44" s="564"/>
      <c r="I44" s="562" t="s">
        <v>131</v>
      </c>
      <c r="J44" s="563">
        <f>+J43/6</f>
        <v>97.701000000000008</v>
      </c>
      <c r="K44" s="563">
        <f>+K43/8</f>
        <v>98.188124999999999</v>
      </c>
      <c r="L44" s="564"/>
      <c r="M44" s="575"/>
    </row>
    <row r="45" spans="3:13" ht="15.75" thickBot="1">
      <c r="C45" s="574"/>
      <c r="D45" s="565" t="s">
        <v>132</v>
      </c>
      <c r="E45" s="566"/>
      <c r="F45" s="566">
        <f>F44-E44</f>
        <v>0.24512500000000159</v>
      </c>
      <c r="G45" s="567" t="s">
        <v>24</v>
      </c>
      <c r="I45" s="565" t="s">
        <v>132</v>
      </c>
      <c r="J45" s="566"/>
      <c r="K45" s="566">
        <f>K44-J44</f>
        <v>0.48712499999999181</v>
      </c>
      <c r="L45" s="567" t="s">
        <v>24</v>
      </c>
      <c r="M45" s="575"/>
    </row>
    <row r="46" spans="3:13">
      <c r="C46" s="574"/>
      <c r="D46" s="522"/>
      <c r="E46" s="576"/>
      <c r="F46" s="576"/>
      <c r="I46" s="522"/>
      <c r="J46" s="576"/>
      <c r="K46" s="576"/>
      <c r="M46" s="575"/>
    </row>
    <row r="47" spans="3:13" ht="15.75" thickBot="1">
      <c r="C47" s="574"/>
      <c r="D47" s="522"/>
      <c r="E47" s="889" t="s">
        <v>441</v>
      </c>
      <c r="F47" s="889"/>
      <c r="G47" s="555"/>
      <c r="I47" s="522"/>
      <c r="J47" s="889" t="s">
        <v>441</v>
      </c>
      <c r="K47" s="889"/>
      <c r="L47" s="555"/>
      <c r="M47" s="575"/>
    </row>
    <row r="48" spans="3:13" ht="18.75">
      <c r="C48" s="574"/>
      <c r="D48" s="883" t="s">
        <v>127</v>
      </c>
      <c r="E48" s="884"/>
      <c r="F48" s="884"/>
      <c r="G48" s="885"/>
      <c r="I48" s="883" t="s">
        <v>127</v>
      </c>
      <c r="J48" s="884"/>
      <c r="K48" s="884"/>
      <c r="L48" s="885"/>
      <c r="M48" s="575"/>
    </row>
    <row r="49" spans="3:13">
      <c r="C49" s="574"/>
      <c r="D49" s="558"/>
      <c r="E49" s="559"/>
      <c r="F49" s="559"/>
      <c r="G49" s="560"/>
      <c r="I49" s="558"/>
      <c r="J49" s="559"/>
      <c r="K49" s="559"/>
      <c r="L49" s="560"/>
      <c r="M49" s="575"/>
    </row>
    <row r="50" spans="3:13" ht="47.25">
      <c r="C50" s="574"/>
      <c r="D50" s="519" t="s">
        <v>128</v>
      </c>
      <c r="E50" s="520" t="s">
        <v>129</v>
      </c>
      <c r="F50" s="520" t="s">
        <v>130</v>
      </c>
      <c r="G50" s="521" t="s">
        <v>2</v>
      </c>
      <c r="I50" s="519" t="s">
        <v>128</v>
      </c>
      <c r="J50" s="520" t="s">
        <v>129</v>
      </c>
      <c r="K50" s="520" t="s">
        <v>130</v>
      </c>
      <c r="L50" s="521" t="s">
        <v>2</v>
      </c>
      <c r="M50" s="575"/>
    </row>
    <row r="51" spans="3:13" ht="15">
      <c r="C51" s="574"/>
      <c r="D51" s="886" t="s">
        <v>444</v>
      </c>
      <c r="E51" s="887"/>
      <c r="F51" s="887"/>
      <c r="G51" s="888"/>
      <c r="I51" s="886" t="s">
        <v>445</v>
      </c>
      <c r="J51" s="887"/>
      <c r="K51" s="887"/>
      <c r="L51" s="888"/>
      <c r="M51" s="575"/>
    </row>
    <row r="52" spans="3:13">
      <c r="C52" s="574"/>
      <c r="D52" s="480">
        <v>1</v>
      </c>
      <c r="E52" s="559">
        <v>96.575000000000003</v>
      </c>
      <c r="F52" s="559">
        <v>97.674999999999997</v>
      </c>
      <c r="G52" s="560"/>
      <c r="I52" s="480">
        <v>1</v>
      </c>
      <c r="J52" s="559">
        <v>97.6</v>
      </c>
      <c r="K52" s="559">
        <v>97.974999999999994</v>
      </c>
      <c r="L52" s="560"/>
      <c r="M52" s="575"/>
    </row>
    <row r="53" spans="3:13">
      <c r="C53" s="574"/>
      <c r="D53" s="480">
        <v>2</v>
      </c>
      <c r="E53" s="559">
        <v>96.34</v>
      </c>
      <c r="F53" s="559">
        <v>97.66</v>
      </c>
      <c r="G53" s="560"/>
      <c r="I53" s="558"/>
      <c r="J53" s="559">
        <f>SUM(J52:J52)</f>
        <v>97.6</v>
      </c>
      <c r="K53" s="559">
        <f>SUM(K52:K52)</f>
        <v>97.974999999999994</v>
      </c>
      <c r="L53" s="560"/>
      <c r="M53" s="575"/>
    </row>
    <row r="54" spans="3:13" ht="15">
      <c r="C54" s="574"/>
      <c r="D54" s="480">
        <v>3</v>
      </c>
      <c r="E54" s="559">
        <v>96.775000000000006</v>
      </c>
      <c r="F54" s="559">
        <v>97.75</v>
      </c>
      <c r="G54" s="560"/>
      <c r="I54" s="562" t="s">
        <v>131</v>
      </c>
      <c r="J54" s="563">
        <f>+J53/1</f>
        <v>97.6</v>
      </c>
      <c r="K54" s="563">
        <f>+K53/1</f>
        <v>97.974999999999994</v>
      </c>
      <c r="L54" s="564"/>
      <c r="M54" s="575"/>
    </row>
    <row r="55" spans="3:13" ht="15.75" thickBot="1">
      <c r="C55" s="574"/>
      <c r="D55" s="480">
        <v>4</v>
      </c>
      <c r="E55" s="559">
        <v>96.8</v>
      </c>
      <c r="F55" s="559">
        <v>97.75</v>
      </c>
      <c r="G55" s="560"/>
      <c r="I55" s="565" t="s">
        <v>132</v>
      </c>
      <c r="J55" s="566"/>
      <c r="K55" s="566">
        <f>K54-J54</f>
        <v>0.375</v>
      </c>
      <c r="L55" s="567" t="s">
        <v>24</v>
      </c>
      <c r="M55" s="575"/>
    </row>
    <row r="56" spans="3:13">
      <c r="C56" s="574"/>
      <c r="D56" s="480">
        <v>5</v>
      </c>
      <c r="E56" s="559">
        <v>96.9</v>
      </c>
      <c r="F56" s="559">
        <v>97.66</v>
      </c>
      <c r="G56" s="560"/>
      <c r="I56" s="522"/>
      <c r="K56" s="522"/>
      <c r="M56" s="575"/>
    </row>
    <row r="57" spans="3:13">
      <c r="C57" s="574"/>
      <c r="D57" s="480">
        <v>6</v>
      </c>
      <c r="E57" s="559">
        <v>97.17</v>
      </c>
      <c r="F57" s="559">
        <v>97.665000000000006</v>
      </c>
      <c r="G57" s="560"/>
      <c r="I57" s="522"/>
      <c r="K57" s="522"/>
      <c r="M57" s="575"/>
    </row>
    <row r="58" spans="3:13">
      <c r="C58" s="574"/>
      <c r="D58" s="480">
        <v>7</v>
      </c>
      <c r="E58" s="559">
        <v>97.07</v>
      </c>
      <c r="F58" s="559">
        <v>97.67</v>
      </c>
      <c r="G58" s="560"/>
      <c r="I58" s="522"/>
      <c r="K58" s="522"/>
      <c r="M58" s="575"/>
    </row>
    <row r="59" spans="3:13">
      <c r="C59" s="574"/>
      <c r="D59" s="480">
        <v>8</v>
      </c>
      <c r="E59" s="559">
        <v>97.07</v>
      </c>
      <c r="F59" s="559">
        <v>97.665000000000006</v>
      </c>
      <c r="G59" s="560"/>
      <c r="I59" s="522"/>
      <c r="K59" s="522"/>
      <c r="M59" s="575"/>
    </row>
    <row r="60" spans="3:13">
      <c r="C60" s="574"/>
      <c r="D60" s="558"/>
      <c r="E60" s="559">
        <f>SUM(E52:E59)</f>
        <v>774.7</v>
      </c>
      <c r="F60" s="559">
        <f>SUM(F52:F59)</f>
        <v>781.49499999999989</v>
      </c>
      <c r="G60" s="560"/>
      <c r="I60" s="522"/>
      <c r="K60" s="522"/>
      <c r="M60" s="575"/>
    </row>
    <row r="61" spans="3:13" ht="15">
      <c r="C61" s="574"/>
      <c r="D61" s="562" t="s">
        <v>131</v>
      </c>
      <c r="E61" s="563">
        <f>+E60/8</f>
        <v>96.837500000000006</v>
      </c>
      <c r="F61" s="563">
        <f>+F60/8</f>
        <v>97.686874999999986</v>
      </c>
      <c r="G61" s="564"/>
      <c r="I61" s="522"/>
      <c r="K61" s="522"/>
      <c r="M61" s="575"/>
    </row>
    <row r="62" spans="3:13" ht="15.75" thickBot="1">
      <c r="C62" s="574"/>
      <c r="D62" s="565" t="s">
        <v>132</v>
      </c>
      <c r="E62" s="566"/>
      <c r="F62" s="566">
        <f>F61-E61</f>
        <v>0.84937499999998067</v>
      </c>
      <c r="G62" s="567" t="s">
        <v>24</v>
      </c>
      <c r="I62" s="522"/>
      <c r="K62" s="522"/>
      <c r="M62" s="575"/>
    </row>
    <row r="63" spans="3:13">
      <c r="C63" s="574"/>
      <c r="D63" s="522"/>
      <c r="E63" s="522"/>
      <c r="F63" s="576"/>
      <c r="G63" s="576"/>
      <c r="I63" s="522"/>
      <c r="K63" s="522"/>
      <c r="M63" s="575"/>
    </row>
    <row r="64" spans="3:13" ht="15" thickBot="1">
      <c r="C64" s="577"/>
      <c r="D64" s="578"/>
      <c r="E64" s="578"/>
      <c r="F64" s="579"/>
      <c r="G64" s="579"/>
      <c r="H64" s="578"/>
      <c r="I64" s="578"/>
      <c r="J64" s="578"/>
      <c r="K64" s="578"/>
      <c r="L64" s="578"/>
      <c r="M64" s="580"/>
    </row>
    <row r="65" spans="3:13">
      <c r="C65" s="571"/>
      <c r="D65" s="572"/>
      <c r="E65" s="572"/>
      <c r="F65" s="663"/>
      <c r="G65" s="663"/>
      <c r="H65" s="572"/>
      <c r="I65" s="572"/>
      <c r="J65" s="572"/>
      <c r="K65" s="572"/>
      <c r="L65" s="572"/>
      <c r="M65" s="573"/>
    </row>
    <row r="66" spans="3:13">
      <c r="C66" s="574"/>
      <c r="D66" s="522"/>
      <c r="E66" s="522"/>
      <c r="F66" s="576"/>
      <c r="G66" s="576"/>
      <c r="I66" s="522"/>
      <c r="K66" s="522"/>
      <c r="M66" s="575"/>
    </row>
    <row r="67" spans="3:13">
      <c r="C67" s="574"/>
      <c r="D67" s="522"/>
      <c r="E67" s="522"/>
      <c r="F67" s="576"/>
      <c r="G67" s="576"/>
      <c r="I67" s="522"/>
      <c r="K67" s="522"/>
      <c r="M67" s="575"/>
    </row>
    <row r="68" spans="3:13" ht="15.75" thickBot="1">
      <c r="C68" s="574"/>
      <c r="D68" s="556" t="s">
        <v>597</v>
      </c>
      <c r="E68" s="555"/>
      <c r="F68" s="555"/>
      <c r="G68" s="555"/>
      <c r="I68" s="556" t="s">
        <v>597</v>
      </c>
      <c r="J68" s="555"/>
      <c r="K68" s="555"/>
      <c r="L68" s="555"/>
      <c r="M68" s="575"/>
    </row>
    <row r="69" spans="3:13" ht="18.75">
      <c r="C69" s="574"/>
      <c r="D69" s="883" t="s">
        <v>127</v>
      </c>
      <c r="E69" s="884"/>
      <c r="F69" s="884"/>
      <c r="G69" s="885"/>
      <c r="I69" s="883" t="s">
        <v>127</v>
      </c>
      <c r="J69" s="884"/>
      <c r="K69" s="884"/>
      <c r="L69" s="885"/>
      <c r="M69" s="575"/>
    </row>
    <row r="70" spans="3:13">
      <c r="C70" s="574"/>
      <c r="D70" s="558"/>
      <c r="E70" s="559"/>
      <c r="F70" s="559"/>
      <c r="G70" s="560"/>
      <c r="I70" s="558"/>
      <c r="J70" s="559"/>
      <c r="K70" s="559"/>
      <c r="L70" s="560"/>
      <c r="M70" s="575"/>
    </row>
    <row r="71" spans="3:13" ht="47.25">
      <c r="C71" s="574"/>
      <c r="D71" s="519" t="s">
        <v>128</v>
      </c>
      <c r="E71" s="520" t="s">
        <v>129</v>
      </c>
      <c r="F71" s="520" t="s">
        <v>130</v>
      </c>
      <c r="G71" s="521" t="s">
        <v>2</v>
      </c>
      <c r="I71" s="519" t="s">
        <v>128</v>
      </c>
      <c r="J71" s="520" t="s">
        <v>129</v>
      </c>
      <c r="K71" s="520" t="s">
        <v>130</v>
      </c>
      <c r="L71" s="521" t="s">
        <v>2</v>
      </c>
      <c r="M71" s="575"/>
    </row>
    <row r="72" spans="3:13" ht="15">
      <c r="C72" s="574"/>
      <c r="D72" s="886" t="s">
        <v>596</v>
      </c>
      <c r="E72" s="887"/>
      <c r="F72" s="887"/>
      <c r="G72" s="888"/>
      <c r="I72" s="886" t="s">
        <v>598</v>
      </c>
      <c r="J72" s="887"/>
      <c r="K72" s="887"/>
      <c r="L72" s="888"/>
      <c r="M72" s="575"/>
    </row>
    <row r="73" spans="3:13" ht="15">
      <c r="C73" s="574"/>
      <c r="D73" s="529">
        <v>1</v>
      </c>
      <c r="E73" s="581">
        <v>96.9</v>
      </c>
      <c r="F73" s="581">
        <v>97.3</v>
      </c>
      <c r="G73" s="560"/>
      <c r="I73" s="584">
        <v>1</v>
      </c>
      <c r="J73" s="581">
        <v>97.51</v>
      </c>
      <c r="K73" s="581">
        <v>98.05</v>
      </c>
      <c r="L73" s="585"/>
      <c r="M73" s="575"/>
    </row>
    <row r="74" spans="3:13" ht="15">
      <c r="C74" s="574"/>
      <c r="D74" s="582"/>
      <c r="E74" s="581">
        <f>SUM(E73:E73)</f>
        <v>96.9</v>
      </c>
      <c r="F74" s="581">
        <f>SUM(F73:F73)</f>
        <v>97.3</v>
      </c>
      <c r="G74" s="560"/>
      <c r="I74" s="584">
        <v>2</v>
      </c>
      <c r="J74" s="581">
        <v>97.66</v>
      </c>
      <c r="K74" s="581">
        <v>98.02</v>
      </c>
      <c r="L74" s="585"/>
      <c r="M74" s="575"/>
    </row>
    <row r="75" spans="3:13" ht="15">
      <c r="C75" s="574"/>
      <c r="D75" s="562" t="s">
        <v>131</v>
      </c>
      <c r="E75" s="563">
        <f>+E74/1</f>
        <v>96.9</v>
      </c>
      <c r="F75" s="563">
        <f>+F74/1</f>
        <v>97.3</v>
      </c>
      <c r="G75" s="564"/>
      <c r="I75" s="584">
        <v>3</v>
      </c>
      <c r="J75" s="581">
        <v>97.48</v>
      </c>
      <c r="K75" s="581">
        <v>98.025000000000006</v>
      </c>
      <c r="L75" s="585"/>
      <c r="M75" s="575"/>
    </row>
    <row r="76" spans="3:13" ht="15.75" thickBot="1">
      <c r="C76" s="574"/>
      <c r="D76" s="565" t="s">
        <v>132</v>
      </c>
      <c r="E76" s="566"/>
      <c r="F76" s="566">
        <f>F75-E75</f>
        <v>0.39999999999999147</v>
      </c>
      <c r="G76" s="567" t="s">
        <v>24</v>
      </c>
      <c r="I76" s="584">
        <v>4</v>
      </c>
      <c r="J76" s="581">
        <v>97.54</v>
      </c>
      <c r="K76" s="581">
        <v>97.93</v>
      </c>
      <c r="L76" s="585"/>
      <c r="M76" s="575"/>
    </row>
    <row r="77" spans="3:13" ht="15">
      <c r="C77" s="574"/>
      <c r="D77" s="522"/>
      <c r="E77" s="522"/>
      <c r="F77" s="576"/>
      <c r="G77" s="576"/>
      <c r="I77" s="584">
        <v>5</v>
      </c>
      <c r="J77" s="581">
        <v>97.56</v>
      </c>
      <c r="K77" s="581">
        <v>97.834999999999994</v>
      </c>
      <c r="L77" s="585"/>
      <c r="M77" s="575"/>
    </row>
    <row r="78" spans="3:13" ht="15">
      <c r="C78" s="574"/>
      <c r="D78" s="522"/>
      <c r="E78" s="522"/>
      <c r="F78" s="576"/>
      <c r="G78" s="576"/>
      <c r="I78" s="584">
        <v>6</v>
      </c>
      <c r="J78" s="581">
        <v>97.55</v>
      </c>
      <c r="K78" s="581">
        <v>97.9</v>
      </c>
      <c r="L78" s="585"/>
      <c r="M78" s="575"/>
    </row>
    <row r="79" spans="3:13" ht="15">
      <c r="C79" s="574"/>
      <c r="D79" s="522"/>
      <c r="E79" s="522"/>
      <c r="F79" s="576"/>
      <c r="G79" s="576"/>
      <c r="I79" s="584">
        <v>7</v>
      </c>
      <c r="J79" s="581">
        <v>97.93</v>
      </c>
      <c r="K79" s="581">
        <v>97.82</v>
      </c>
      <c r="L79" s="585"/>
      <c r="M79" s="575"/>
    </row>
    <row r="80" spans="3:13" ht="15.75" thickBot="1">
      <c r="C80" s="574"/>
      <c r="D80" s="556" t="s">
        <v>597</v>
      </c>
      <c r="E80" s="555"/>
      <c r="F80" s="555"/>
      <c r="G80" s="555"/>
      <c r="I80" s="558"/>
      <c r="J80" s="559">
        <f>SUM(J73:J79)</f>
        <v>683.23</v>
      </c>
      <c r="K80" s="559">
        <f>SUM(K73:K79)</f>
        <v>685.57999999999993</v>
      </c>
      <c r="L80" s="560"/>
      <c r="M80" s="575"/>
    </row>
    <row r="81" spans="3:13" ht="18.75">
      <c r="C81" s="574"/>
      <c r="D81" s="883" t="s">
        <v>127</v>
      </c>
      <c r="E81" s="884"/>
      <c r="F81" s="884"/>
      <c r="G81" s="885"/>
      <c r="I81" s="562" t="s">
        <v>131</v>
      </c>
      <c r="J81" s="563">
        <f>J80/7</f>
        <v>97.604285714285723</v>
      </c>
      <c r="K81" s="563">
        <f>K80/7</f>
        <v>97.939999999999984</v>
      </c>
      <c r="L81" s="564"/>
      <c r="M81" s="575"/>
    </row>
    <row r="82" spans="3:13" ht="15.75" thickBot="1">
      <c r="C82" s="574"/>
      <c r="D82" s="558"/>
      <c r="E82" s="559"/>
      <c r="F82" s="559"/>
      <c r="G82" s="560"/>
      <c r="I82" s="565" t="s">
        <v>132</v>
      </c>
      <c r="J82" s="566"/>
      <c r="K82" s="566">
        <f>K81-J81</f>
        <v>0.33571428571426054</v>
      </c>
      <c r="L82" s="567" t="s">
        <v>24</v>
      </c>
      <c r="M82" s="575"/>
    </row>
    <row r="83" spans="3:13" ht="47.25">
      <c r="C83" s="574"/>
      <c r="D83" s="519" t="s">
        <v>128</v>
      </c>
      <c r="E83" s="520" t="s">
        <v>129</v>
      </c>
      <c r="F83" s="520" t="s">
        <v>130</v>
      </c>
      <c r="G83" s="521" t="s">
        <v>2</v>
      </c>
      <c r="I83" s="522"/>
      <c r="K83" s="522"/>
      <c r="M83" s="575"/>
    </row>
    <row r="84" spans="3:13" ht="15">
      <c r="C84" s="574"/>
      <c r="D84" s="886" t="s">
        <v>599</v>
      </c>
      <c r="E84" s="887"/>
      <c r="F84" s="887"/>
      <c r="G84" s="888"/>
      <c r="I84" s="522"/>
      <c r="K84" s="522"/>
      <c r="M84" s="575"/>
    </row>
    <row r="85" spans="3:13" ht="15">
      <c r="C85" s="574"/>
      <c r="D85" s="529">
        <v>1</v>
      </c>
      <c r="E85" s="581">
        <v>97.6</v>
      </c>
      <c r="F85" s="581">
        <v>97.974999999999994</v>
      </c>
      <c r="G85" s="560"/>
      <c r="I85" s="522"/>
      <c r="K85" s="522"/>
      <c r="M85" s="575"/>
    </row>
    <row r="86" spans="3:13" ht="15">
      <c r="C86" s="574"/>
      <c r="D86" s="582"/>
      <c r="E86" s="581">
        <f>SUM(E85:E85)</f>
        <v>97.6</v>
      </c>
      <c r="F86" s="581">
        <f>SUM(F85:F85)</f>
        <v>97.974999999999994</v>
      </c>
      <c r="G86" s="560"/>
      <c r="I86" s="522"/>
      <c r="K86" s="522"/>
      <c r="M86" s="575"/>
    </row>
    <row r="87" spans="3:13" ht="15">
      <c r="C87" s="574"/>
      <c r="D87" s="562" t="s">
        <v>131</v>
      </c>
      <c r="E87" s="563">
        <f>+E86/1</f>
        <v>97.6</v>
      </c>
      <c r="F87" s="563">
        <f>+F86/1</f>
        <v>97.974999999999994</v>
      </c>
      <c r="G87" s="564"/>
      <c r="I87" s="522"/>
      <c r="K87" s="522"/>
      <c r="M87" s="575"/>
    </row>
    <row r="88" spans="3:13" ht="15.75" thickBot="1">
      <c r="C88" s="574"/>
      <c r="D88" s="565" t="s">
        <v>132</v>
      </c>
      <c r="E88" s="566"/>
      <c r="F88" s="566">
        <f>F87-E87</f>
        <v>0.375</v>
      </c>
      <c r="G88" s="567" t="s">
        <v>24</v>
      </c>
      <c r="I88" s="522"/>
      <c r="K88" s="522"/>
      <c r="M88" s="575"/>
    </row>
    <row r="89" spans="3:13">
      <c r="C89" s="574"/>
      <c r="D89" s="522"/>
      <c r="E89" s="522"/>
      <c r="F89" s="576"/>
      <c r="G89" s="576"/>
      <c r="I89" s="522"/>
      <c r="K89" s="522"/>
      <c r="M89" s="575"/>
    </row>
    <row r="90" spans="3:13" ht="15" thickBot="1">
      <c r="C90" s="577"/>
      <c r="D90" s="578"/>
      <c r="E90" s="578"/>
      <c r="F90" s="579"/>
      <c r="G90" s="579"/>
      <c r="H90" s="578"/>
      <c r="I90" s="578"/>
      <c r="J90" s="578"/>
      <c r="K90" s="578"/>
      <c r="L90" s="578"/>
      <c r="M90" s="580"/>
    </row>
    <row r="91" spans="3:13">
      <c r="C91" s="574"/>
      <c r="D91" s="522"/>
      <c r="E91" s="522"/>
      <c r="F91" s="576"/>
      <c r="G91" s="576"/>
      <c r="I91" s="522"/>
      <c r="K91" s="522"/>
      <c r="M91" s="575"/>
    </row>
    <row r="92" spans="3:13">
      <c r="C92" s="574"/>
      <c r="D92" s="522"/>
      <c r="E92" s="522"/>
      <c r="F92" s="576"/>
      <c r="G92" s="576"/>
      <c r="I92" s="522"/>
      <c r="K92" s="522"/>
      <c r="M92" s="575"/>
    </row>
    <row r="93" spans="3:13">
      <c r="C93" s="574"/>
      <c r="D93" s="522"/>
      <c r="E93" s="522"/>
      <c r="F93" s="576"/>
      <c r="G93" s="576"/>
      <c r="I93" s="522"/>
      <c r="K93" s="522"/>
      <c r="M93" s="575"/>
    </row>
    <row r="94" spans="3:13">
      <c r="C94" s="574"/>
      <c r="D94" s="522"/>
      <c r="E94" s="522"/>
      <c r="F94" s="576"/>
      <c r="G94" s="576"/>
      <c r="I94" s="522"/>
      <c r="K94" s="522"/>
      <c r="M94" s="575"/>
    </row>
    <row r="95" spans="3:13">
      <c r="C95" s="574"/>
      <c r="D95" s="522"/>
      <c r="E95" s="522"/>
      <c r="F95" s="576"/>
      <c r="G95" s="576"/>
      <c r="I95" s="522"/>
      <c r="K95" s="522"/>
      <c r="M95" s="575"/>
    </row>
    <row r="96" spans="3:13">
      <c r="C96" s="574"/>
      <c r="D96" s="522"/>
      <c r="E96" s="522"/>
      <c r="F96" s="576"/>
      <c r="G96" s="576"/>
      <c r="I96" s="522"/>
      <c r="K96" s="522"/>
      <c r="M96" s="575"/>
    </row>
    <row r="97" spans="3:13">
      <c r="C97" s="574"/>
      <c r="D97" s="522"/>
      <c r="E97" s="522"/>
      <c r="F97" s="576"/>
      <c r="G97" s="576"/>
      <c r="I97" s="522"/>
      <c r="K97" s="522"/>
      <c r="M97" s="575"/>
    </row>
    <row r="98" spans="3:13">
      <c r="C98" s="574"/>
      <c r="D98" s="522"/>
      <c r="E98" s="522"/>
      <c r="F98" s="576"/>
      <c r="G98" s="576"/>
      <c r="I98" s="522"/>
      <c r="K98" s="522"/>
      <c r="M98" s="575"/>
    </row>
    <row r="99" spans="3:13">
      <c r="C99" s="574"/>
      <c r="D99" s="522"/>
      <c r="E99" s="522"/>
      <c r="F99" s="576"/>
      <c r="G99" s="576"/>
      <c r="I99" s="522"/>
      <c r="K99" s="522"/>
      <c r="M99" s="575"/>
    </row>
    <row r="100" spans="3:13">
      <c r="C100" s="574"/>
      <c r="D100" s="522"/>
      <c r="E100" s="522"/>
      <c r="F100" s="576"/>
      <c r="G100" s="576"/>
      <c r="I100" s="522"/>
      <c r="K100" s="522"/>
      <c r="M100" s="575"/>
    </row>
    <row r="101" spans="3:13">
      <c r="C101" s="574"/>
      <c r="D101" s="522"/>
      <c r="E101" s="522"/>
      <c r="F101" s="576"/>
      <c r="G101" s="576"/>
      <c r="I101" s="522"/>
      <c r="K101" s="522"/>
      <c r="M101" s="575"/>
    </row>
    <row r="102" spans="3:13">
      <c r="C102" s="574"/>
      <c r="D102" s="522"/>
      <c r="E102" s="522"/>
      <c r="F102" s="576"/>
      <c r="G102" s="576"/>
      <c r="I102" s="522"/>
      <c r="K102" s="522"/>
      <c r="M102" s="575"/>
    </row>
    <row r="103" spans="3:13">
      <c r="C103" s="574"/>
      <c r="D103" s="522"/>
      <c r="E103" s="522"/>
      <c r="F103" s="576"/>
      <c r="G103" s="576"/>
      <c r="I103" s="522"/>
      <c r="K103" s="522"/>
      <c r="M103" s="575"/>
    </row>
    <row r="104" spans="3:13">
      <c r="C104" s="574"/>
      <c r="D104" s="522"/>
      <c r="E104" s="522"/>
      <c r="F104" s="576"/>
      <c r="G104" s="576"/>
      <c r="I104" s="522"/>
      <c r="K104" s="522"/>
      <c r="M104" s="575"/>
    </row>
    <row r="105" spans="3:13">
      <c r="C105" s="574"/>
      <c r="D105" s="522"/>
      <c r="E105" s="522"/>
      <c r="F105" s="576"/>
      <c r="G105" s="576"/>
      <c r="I105" s="522"/>
      <c r="K105" s="522"/>
      <c r="M105" s="575"/>
    </row>
    <row r="106" spans="3:13">
      <c r="C106" s="574"/>
      <c r="D106" s="522"/>
      <c r="E106" s="522"/>
      <c r="F106" s="576"/>
      <c r="G106" s="576"/>
      <c r="I106" s="522"/>
      <c r="K106" s="522"/>
      <c r="M106" s="575"/>
    </row>
    <row r="107" spans="3:13">
      <c r="C107" s="574"/>
      <c r="D107" s="522"/>
      <c r="E107" s="522"/>
      <c r="I107" s="522"/>
      <c r="K107" s="522"/>
      <c r="M107" s="575"/>
    </row>
    <row r="108" spans="3:13">
      <c r="C108" s="574"/>
      <c r="D108" s="522"/>
      <c r="E108" s="522"/>
      <c r="I108" s="522"/>
      <c r="K108" s="522"/>
      <c r="M108" s="575"/>
    </row>
    <row r="109" spans="3:13">
      <c r="C109" s="574"/>
      <c r="D109" s="522"/>
      <c r="E109" s="522"/>
      <c r="I109" s="522"/>
      <c r="K109" s="522"/>
      <c r="M109" s="575"/>
    </row>
    <row r="110" spans="3:13" ht="15" thickBot="1">
      <c r="C110" s="577"/>
      <c r="D110" s="583"/>
      <c r="E110" s="578"/>
      <c r="F110" s="579"/>
      <c r="G110" s="578"/>
      <c r="H110" s="578"/>
      <c r="I110" s="522"/>
      <c r="K110" s="522"/>
      <c r="M110" s="580"/>
    </row>
    <row r="111" spans="3:13">
      <c r="I111" s="522"/>
      <c r="K111" s="522"/>
    </row>
    <row r="112" spans="3:13">
      <c r="I112" s="522"/>
      <c r="K112" s="522"/>
    </row>
    <row r="113" spans="9:12">
      <c r="I113" s="522"/>
      <c r="K113" s="522"/>
    </row>
    <row r="114" spans="9:12">
      <c r="I114" s="522"/>
      <c r="K114" s="522"/>
    </row>
    <row r="115" spans="9:12">
      <c r="I115" s="522"/>
      <c r="K115" s="522"/>
    </row>
    <row r="116" spans="9:12" ht="15" thickBot="1">
      <c r="I116" s="578"/>
      <c r="J116" s="578"/>
      <c r="K116" s="578"/>
      <c r="L116" s="578"/>
    </row>
  </sheetData>
  <mergeCells count="21">
    <mergeCell ref="C3:F3"/>
    <mergeCell ref="I3:L3"/>
    <mergeCell ref="E30:F30"/>
    <mergeCell ref="J30:K30"/>
    <mergeCell ref="D31:G31"/>
    <mergeCell ref="I31:L31"/>
    <mergeCell ref="C6:F6"/>
    <mergeCell ref="I51:L51"/>
    <mergeCell ref="I34:L34"/>
    <mergeCell ref="D34:G34"/>
    <mergeCell ref="D51:G51"/>
    <mergeCell ref="E47:F47"/>
    <mergeCell ref="J47:K47"/>
    <mergeCell ref="D48:G48"/>
    <mergeCell ref="I48:L48"/>
    <mergeCell ref="D81:G81"/>
    <mergeCell ref="D84:G84"/>
    <mergeCell ref="D69:G69"/>
    <mergeCell ref="D72:G72"/>
    <mergeCell ref="I69:L69"/>
    <mergeCell ref="I72:L72"/>
  </mergeCells>
  <printOptions horizontalCentered="1"/>
  <pageMargins left="0" right="0.51181102362204722" top="0.55118110236220474" bottom="0.15748031496062992" header="0" footer="0"/>
  <pageSetup paperSize="9" scale="85" fitToHeight="3" orientation="landscape" r:id="rId1"/>
  <headerFooter>
    <oddFooter>Page &amp;P of &amp;N</oddFooter>
  </headerFooter>
  <rowBreaks count="1" manualBreakCount="1">
    <brk id="64"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C2:M119"/>
  <sheetViews>
    <sheetView view="pageBreakPreview" topLeftCell="A89" zoomScaleSheetLayoutView="100" workbookViewId="0">
      <selection activeCell="I105" sqref="I105"/>
    </sheetView>
  </sheetViews>
  <sheetFormatPr defaultColWidth="9.140625" defaultRowHeight="14.25"/>
  <cols>
    <col min="1" max="2" width="9.140625" style="47"/>
    <col min="3" max="3" width="9" style="47" bestFit="1" customWidth="1"/>
    <col min="4" max="4" width="13.140625" style="48" bestFit="1" customWidth="1"/>
    <col min="5" max="5" width="11.85546875" style="56" bestFit="1" customWidth="1"/>
    <col min="6" max="6" width="37.28515625" style="47" bestFit="1" customWidth="1"/>
    <col min="7" max="7" width="8.28515625" style="47" bestFit="1" customWidth="1"/>
    <col min="8" max="8" width="10.5703125" style="50" bestFit="1" customWidth="1"/>
    <col min="9" max="9" width="11.5703125" style="26" bestFit="1" customWidth="1"/>
    <col min="10" max="10" width="16.28515625" style="51" bestFit="1" customWidth="1"/>
    <col min="11" max="11" width="15.5703125" style="26" bestFit="1" customWidth="1"/>
    <col min="12" max="12" width="9.28515625" style="47" bestFit="1" customWidth="1"/>
    <col min="13" max="13" width="5.140625" style="47" bestFit="1" customWidth="1"/>
    <col min="14" max="14" width="11.28515625" style="47" bestFit="1" customWidth="1"/>
    <col min="15" max="16384" width="9.140625" style="47"/>
  </cols>
  <sheetData>
    <row r="2" spans="3:11" ht="15" thickBot="1"/>
    <row r="3" spans="3:11" s="44" customFormat="1" ht="20.25">
      <c r="C3" s="878" t="s">
        <v>65</v>
      </c>
      <c r="D3" s="879"/>
      <c r="E3" s="879"/>
      <c r="F3" s="879"/>
      <c r="G3" s="879"/>
      <c r="H3" s="879"/>
      <c r="I3" s="879"/>
      <c r="J3" s="879"/>
      <c r="K3" s="880"/>
    </row>
    <row r="4" spans="3:11" s="44" customFormat="1" ht="15.75">
      <c r="C4" s="45"/>
      <c r="D4" s="171"/>
      <c r="E4" s="172"/>
      <c r="F4" s="46"/>
      <c r="G4" s="46"/>
      <c r="H4" s="49"/>
      <c r="I4" s="173"/>
      <c r="J4" s="174"/>
      <c r="K4" s="195"/>
    </row>
    <row r="5" spans="3:11" s="44" customFormat="1" ht="47.25">
      <c r="C5" s="196" t="s">
        <v>66</v>
      </c>
      <c r="D5" s="175" t="s">
        <v>67</v>
      </c>
      <c r="E5" s="176" t="s">
        <v>68</v>
      </c>
      <c r="F5" s="177" t="s">
        <v>10</v>
      </c>
      <c r="G5" s="177" t="s">
        <v>0</v>
      </c>
      <c r="H5" s="881" t="s">
        <v>1</v>
      </c>
      <c r="I5" s="881"/>
      <c r="J5" s="881" t="s">
        <v>2</v>
      </c>
      <c r="K5" s="882"/>
    </row>
    <row r="6" spans="3:11" s="26" customFormat="1" ht="15.75">
      <c r="C6" s="36"/>
      <c r="D6" s="35"/>
      <c r="E6" s="178"/>
      <c r="F6" s="179" t="s">
        <v>62</v>
      </c>
      <c r="G6" s="37"/>
      <c r="H6" s="35"/>
      <c r="I6" s="37"/>
      <c r="J6" s="34"/>
      <c r="K6" s="38"/>
    </row>
    <row r="7" spans="3:11" s="26" customFormat="1">
      <c r="C7" s="36">
        <v>1</v>
      </c>
      <c r="D7" s="180" t="s">
        <v>69</v>
      </c>
      <c r="E7" s="178">
        <v>45646</v>
      </c>
      <c r="F7" s="37" t="s">
        <v>70</v>
      </c>
      <c r="G7" s="37" t="s">
        <v>34</v>
      </c>
      <c r="H7" s="35">
        <v>360</v>
      </c>
      <c r="I7" s="37"/>
      <c r="J7" s="181" t="s">
        <v>92</v>
      </c>
      <c r="K7" s="38" t="s">
        <v>88</v>
      </c>
    </row>
    <row r="8" spans="3:11" s="26" customFormat="1">
      <c r="C8" s="36">
        <v>2</v>
      </c>
      <c r="D8" s="180" t="s">
        <v>69</v>
      </c>
      <c r="E8" s="178">
        <v>45646</v>
      </c>
      <c r="F8" s="37" t="s">
        <v>70</v>
      </c>
      <c r="G8" s="37" t="s">
        <v>34</v>
      </c>
      <c r="H8" s="35">
        <v>252</v>
      </c>
      <c r="I8" s="37"/>
      <c r="J8" s="181" t="s">
        <v>96</v>
      </c>
      <c r="K8" s="38" t="s">
        <v>88</v>
      </c>
    </row>
    <row r="9" spans="3:11" s="26" customFormat="1">
      <c r="C9" s="197">
        <v>3</v>
      </c>
      <c r="D9" s="180" t="s">
        <v>71</v>
      </c>
      <c r="E9" s="182">
        <v>45647</v>
      </c>
      <c r="F9" s="37" t="s">
        <v>70</v>
      </c>
      <c r="G9" s="37" t="s">
        <v>34</v>
      </c>
      <c r="H9" s="35">
        <v>52</v>
      </c>
      <c r="I9" s="37"/>
      <c r="J9" s="181" t="s">
        <v>94</v>
      </c>
      <c r="K9" s="38" t="s">
        <v>88</v>
      </c>
    </row>
    <row r="10" spans="3:11" s="26" customFormat="1">
      <c r="C10" s="197">
        <v>4</v>
      </c>
      <c r="D10" s="180" t="s">
        <v>71</v>
      </c>
      <c r="E10" s="182">
        <v>45647</v>
      </c>
      <c r="F10" s="37" t="s">
        <v>70</v>
      </c>
      <c r="G10" s="37" t="s">
        <v>34</v>
      </c>
      <c r="H10" s="35">
        <v>156</v>
      </c>
      <c r="I10" s="37"/>
      <c r="J10" s="181" t="s">
        <v>95</v>
      </c>
      <c r="K10" s="38" t="s">
        <v>88</v>
      </c>
    </row>
    <row r="11" spans="3:11" s="26" customFormat="1">
      <c r="C11" s="197">
        <v>5</v>
      </c>
      <c r="D11" s="180" t="s">
        <v>71</v>
      </c>
      <c r="E11" s="182">
        <v>45647</v>
      </c>
      <c r="F11" s="37" t="s">
        <v>70</v>
      </c>
      <c r="G11" s="37" t="s">
        <v>34</v>
      </c>
      <c r="H11" s="35">
        <v>360</v>
      </c>
      <c r="I11" s="37"/>
      <c r="J11" s="181" t="s">
        <v>92</v>
      </c>
      <c r="K11" s="38" t="s">
        <v>88</v>
      </c>
    </row>
    <row r="12" spans="3:11" s="26" customFormat="1" ht="15">
      <c r="C12" s="197">
        <v>5</v>
      </c>
      <c r="D12" s="180" t="s">
        <v>225</v>
      </c>
      <c r="E12" s="182">
        <v>45709</v>
      </c>
      <c r="F12" s="37" t="s">
        <v>70</v>
      </c>
      <c r="G12" s="37" t="s">
        <v>34</v>
      </c>
      <c r="H12" s="35">
        <v>67</v>
      </c>
      <c r="I12" s="183">
        <f>SUM(H7:H12)</f>
        <v>1247</v>
      </c>
      <c r="J12" s="181" t="s">
        <v>226</v>
      </c>
      <c r="K12" s="38" t="s">
        <v>88</v>
      </c>
    </row>
    <row r="13" spans="3:11" s="26" customFormat="1" ht="15">
      <c r="C13" s="197"/>
      <c r="D13" s="180"/>
      <c r="E13" s="182"/>
      <c r="F13" s="37"/>
      <c r="G13" s="37"/>
      <c r="H13" s="35"/>
      <c r="I13" s="184"/>
      <c r="J13" s="181"/>
      <c r="K13" s="38"/>
    </row>
    <row r="14" spans="3:11" s="26" customFormat="1">
      <c r="C14" s="36"/>
      <c r="D14" s="180"/>
      <c r="E14" s="178"/>
      <c r="F14" s="37"/>
      <c r="G14" s="37"/>
      <c r="H14" s="35"/>
      <c r="I14" s="37"/>
      <c r="J14" s="34"/>
      <c r="K14" s="38"/>
    </row>
    <row r="15" spans="3:11" s="26" customFormat="1">
      <c r="C15" s="197">
        <v>1</v>
      </c>
      <c r="D15" s="185" t="s">
        <v>243</v>
      </c>
      <c r="E15" s="185">
        <v>45681</v>
      </c>
      <c r="F15" s="37" t="s">
        <v>76</v>
      </c>
      <c r="G15" s="37" t="s">
        <v>34</v>
      </c>
      <c r="H15" s="35">
        <v>334</v>
      </c>
      <c r="I15" s="37"/>
      <c r="J15" s="181" t="s">
        <v>98</v>
      </c>
      <c r="K15" s="38" t="s">
        <v>84</v>
      </c>
    </row>
    <row r="16" spans="3:11" s="26" customFormat="1" ht="15">
      <c r="C16" s="197">
        <v>2</v>
      </c>
      <c r="D16" s="180" t="s">
        <v>75</v>
      </c>
      <c r="E16" s="182">
        <v>45649</v>
      </c>
      <c r="F16" s="37" t="s">
        <v>76</v>
      </c>
      <c r="G16" s="37" t="s">
        <v>34</v>
      </c>
      <c r="H16" s="35">
        <v>335</v>
      </c>
      <c r="I16" s="184"/>
      <c r="J16" s="181" t="s">
        <v>91</v>
      </c>
      <c r="K16" s="38" t="s">
        <v>84</v>
      </c>
    </row>
    <row r="17" spans="3:11" s="26" customFormat="1" ht="15">
      <c r="C17" s="197">
        <v>3</v>
      </c>
      <c r="D17" s="180" t="s">
        <v>253</v>
      </c>
      <c r="E17" s="182">
        <v>45334</v>
      </c>
      <c r="F17" s="37" t="s">
        <v>76</v>
      </c>
      <c r="G17" s="37" t="s">
        <v>34</v>
      </c>
      <c r="H17" s="35">
        <v>608</v>
      </c>
      <c r="I17" s="184"/>
      <c r="J17" s="181" t="s">
        <v>254</v>
      </c>
      <c r="K17" s="38" t="s">
        <v>84</v>
      </c>
    </row>
    <row r="18" spans="3:11" s="26" customFormat="1" ht="15">
      <c r="C18" s="197">
        <v>4</v>
      </c>
      <c r="D18" s="180" t="s">
        <v>253</v>
      </c>
      <c r="E18" s="182">
        <v>45334</v>
      </c>
      <c r="F18" s="37" t="s">
        <v>76</v>
      </c>
      <c r="G18" s="37" t="s">
        <v>34</v>
      </c>
      <c r="H18" s="35">
        <v>528</v>
      </c>
      <c r="I18" s="184"/>
      <c r="J18" s="181" t="s">
        <v>255</v>
      </c>
      <c r="K18" s="38" t="s">
        <v>84</v>
      </c>
    </row>
    <row r="19" spans="3:11" s="26" customFormat="1" ht="15">
      <c r="C19" s="197">
        <v>5</v>
      </c>
      <c r="D19" s="180" t="s">
        <v>257</v>
      </c>
      <c r="E19" s="182">
        <v>45705</v>
      </c>
      <c r="F19" s="37" t="s">
        <v>76</v>
      </c>
      <c r="G19" s="37" t="s">
        <v>34</v>
      </c>
      <c r="H19" s="35">
        <v>576</v>
      </c>
      <c r="I19" s="184"/>
      <c r="J19" s="181" t="s">
        <v>259</v>
      </c>
      <c r="K19" s="38" t="s">
        <v>84</v>
      </c>
    </row>
    <row r="20" spans="3:11" s="26" customFormat="1" ht="15">
      <c r="C20" s="197">
        <v>6</v>
      </c>
      <c r="D20" s="180" t="s">
        <v>257</v>
      </c>
      <c r="E20" s="182">
        <v>45705</v>
      </c>
      <c r="F20" s="37" t="s">
        <v>76</v>
      </c>
      <c r="G20" s="37" t="s">
        <v>34</v>
      </c>
      <c r="H20" s="35">
        <v>512</v>
      </c>
      <c r="I20" s="183">
        <f>SUM(H15:H20)</f>
        <v>2893</v>
      </c>
      <c r="J20" s="181" t="s">
        <v>260</v>
      </c>
      <c r="K20" s="38" t="s">
        <v>84</v>
      </c>
    </row>
    <row r="21" spans="3:11" s="26" customFormat="1">
      <c r="C21" s="36"/>
      <c r="D21" s="180"/>
      <c r="E21" s="178"/>
      <c r="F21" s="37"/>
      <c r="G21" s="37"/>
      <c r="H21" s="35"/>
      <c r="I21" s="37"/>
      <c r="J21" s="34"/>
      <c r="K21" s="38"/>
    </row>
    <row r="22" spans="3:11" s="26" customFormat="1">
      <c r="C22" s="197">
        <v>1</v>
      </c>
      <c r="D22" s="180" t="s">
        <v>81</v>
      </c>
      <c r="E22" s="182">
        <v>45677</v>
      </c>
      <c r="F22" s="37" t="s">
        <v>82</v>
      </c>
      <c r="G22" s="37" t="s">
        <v>34</v>
      </c>
      <c r="H22" s="35">
        <v>348</v>
      </c>
      <c r="I22" s="37"/>
      <c r="J22" s="181" t="s">
        <v>89</v>
      </c>
      <c r="K22" s="38" t="s">
        <v>88</v>
      </c>
    </row>
    <row r="23" spans="3:11" s="26" customFormat="1">
      <c r="C23" s="36">
        <v>2</v>
      </c>
      <c r="D23" s="180" t="s">
        <v>81</v>
      </c>
      <c r="E23" s="182">
        <v>45677</v>
      </c>
      <c r="F23" s="37" t="s">
        <v>82</v>
      </c>
      <c r="G23" s="37" t="s">
        <v>34</v>
      </c>
      <c r="H23" s="35">
        <v>340</v>
      </c>
      <c r="I23" s="37"/>
      <c r="J23" s="181" t="s">
        <v>103</v>
      </c>
      <c r="K23" s="38" t="s">
        <v>88</v>
      </c>
    </row>
    <row r="24" spans="3:11" s="26" customFormat="1">
      <c r="C24" s="197">
        <v>3</v>
      </c>
      <c r="D24" s="180" t="s">
        <v>244</v>
      </c>
      <c r="E24" s="182">
        <v>45707</v>
      </c>
      <c r="F24" s="37" t="s">
        <v>82</v>
      </c>
      <c r="G24" s="37" t="s">
        <v>34</v>
      </c>
      <c r="H24" s="35">
        <v>48</v>
      </c>
      <c r="I24" s="37"/>
      <c r="J24" s="181"/>
      <c r="K24" s="38" t="s">
        <v>88</v>
      </c>
    </row>
    <row r="25" spans="3:11" s="26" customFormat="1">
      <c r="C25" s="36">
        <v>4</v>
      </c>
      <c r="D25" s="180" t="s">
        <v>247</v>
      </c>
      <c r="E25" s="182">
        <v>45706</v>
      </c>
      <c r="F25" s="37" t="s">
        <v>82</v>
      </c>
      <c r="G25" s="37" t="s">
        <v>34</v>
      </c>
      <c r="H25" s="35">
        <v>300</v>
      </c>
      <c r="I25" s="37"/>
      <c r="J25" s="181"/>
      <c r="K25" s="38"/>
    </row>
    <row r="26" spans="3:11" s="26" customFormat="1" ht="15">
      <c r="C26" s="197">
        <v>5</v>
      </c>
      <c r="D26" s="180" t="s">
        <v>224</v>
      </c>
      <c r="E26" s="182">
        <v>45709</v>
      </c>
      <c r="F26" s="37" t="s">
        <v>82</v>
      </c>
      <c r="G26" s="37" t="s">
        <v>34</v>
      </c>
      <c r="H26" s="35">
        <v>227</v>
      </c>
      <c r="I26" s="183">
        <f>SUM(H22:H26)</f>
        <v>1263</v>
      </c>
      <c r="J26" s="181" t="s">
        <v>226</v>
      </c>
      <c r="K26" s="38"/>
    </row>
    <row r="27" spans="3:11" s="26" customFormat="1" ht="15">
      <c r="C27" s="36"/>
      <c r="D27" s="180"/>
      <c r="E27" s="182"/>
      <c r="F27" s="37"/>
      <c r="G27" s="37"/>
      <c r="H27" s="35"/>
      <c r="I27" s="184"/>
      <c r="J27" s="181"/>
      <c r="K27" s="38"/>
    </row>
    <row r="28" spans="3:11" s="26" customFormat="1">
      <c r="C28" s="36"/>
      <c r="D28" s="180"/>
      <c r="E28" s="178"/>
      <c r="F28" s="37"/>
      <c r="G28" s="37"/>
      <c r="H28" s="35"/>
      <c r="I28" s="37"/>
      <c r="J28" s="34"/>
      <c r="K28" s="38"/>
    </row>
    <row r="29" spans="3:11" s="26" customFormat="1" ht="15">
      <c r="C29" s="36"/>
      <c r="D29" s="180"/>
      <c r="E29" s="178"/>
      <c r="F29" s="184" t="s">
        <v>99</v>
      </c>
      <c r="G29" s="37"/>
      <c r="H29" s="35"/>
      <c r="I29" s="37"/>
      <c r="J29" s="34"/>
      <c r="K29" s="38"/>
    </row>
    <row r="30" spans="3:11" s="26" customFormat="1">
      <c r="C30" s="36">
        <v>1</v>
      </c>
      <c r="D30" s="180" t="s">
        <v>81</v>
      </c>
      <c r="E30" s="182">
        <v>45677</v>
      </c>
      <c r="F30" s="37" t="s">
        <v>83</v>
      </c>
      <c r="G30" s="37" t="s">
        <v>34</v>
      </c>
      <c r="H30" s="35">
        <v>405</v>
      </c>
      <c r="I30" s="37"/>
      <c r="J30" s="181" t="s">
        <v>86</v>
      </c>
      <c r="K30" s="38"/>
    </row>
    <row r="31" spans="3:11" s="26" customFormat="1">
      <c r="C31" s="36">
        <v>2</v>
      </c>
      <c r="D31" s="180" t="s">
        <v>81</v>
      </c>
      <c r="E31" s="182">
        <v>45677</v>
      </c>
      <c r="F31" s="37" t="s">
        <v>83</v>
      </c>
      <c r="G31" s="37" t="s">
        <v>34</v>
      </c>
      <c r="H31" s="35">
        <v>275</v>
      </c>
      <c r="I31" s="37"/>
      <c r="J31" s="181" t="s">
        <v>87</v>
      </c>
      <c r="K31" s="38"/>
    </row>
    <row r="32" spans="3:11" s="26" customFormat="1">
      <c r="C32" s="36">
        <v>3</v>
      </c>
      <c r="D32" s="180" t="s">
        <v>75</v>
      </c>
      <c r="E32" s="182">
        <v>45654</v>
      </c>
      <c r="F32" s="37" t="s">
        <v>83</v>
      </c>
      <c r="G32" s="37" t="s">
        <v>34</v>
      </c>
      <c r="H32" s="35">
        <v>259</v>
      </c>
      <c r="I32" s="37"/>
      <c r="J32" s="181" t="s">
        <v>90</v>
      </c>
      <c r="K32" s="38"/>
    </row>
    <row r="33" spans="3:11" s="26" customFormat="1">
      <c r="C33" s="36">
        <v>4</v>
      </c>
      <c r="D33" s="180" t="s">
        <v>244</v>
      </c>
      <c r="E33" s="182">
        <v>45707</v>
      </c>
      <c r="F33" s="37" t="s">
        <v>83</v>
      </c>
      <c r="G33" s="37" t="s">
        <v>34</v>
      </c>
      <c r="H33" s="35">
        <v>320</v>
      </c>
      <c r="I33" s="37"/>
      <c r="J33" s="181"/>
      <c r="K33" s="38"/>
    </row>
    <row r="34" spans="3:11" s="26" customFormat="1">
      <c r="C34" s="36">
        <v>5</v>
      </c>
      <c r="D34" s="180" t="s">
        <v>244</v>
      </c>
      <c r="E34" s="182">
        <v>45707</v>
      </c>
      <c r="F34" s="37" t="s">
        <v>246</v>
      </c>
      <c r="G34" s="37" t="s">
        <v>34</v>
      </c>
      <c r="H34" s="35">
        <v>75</v>
      </c>
      <c r="I34" s="37"/>
      <c r="J34" s="181"/>
      <c r="K34" s="38"/>
    </row>
    <row r="35" spans="3:11" s="26" customFormat="1">
      <c r="C35" s="36">
        <v>6</v>
      </c>
      <c r="D35" s="180" t="s">
        <v>247</v>
      </c>
      <c r="E35" s="182">
        <v>45706</v>
      </c>
      <c r="F35" s="37" t="s">
        <v>246</v>
      </c>
      <c r="G35" s="37" t="s">
        <v>34</v>
      </c>
      <c r="H35" s="35">
        <v>216</v>
      </c>
      <c r="I35" s="37"/>
      <c r="J35" s="181" t="s">
        <v>248</v>
      </c>
      <c r="K35" s="38"/>
    </row>
    <row r="36" spans="3:11" s="26" customFormat="1">
      <c r="C36" s="36">
        <v>7</v>
      </c>
      <c r="D36" s="180" t="s">
        <v>247</v>
      </c>
      <c r="E36" s="182">
        <v>45706</v>
      </c>
      <c r="F36" s="37" t="s">
        <v>246</v>
      </c>
      <c r="G36" s="37" t="s">
        <v>34</v>
      </c>
      <c r="H36" s="35">
        <v>180</v>
      </c>
      <c r="I36" s="37"/>
      <c r="J36" s="181" t="s">
        <v>249</v>
      </c>
      <c r="K36" s="38"/>
    </row>
    <row r="37" spans="3:11" s="26" customFormat="1">
      <c r="C37" s="36">
        <v>8</v>
      </c>
      <c r="D37" s="180" t="s">
        <v>73</v>
      </c>
      <c r="E37" s="182">
        <v>45649</v>
      </c>
      <c r="F37" s="37" t="s">
        <v>83</v>
      </c>
      <c r="G37" s="37" t="s">
        <v>34</v>
      </c>
      <c r="H37" s="35">
        <v>441</v>
      </c>
      <c r="I37" s="37"/>
      <c r="J37" s="181" t="s">
        <v>97</v>
      </c>
      <c r="K37" s="38"/>
    </row>
    <row r="38" spans="3:11" s="26" customFormat="1" ht="15">
      <c r="C38" s="36">
        <v>9</v>
      </c>
      <c r="D38" s="186" t="s">
        <v>225</v>
      </c>
      <c r="E38" s="187">
        <v>45709</v>
      </c>
      <c r="F38" s="37" t="s">
        <v>83</v>
      </c>
      <c r="G38" s="37" t="s">
        <v>34</v>
      </c>
      <c r="H38" s="35">
        <v>42</v>
      </c>
      <c r="I38" s="184"/>
      <c r="J38" s="181" t="s">
        <v>226</v>
      </c>
      <c r="K38" s="38"/>
    </row>
    <row r="39" spans="3:11" s="26" customFormat="1" ht="15">
      <c r="C39" s="36">
        <v>10</v>
      </c>
      <c r="D39" s="180" t="s">
        <v>257</v>
      </c>
      <c r="E39" s="182">
        <v>45705</v>
      </c>
      <c r="F39" s="37" t="s">
        <v>246</v>
      </c>
      <c r="G39" s="37" t="s">
        <v>34</v>
      </c>
      <c r="H39" s="35">
        <v>216</v>
      </c>
      <c r="I39" s="184"/>
      <c r="J39" s="181"/>
      <c r="K39" s="38"/>
    </row>
    <row r="40" spans="3:11" s="26" customFormat="1" ht="15">
      <c r="C40" s="36">
        <v>11</v>
      </c>
      <c r="D40" s="180" t="s">
        <v>454</v>
      </c>
      <c r="E40" s="182">
        <v>45729</v>
      </c>
      <c r="F40" s="37" t="s">
        <v>246</v>
      </c>
      <c r="G40" s="37" t="s">
        <v>34</v>
      </c>
      <c r="H40" s="35">
        <v>189</v>
      </c>
      <c r="I40" s="184"/>
      <c r="J40" s="181"/>
      <c r="K40" s="38"/>
    </row>
    <row r="41" spans="3:11" s="26" customFormat="1" ht="15">
      <c r="C41" s="36">
        <v>12</v>
      </c>
      <c r="D41" s="180" t="s">
        <v>454</v>
      </c>
      <c r="E41" s="182">
        <v>45729</v>
      </c>
      <c r="F41" s="37" t="s">
        <v>246</v>
      </c>
      <c r="G41" s="37" t="s">
        <v>34</v>
      </c>
      <c r="H41" s="35">
        <v>172</v>
      </c>
      <c r="I41" s="183">
        <f>SUM(H30:H41)</f>
        <v>2790</v>
      </c>
      <c r="J41" s="181" t="s">
        <v>258</v>
      </c>
      <c r="K41" s="38"/>
    </row>
    <row r="42" spans="3:11" s="26" customFormat="1">
      <c r="C42" s="36"/>
      <c r="D42" s="180"/>
      <c r="E42" s="182"/>
      <c r="F42" s="37"/>
      <c r="G42" s="37"/>
      <c r="H42" s="35"/>
      <c r="I42" s="37"/>
      <c r="J42" s="181"/>
      <c r="K42" s="38"/>
    </row>
    <row r="43" spans="3:11" s="26" customFormat="1" ht="15">
      <c r="C43" s="36"/>
      <c r="D43" s="180"/>
      <c r="E43" s="182"/>
      <c r="F43" s="184" t="s">
        <v>116</v>
      </c>
      <c r="G43" s="37"/>
      <c r="H43" s="35"/>
      <c r="I43" s="37"/>
      <c r="J43" s="181"/>
      <c r="K43" s="38"/>
    </row>
    <row r="44" spans="3:11" s="26" customFormat="1" ht="28.5">
      <c r="C44" s="197">
        <v>1</v>
      </c>
      <c r="D44" s="180" t="s">
        <v>71</v>
      </c>
      <c r="E44" s="182">
        <v>45647</v>
      </c>
      <c r="F44" s="188" t="s">
        <v>74</v>
      </c>
      <c r="G44" s="35" t="s">
        <v>72</v>
      </c>
      <c r="H44" s="35">
        <v>1419</v>
      </c>
      <c r="I44" s="35"/>
      <c r="J44" s="181" t="s">
        <v>94</v>
      </c>
      <c r="K44" s="38"/>
    </row>
    <row r="45" spans="3:11" s="26" customFormat="1" ht="28.5">
      <c r="C45" s="198">
        <v>2</v>
      </c>
      <c r="D45" s="180" t="s">
        <v>75</v>
      </c>
      <c r="E45" s="182">
        <v>45654</v>
      </c>
      <c r="F45" s="188" t="s">
        <v>74</v>
      </c>
      <c r="G45" s="35" t="s">
        <v>72</v>
      </c>
      <c r="H45" s="35">
        <v>475</v>
      </c>
      <c r="I45" s="189"/>
      <c r="J45" s="181" t="s">
        <v>91</v>
      </c>
      <c r="K45" s="38"/>
    </row>
    <row r="46" spans="3:11" s="26" customFormat="1" ht="28.5">
      <c r="C46" s="197">
        <v>3</v>
      </c>
      <c r="D46" s="180" t="s">
        <v>239</v>
      </c>
      <c r="E46" s="182">
        <v>45709</v>
      </c>
      <c r="F46" s="188" t="s">
        <v>74</v>
      </c>
      <c r="G46" s="35" t="s">
        <v>72</v>
      </c>
      <c r="H46" s="34">
        <v>1677</v>
      </c>
      <c r="I46" s="189"/>
      <c r="J46" s="181" t="s">
        <v>242</v>
      </c>
      <c r="K46" s="38"/>
    </row>
    <row r="47" spans="3:11" s="26" customFormat="1" ht="28.5">
      <c r="C47" s="198">
        <v>4</v>
      </c>
      <c r="D47" s="180" t="s">
        <v>244</v>
      </c>
      <c r="E47" s="182">
        <v>45707</v>
      </c>
      <c r="F47" s="188" t="s">
        <v>74</v>
      </c>
      <c r="G47" s="35" t="s">
        <v>72</v>
      </c>
      <c r="H47" s="34">
        <v>1806</v>
      </c>
      <c r="I47" s="189"/>
      <c r="J47" s="181" t="s">
        <v>245</v>
      </c>
      <c r="K47" s="38"/>
    </row>
    <row r="48" spans="3:11" s="26" customFormat="1" ht="28.5">
      <c r="C48" s="198">
        <v>5</v>
      </c>
      <c r="D48" s="180" t="s">
        <v>486</v>
      </c>
      <c r="E48" s="182">
        <v>45790</v>
      </c>
      <c r="F48" s="188" t="s">
        <v>74</v>
      </c>
      <c r="G48" s="35" t="s">
        <v>72</v>
      </c>
      <c r="H48" s="34">
        <v>1817</v>
      </c>
      <c r="I48" s="189"/>
      <c r="J48" s="181"/>
      <c r="K48" s="38"/>
    </row>
    <row r="49" spans="3:11" s="26" customFormat="1" ht="28.5">
      <c r="C49" s="198">
        <v>6</v>
      </c>
      <c r="D49" s="180" t="s">
        <v>486</v>
      </c>
      <c r="E49" s="182">
        <v>45790</v>
      </c>
      <c r="F49" s="188" t="s">
        <v>74</v>
      </c>
      <c r="G49" s="35" t="s">
        <v>72</v>
      </c>
      <c r="H49" s="34">
        <v>1817</v>
      </c>
      <c r="I49" s="189"/>
      <c r="J49" s="181"/>
      <c r="K49" s="38"/>
    </row>
    <row r="50" spans="3:11" s="26" customFormat="1" ht="28.5">
      <c r="C50" s="198">
        <v>7</v>
      </c>
      <c r="D50" s="180"/>
      <c r="E50" s="182"/>
      <c r="F50" s="188" t="s">
        <v>74</v>
      </c>
      <c r="G50" s="35" t="s">
        <v>72</v>
      </c>
      <c r="H50" s="34">
        <v>2188.8000000000002</v>
      </c>
      <c r="I50" s="367">
        <f>SUM(H44:H50)</f>
        <v>11199.8</v>
      </c>
      <c r="J50" s="181"/>
      <c r="K50" s="38"/>
    </row>
    <row r="51" spans="3:11" s="26" customFormat="1" ht="15">
      <c r="C51" s="198"/>
      <c r="D51" s="180"/>
      <c r="E51" s="182"/>
      <c r="F51" s="188"/>
      <c r="G51" s="35"/>
      <c r="H51" s="34"/>
      <c r="I51" s="189"/>
      <c r="J51" s="181"/>
      <c r="K51" s="38"/>
    </row>
    <row r="52" spans="3:11" s="26" customFormat="1">
      <c r="C52" s="198"/>
      <c r="D52" s="180"/>
      <c r="E52" s="182"/>
      <c r="F52" s="188"/>
      <c r="G52" s="35"/>
      <c r="H52" s="35"/>
      <c r="I52" s="37"/>
      <c r="J52" s="181"/>
      <c r="K52" s="38"/>
    </row>
    <row r="53" spans="3:11" s="26" customFormat="1" ht="28.5">
      <c r="C53" s="198">
        <v>1</v>
      </c>
      <c r="D53" s="180" t="s">
        <v>243</v>
      </c>
      <c r="E53" s="182">
        <v>45681</v>
      </c>
      <c r="F53" s="188" t="s">
        <v>85</v>
      </c>
      <c r="G53" s="35" t="s">
        <v>72</v>
      </c>
      <c r="H53" s="34">
        <v>413.33</v>
      </c>
      <c r="I53" s="37"/>
      <c r="J53" s="181" t="s">
        <v>98</v>
      </c>
      <c r="K53" s="38"/>
    </row>
    <row r="54" spans="3:11" s="26" customFormat="1" ht="28.5">
      <c r="C54" s="198">
        <v>2</v>
      </c>
      <c r="D54" s="180" t="s">
        <v>243</v>
      </c>
      <c r="E54" s="182">
        <v>45681</v>
      </c>
      <c r="F54" s="188" t="s">
        <v>85</v>
      </c>
      <c r="G54" s="35" t="s">
        <v>72</v>
      </c>
      <c r="H54" s="34">
        <v>1567.24</v>
      </c>
      <c r="I54" s="37"/>
      <c r="J54" s="181" t="s">
        <v>104</v>
      </c>
      <c r="K54" s="38"/>
    </row>
    <row r="55" spans="3:11" s="26" customFormat="1" ht="28.5">
      <c r="C55" s="198">
        <v>3</v>
      </c>
      <c r="D55" s="180" t="s">
        <v>73</v>
      </c>
      <c r="E55" s="182">
        <v>45649</v>
      </c>
      <c r="F55" s="188" t="s">
        <v>85</v>
      </c>
      <c r="G55" s="35" t="s">
        <v>72</v>
      </c>
      <c r="H55" s="34">
        <v>1981</v>
      </c>
      <c r="I55" s="189"/>
      <c r="J55" s="181" t="s">
        <v>93</v>
      </c>
      <c r="K55" s="38"/>
    </row>
    <row r="56" spans="3:11" s="26" customFormat="1" ht="28.5">
      <c r="C56" s="198">
        <v>4</v>
      </c>
      <c r="D56" s="180" t="s">
        <v>239</v>
      </c>
      <c r="E56" s="182">
        <v>45709</v>
      </c>
      <c r="F56" s="188" t="s">
        <v>240</v>
      </c>
      <c r="G56" s="35" t="s">
        <v>72</v>
      </c>
      <c r="H56" s="34">
        <v>516</v>
      </c>
      <c r="I56" s="189"/>
      <c r="J56" s="181"/>
      <c r="K56" s="38"/>
    </row>
    <row r="57" spans="3:11" s="26" customFormat="1" ht="28.5">
      <c r="C57" s="198">
        <v>5</v>
      </c>
      <c r="D57" s="180" t="s">
        <v>454</v>
      </c>
      <c r="E57" s="182">
        <v>45729</v>
      </c>
      <c r="F57" s="188" t="s">
        <v>240</v>
      </c>
      <c r="G57" s="35" t="s">
        <v>72</v>
      </c>
      <c r="H57" s="34">
        <v>850</v>
      </c>
      <c r="I57" s="189"/>
      <c r="J57" s="181" t="s">
        <v>241</v>
      </c>
      <c r="K57" s="38"/>
    </row>
    <row r="58" spans="3:11" s="26" customFormat="1" ht="28.5">
      <c r="C58" s="198">
        <v>6</v>
      </c>
      <c r="D58" s="180" t="s">
        <v>487</v>
      </c>
      <c r="E58" s="182">
        <v>45719</v>
      </c>
      <c r="F58" s="188" t="s">
        <v>240</v>
      </c>
      <c r="G58" s="35" t="s">
        <v>72</v>
      </c>
      <c r="H58" s="34">
        <v>1858</v>
      </c>
      <c r="I58" s="189"/>
      <c r="J58" s="181" t="s">
        <v>488</v>
      </c>
      <c r="K58" s="38"/>
    </row>
    <row r="59" spans="3:11" s="26" customFormat="1" ht="28.5">
      <c r="C59" s="198">
        <v>7</v>
      </c>
      <c r="D59" s="180" t="s">
        <v>487</v>
      </c>
      <c r="E59" s="182">
        <v>45719</v>
      </c>
      <c r="F59" s="188" t="s">
        <v>240</v>
      </c>
      <c r="G59" s="35" t="s">
        <v>72</v>
      </c>
      <c r="H59" s="34">
        <v>1445</v>
      </c>
      <c r="I59" s="189"/>
      <c r="J59" s="181" t="s">
        <v>489</v>
      </c>
      <c r="K59" s="38"/>
    </row>
    <row r="60" spans="3:11" s="26" customFormat="1" ht="28.5">
      <c r="C60" s="198">
        <v>8</v>
      </c>
      <c r="D60" s="180" t="s">
        <v>490</v>
      </c>
      <c r="E60" s="182">
        <v>45719</v>
      </c>
      <c r="F60" s="188" t="s">
        <v>240</v>
      </c>
      <c r="G60" s="35" t="s">
        <v>72</v>
      </c>
      <c r="H60" s="34">
        <v>826</v>
      </c>
      <c r="I60" s="367">
        <f>SUM(H53:H60)</f>
        <v>9456.57</v>
      </c>
      <c r="J60" s="181" t="s">
        <v>489</v>
      </c>
      <c r="K60" s="38"/>
    </row>
    <row r="61" spans="3:11" s="26" customFormat="1">
      <c r="C61" s="36"/>
      <c r="D61" s="35"/>
      <c r="E61" s="178"/>
      <c r="F61" s="37"/>
      <c r="G61" s="37"/>
      <c r="H61" s="35"/>
      <c r="I61" s="37"/>
      <c r="J61" s="34"/>
      <c r="K61" s="38"/>
    </row>
    <row r="62" spans="3:11" s="26" customFormat="1" ht="15">
      <c r="C62" s="36"/>
      <c r="D62" s="35"/>
      <c r="E62" s="178"/>
      <c r="F62" s="184" t="s">
        <v>100</v>
      </c>
      <c r="G62" s="37"/>
      <c r="H62" s="35"/>
      <c r="I62" s="37"/>
      <c r="J62" s="34"/>
      <c r="K62" s="38"/>
    </row>
    <row r="63" spans="3:11" s="26" customFormat="1" ht="28.5">
      <c r="C63" s="198">
        <v>1</v>
      </c>
      <c r="D63" s="180" t="s">
        <v>77</v>
      </c>
      <c r="E63" s="182">
        <v>45664</v>
      </c>
      <c r="F63" s="188" t="s">
        <v>78</v>
      </c>
      <c r="G63" s="35" t="s">
        <v>72</v>
      </c>
      <c r="H63" s="35">
        <v>287.81</v>
      </c>
      <c r="I63" s="367">
        <f>SUM(H63)</f>
        <v>287.81</v>
      </c>
      <c r="J63" s="34"/>
      <c r="K63" s="38"/>
    </row>
    <row r="64" spans="3:11" s="26" customFormat="1" ht="28.5">
      <c r="C64" s="198">
        <v>2</v>
      </c>
      <c r="D64" s="180" t="s">
        <v>77</v>
      </c>
      <c r="E64" s="182">
        <v>45664</v>
      </c>
      <c r="F64" s="188" t="s">
        <v>80</v>
      </c>
      <c r="G64" s="35" t="s">
        <v>72</v>
      </c>
      <c r="H64" s="35">
        <v>57.81</v>
      </c>
      <c r="I64" s="367">
        <f>SUM(H64)</f>
        <v>57.81</v>
      </c>
      <c r="J64" s="34"/>
      <c r="K64" s="38"/>
    </row>
    <row r="65" spans="3:13" s="26" customFormat="1" ht="28.5">
      <c r="C65" s="198">
        <v>3</v>
      </c>
      <c r="D65" s="180" t="s">
        <v>77</v>
      </c>
      <c r="E65" s="182">
        <v>45664</v>
      </c>
      <c r="F65" s="188" t="s">
        <v>79</v>
      </c>
      <c r="G65" s="35" t="s">
        <v>72</v>
      </c>
      <c r="H65" s="35">
        <v>503.03</v>
      </c>
      <c r="I65" s="367">
        <f>SUM(H65)</f>
        <v>503.03</v>
      </c>
      <c r="J65" s="34"/>
      <c r="K65" s="38"/>
    </row>
    <row r="66" spans="3:13" s="26" customFormat="1" ht="15">
      <c r="C66" s="198"/>
      <c r="D66" s="180"/>
      <c r="E66" s="182"/>
      <c r="F66" s="190" t="s">
        <v>115</v>
      </c>
      <c r="G66" s="35"/>
      <c r="H66" s="35"/>
      <c r="I66" s="35"/>
      <c r="J66" s="34"/>
      <c r="K66" s="38"/>
    </row>
    <row r="67" spans="3:13" s="26" customFormat="1">
      <c r="C67" s="198">
        <v>1</v>
      </c>
      <c r="D67" s="180" t="s">
        <v>117</v>
      </c>
      <c r="E67" s="182">
        <v>45696</v>
      </c>
      <c r="F67" s="188" t="s">
        <v>118</v>
      </c>
      <c r="G67" s="35" t="s">
        <v>28</v>
      </c>
      <c r="H67" s="35">
        <v>7</v>
      </c>
      <c r="I67" s="35"/>
      <c r="J67" s="837" t="s">
        <v>256</v>
      </c>
      <c r="K67" s="38"/>
    </row>
    <row r="68" spans="3:13" s="26" customFormat="1">
      <c r="C68" s="198">
        <v>2</v>
      </c>
      <c r="D68" s="180" t="s">
        <v>119</v>
      </c>
      <c r="E68" s="182">
        <v>45697</v>
      </c>
      <c r="F68" s="188" t="s">
        <v>118</v>
      </c>
      <c r="G68" s="35" t="s">
        <v>28</v>
      </c>
      <c r="H68" s="35">
        <v>8</v>
      </c>
      <c r="I68" s="35"/>
      <c r="J68" s="837"/>
      <c r="K68" s="38"/>
    </row>
    <row r="69" spans="3:13">
      <c r="C69" s="198">
        <v>3</v>
      </c>
      <c r="D69" s="191" t="s">
        <v>120</v>
      </c>
      <c r="E69" s="192">
        <v>45696</v>
      </c>
      <c r="F69" s="193" t="s">
        <v>118</v>
      </c>
      <c r="G69" s="194" t="s">
        <v>28</v>
      </c>
      <c r="H69" s="35">
        <v>8</v>
      </c>
      <c r="I69" s="35"/>
      <c r="J69" s="837"/>
      <c r="K69" s="38"/>
      <c r="M69" s="26"/>
    </row>
    <row r="70" spans="3:13">
      <c r="C70" s="198">
        <v>4</v>
      </c>
      <c r="D70" s="191" t="s">
        <v>121</v>
      </c>
      <c r="E70" s="192">
        <v>45700</v>
      </c>
      <c r="F70" s="193" t="s">
        <v>118</v>
      </c>
      <c r="G70" s="194" t="s">
        <v>28</v>
      </c>
      <c r="H70" s="35">
        <v>7</v>
      </c>
      <c r="I70" s="35"/>
      <c r="J70" s="837"/>
      <c r="K70" s="38"/>
      <c r="M70" s="26"/>
    </row>
    <row r="71" spans="3:13">
      <c r="C71" s="198">
        <v>5</v>
      </c>
      <c r="D71" s="191" t="s">
        <v>122</v>
      </c>
      <c r="E71" s="192">
        <v>45700</v>
      </c>
      <c r="F71" s="193" t="s">
        <v>118</v>
      </c>
      <c r="G71" s="194" t="s">
        <v>28</v>
      </c>
      <c r="H71" s="35">
        <v>5</v>
      </c>
      <c r="I71" s="35"/>
      <c r="J71" s="837"/>
      <c r="K71" s="38"/>
      <c r="M71" s="26"/>
    </row>
    <row r="72" spans="3:13">
      <c r="C72" s="198">
        <v>6</v>
      </c>
      <c r="D72" s="191" t="s">
        <v>123</v>
      </c>
      <c r="E72" s="192">
        <v>45700</v>
      </c>
      <c r="F72" s="193" t="s">
        <v>118</v>
      </c>
      <c r="G72" s="194" t="s">
        <v>28</v>
      </c>
      <c r="H72" s="35">
        <v>8</v>
      </c>
      <c r="I72" s="35"/>
      <c r="J72" s="837"/>
      <c r="K72" s="38"/>
      <c r="M72" s="26"/>
    </row>
    <row r="73" spans="3:13">
      <c r="C73" s="198">
        <v>7</v>
      </c>
      <c r="D73" s="191" t="s">
        <v>455</v>
      </c>
      <c r="E73" s="192">
        <v>45712</v>
      </c>
      <c r="F73" s="193" t="s">
        <v>118</v>
      </c>
      <c r="G73" s="194" t="s">
        <v>28</v>
      </c>
      <c r="H73" s="35">
        <v>6</v>
      </c>
      <c r="I73" s="35"/>
      <c r="J73" s="455"/>
      <c r="K73" s="38"/>
      <c r="M73" s="26"/>
    </row>
    <row r="74" spans="3:13">
      <c r="C74" s="198">
        <v>8</v>
      </c>
      <c r="D74" s="191" t="s">
        <v>456</v>
      </c>
      <c r="E74" s="192">
        <v>45712</v>
      </c>
      <c r="F74" s="193" t="s">
        <v>118</v>
      </c>
      <c r="G74" s="194" t="s">
        <v>28</v>
      </c>
      <c r="H74" s="35">
        <v>6</v>
      </c>
      <c r="I74" s="35"/>
      <c r="J74" s="455"/>
      <c r="K74" s="38"/>
      <c r="M74" s="26"/>
    </row>
    <row r="75" spans="3:13">
      <c r="C75" s="198">
        <v>9</v>
      </c>
      <c r="D75" s="191" t="s">
        <v>457</v>
      </c>
      <c r="E75" s="192">
        <v>45713</v>
      </c>
      <c r="F75" s="193" t="s">
        <v>118</v>
      </c>
      <c r="G75" s="194" t="s">
        <v>28</v>
      </c>
      <c r="H75" s="35">
        <v>8</v>
      </c>
      <c r="I75" s="35"/>
      <c r="J75" s="455"/>
      <c r="K75" s="38"/>
      <c r="M75" s="26"/>
    </row>
    <row r="76" spans="3:13">
      <c r="C76" s="198">
        <v>10</v>
      </c>
      <c r="D76" s="191" t="s">
        <v>458</v>
      </c>
      <c r="E76" s="192">
        <v>45715</v>
      </c>
      <c r="F76" s="193" t="s">
        <v>118</v>
      </c>
      <c r="G76" s="194" t="s">
        <v>28</v>
      </c>
      <c r="H76" s="35">
        <v>6</v>
      </c>
      <c r="I76" s="35"/>
      <c r="J76" s="455"/>
      <c r="K76" s="38"/>
      <c r="M76" s="26"/>
    </row>
    <row r="77" spans="3:13">
      <c r="C77" s="198">
        <v>11</v>
      </c>
      <c r="D77" s="191" t="s">
        <v>459</v>
      </c>
      <c r="E77" s="192">
        <v>45715</v>
      </c>
      <c r="F77" s="193" t="s">
        <v>118</v>
      </c>
      <c r="G77" s="194" t="s">
        <v>28</v>
      </c>
      <c r="H77" s="35">
        <v>7</v>
      </c>
      <c r="I77" s="35"/>
      <c r="J77" s="455"/>
      <c r="K77" s="38"/>
      <c r="M77" s="26"/>
    </row>
    <row r="78" spans="3:13">
      <c r="C78" s="198">
        <v>12</v>
      </c>
      <c r="D78" s="191" t="s">
        <v>460</v>
      </c>
      <c r="E78" s="192">
        <v>45715</v>
      </c>
      <c r="F78" s="193" t="s">
        <v>118</v>
      </c>
      <c r="G78" s="194" t="s">
        <v>28</v>
      </c>
      <c r="H78" s="35">
        <v>7</v>
      </c>
      <c r="I78" s="35"/>
      <c r="J78" s="455"/>
      <c r="K78" s="38"/>
      <c r="M78" s="26"/>
    </row>
    <row r="79" spans="3:13">
      <c r="C79" s="198">
        <v>13</v>
      </c>
      <c r="D79" s="191" t="s">
        <v>461</v>
      </c>
      <c r="E79" s="192">
        <v>45715</v>
      </c>
      <c r="F79" s="193" t="s">
        <v>118</v>
      </c>
      <c r="G79" s="194" t="s">
        <v>28</v>
      </c>
      <c r="H79" s="35">
        <v>7</v>
      </c>
      <c r="I79" s="35"/>
      <c r="J79" s="455"/>
      <c r="K79" s="38"/>
      <c r="M79" s="26"/>
    </row>
    <row r="80" spans="3:13">
      <c r="C80" s="198">
        <v>14</v>
      </c>
      <c r="D80" s="191" t="s">
        <v>455</v>
      </c>
      <c r="E80" s="192">
        <v>45715</v>
      </c>
      <c r="F80" s="193" t="s">
        <v>118</v>
      </c>
      <c r="G80" s="194" t="s">
        <v>28</v>
      </c>
      <c r="H80" s="35">
        <v>7</v>
      </c>
      <c r="I80" s="35"/>
      <c r="J80" s="455"/>
      <c r="K80" s="38"/>
      <c r="M80" s="26"/>
    </row>
    <row r="81" spans="3:13">
      <c r="C81" s="198">
        <v>15</v>
      </c>
      <c r="D81" s="191" t="s">
        <v>462</v>
      </c>
      <c r="E81" s="192">
        <v>45717</v>
      </c>
      <c r="F81" s="193" t="s">
        <v>118</v>
      </c>
      <c r="G81" s="194" t="s">
        <v>28</v>
      </c>
      <c r="H81" s="35">
        <v>6</v>
      </c>
      <c r="I81" s="35"/>
      <c r="J81" s="455"/>
      <c r="K81" s="38"/>
      <c r="M81" s="26"/>
    </row>
    <row r="82" spans="3:13">
      <c r="C82" s="198">
        <v>16</v>
      </c>
      <c r="D82" s="191" t="s">
        <v>463</v>
      </c>
      <c r="E82" s="192">
        <v>45717</v>
      </c>
      <c r="F82" s="193" t="s">
        <v>118</v>
      </c>
      <c r="G82" s="194" t="s">
        <v>28</v>
      </c>
      <c r="H82" s="35">
        <v>5</v>
      </c>
      <c r="I82" s="35"/>
      <c r="J82" s="455"/>
      <c r="K82" s="38"/>
      <c r="M82" s="26"/>
    </row>
    <row r="83" spans="3:13">
      <c r="C83" s="198">
        <v>17</v>
      </c>
      <c r="D83" s="191" t="s">
        <v>464</v>
      </c>
      <c r="E83" s="192">
        <v>45720</v>
      </c>
      <c r="F83" s="193" t="s">
        <v>118</v>
      </c>
      <c r="G83" s="194" t="s">
        <v>28</v>
      </c>
      <c r="H83" s="35">
        <v>6</v>
      </c>
      <c r="I83" s="35"/>
      <c r="J83" s="455"/>
      <c r="K83" s="38"/>
      <c r="M83" s="26"/>
    </row>
    <row r="84" spans="3:13">
      <c r="C84" s="198">
        <v>18</v>
      </c>
      <c r="D84" s="191" t="s">
        <v>465</v>
      </c>
      <c r="E84" s="192">
        <v>45729</v>
      </c>
      <c r="F84" s="193" t="s">
        <v>118</v>
      </c>
      <c r="G84" s="194" t="s">
        <v>28</v>
      </c>
      <c r="H84" s="35">
        <v>3</v>
      </c>
      <c r="I84" s="35"/>
      <c r="J84" s="455"/>
      <c r="K84" s="38"/>
      <c r="M84" s="26"/>
    </row>
    <row r="85" spans="3:13">
      <c r="C85" s="198">
        <v>19</v>
      </c>
      <c r="D85" s="191" t="s">
        <v>466</v>
      </c>
      <c r="E85" s="192">
        <v>45736</v>
      </c>
      <c r="F85" s="193" t="s">
        <v>118</v>
      </c>
      <c r="G85" s="194" t="s">
        <v>28</v>
      </c>
      <c r="H85" s="35">
        <v>5</v>
      </c>
      <c r="I85" s="35"/>
      <c r="J85" s="455"/>
      <c r="K85" s="38"/>
      <c r="M85" s="26"/>
    </row>
    <row r="86" spans="3:13">
      <c r="C86" s="198">
        <v>20</v>
      </c>
      <c r="D86" s="191" t="s">
        <v>467</v>
      </c>
      <c r="E86" s="192">
        <v>45736</v>
      </c>
      <c r="F86" s="193" t="s">
        <v>118</v>
      </c>
      <c r="G86" s="194" t="s">
        <v>28</v>
      </c>
      <c r="H86" s="35">
        <v>3</v>
      </c>
      <c r="I86" s="35"/>
      <c r="J86" s="455"/>
      <c r="K86" s="38"/>
      <c r="M86" s="26"/>
    </row>
    <row r="87" spans="3:13">
      <c r="C87" s="198">
        <v>21</v>
      </c>
      <c r="D87" s="191" t="s">
        <v>468</v>
      </c>
      <c r="E87" s="192">
        <v>45738</v>
      </c>
      <c r="F87" s="193" t="s">
        <v>118</v>
      </c>
      <c r="G87" s="194" t="s">
        <v>28</v>
      </c>
      <c r="H87" s="35">
        <v>3</v>
      </c>
      <c r="I87" s="35"/>
      <c r="J87" s="455"/>
      <c r="K87" s="38"/>
      <c r="M87" s="26"/>
    </row>
    <row r="88" spans="3:13">
      <c r="C88" s="198">
        <v>22</v>
      </c>
      <c r="D88" s="191" t="s">
        <v>469</v>
      </c>
      <c r="E88" s="192">
        <v>45724</v>
      </c>
      <c r="F88" s="193" t="s">
        <v>118</v>
      </c>
      <c r="G88" s="194" t="s">
        <v>28</v>
      </c>
      <c r="H88" s="35">
        <v>5</v>
      </c>
      <c r="I88" s="35"/>
      <c r="J88" s="455"/>
      <c r="K88" s="38"/>
      <c r="M88" s="26"/>
    </row>
    <row r="89" spans="3:13">
      <c r="C89" s="198">
        <v>23</v>
      </c>
      <c r="D89" s="191" t="s">
        <v>470</v>
      </c>
      <c r="E89" s="192">
        <v>45724</v>
      </c>
      <c r="F89" s="193" t="s">
        <v>118</v>
      </c>
      <c r="G89" s="194" t="s">
        <v>28</v>
      </c>
      <c r="H89" s="35">
        <v>5</v>
      </c>
      <c r="I89" s="35"/>
      <c r="J89" s="455"/>
      <c r="K89" s="38"/>
      <c r="M89" s="26"/>
    </row>
    <row r="90" spans="3:13">
      <c r="C90" s="198">
        <v>24</v>
      </c>
      <c r="D90" s="191" t="s">
        <v>471</v>
      </c>
      <c r="E90" s="192">
        <v>45744</v>
      </c>
      <c r="F90" s="193" t="s">
        <v>118</v>
      </c>
      <c r="G90" s="194" t="s">
        <v>28</v>
      </c>
      <c r="H90" s="35">
        <v>3</v>
      </c>
      <c r="I90" s="35"/>
      <c r="J90" s="455"/>
      <c r="K90" s="38"/>
      <c r="M90" s="26"/>
    </row>
    <row r="91" spans="3:13">
      <c r="C91" s="198">
        <v>25</v>
      </c>
      <c r="D91" s="191" t="s">
        <v>472</v>
      </c>
      <c r="E91" s="192">
        <v>45748</v>
      </c>
      <c r="F91" s="193" t="s">
        <v>118</v>
      </c>
      <c r="G91" s="194" t="s">
        <v>28</v>
      </c>
      <c r="H91" s="35">
        <v>3</v>
      </c>
      <c r="I91" s="35"/>
      <c r="J91" s="455"/>
      <c r="K91" s="38"/>
      <c r="M91" s="26"/>
    </row>
    <row r="92" spans="3:13">
      <c r="C92" s="198">
        <v>26</v>
      </c>
      <c r="D92" s="191" t="s">
        <v>473</v>
      </c>
      <c r="E92" s="192">
        <v>45753</v>
      </c>
      <c r="F92" s="193" t="s">
        <v>118</v>
      </c>
      <c r="G92" s="194" t="s">
        <v>28</v>
      </c>
      <c r="H92" s="35">
        <v>5</v>
      </c>
      <c r="I92" s="35"/>
      <c r="J92" s="455"/>
      <c r="K92" s="38"/>
      <c r="M92" s="26"/>
    </row>
    <row r="93" spans="3:13">
      <c r="C93" s="198">
        <v>27</v>
      </c>
      <c r="D93" s="191" t="s">
        <v>474</v>
      </c>
      <c r="E93" s="192">
        <v>45761</v>
      </c>
      <c r="F93" s="193" t="s">
        <v>118</v>
      </c>
      <c r="G93" s="194" t="s">
        <v>28</v>
      </c>
      <c r="H93" s="35">
        <v>5</v>
      </c>
      <c r="I93" s="35"/>
      <c r="J93" s="455"/>
      <c r="K93" s="38"/>
      <c r="M93" s="26"/>
    </row>
    <row r="94" spans="3:13">
      <c r="C94" s="198">
        <v>28</v>
      </c>
      <c r="D94" s="191" t="s">
        <v>582</v>
      </c>
      <c r="E94" s="192">
        <v>45764</v>
      </c>
      <c r="F94" s="193" t="s">
        <v>118</v>
      </c>
      <c r="G94" s="194" t="s">
        <v>28</v>
      </c>
      <c r="H94" s="35">
        <v>3</v>
      </c>
      <c r="I94" s="35"/>
      <c r="J94" s="455"/>
      <c r="K94" s="38"/>
      <c r="M94" s="26"/>
    </row>
    <row r="95" spans="3:13">
      <c r="C95" s="198">
        <v>29</v>
      </c>
      <c r="D95" s="191" t="s">
        <v>583</v>
      </c>
      <c r="E95" s="192">
        <v>45765</v>
      </c>
      <c r="F95" s="193" t="s">
        <v>118</v>
      </c>
      <c r="G95" s="194" t="s">
        <v>28</v>
      </c>
      <c r="H95" s="35">
        <v>3</v>
      </c>
      <c r="I95" s="35"/>
      <c r="J95" s="455"/>
      <c r="K95" s="38"/>
      <c r="M95" s="26"/>
    </row>
    <row r="96" spans="3:13">
      <c r="C96" s="198">
        <v>30</v>
      </c>
      <c r="D96" s="191" t="s">
        <v>584</v>
      </c>
      <c r="E96" s="192">
        <v>45769</v>
      </c>
      <c r="F96" s="193" t="s">
        <v>118</v>
      </c>
      <c r="G96" s="194" t="s">
        <v>28</v>
      </c>
      <c r="H96" s="35">
        <v>3</v>
      </c>
      <c r="I96" s="35"/>
      <c r="J96" s="455"/>
      <c r="K96" s="38"/>
      <c r="M96" s="26"/>
    </row>
    <row r="97" spans="3:13">
      <c r="C97" s="198">
        <v>31</v>
      </c>
      <c r="D97" s="191" t="s">
        <v>585</v>
      </c>
      <c r="E97" s="192">
        <v>45770</v>
      </c>
      <c r="F97" s="193" t="s">
        <v>118</v>
      </c>
      <c r="G97" s="194" t="s">
        <v>28</v>
      </c>
      <c r="H97" s="35">
        <v>3</v>
      </c>
      <c r="I97" s="35"/>
      <c r="J97" s="455"/>
      <c r="K97" s="38"/>
      <c r="M97" s="26"/>
    </row>
    <row r="98" spans="3:13">
      <c r="C98" s="198">
        <v>32</v>
      </c>
      <c r="D98" s="191" t="s">
        <v>586</v>
      </c>
      <c r="E98" s="192">
        <v>45771</v>
      </c>
      <c r="F98" s="193" t="s">
        <v>118</v>
      </c>
      <c r="G98" s="194" t="s">
        <v>28</v>
      </c>
      <c r="H98" s="35">
        <v>3</v>
      </c>
      <c r="I98" s="35"/>
      <c r="J98" s="455"/>
      <c r="K98" s="38"/>
      <c r="M98" s="26"/>
    </row>
    <row r="99" spans="3:13">
      <c r="C99" s="198">
        <v>33</v>
      </c>
      <c r="D99" s="191" t="s">
        <v>587</v>
      </c>
      <c r="E99" s="192">
        <v>45812</v>
      </c>
      <c r="F99" s="193" t="s">
        <v>118</v>
      </c>
      <c r="G99" s="194" t="s">
        <v>28</v>
      </c>
      <c r="H99" s="35">
        <v>3</v>
      </c>
      <c r="I99" s="35"/>
      <c r="J99" s="455"/>
      <c r="K99" s="38"/>
      <c r="M99" s="26"/>
    </row>
    <row r="100" spans="3:13">
      <c r="C100" s="198">
        <v>34</v>
      </c>
      <c r="D100" s="191" t="s">
        <v>588</v>
      </c>
      <c r="E100" s="192">
        <v>45783</v>
      </c>
      <c r="F100" s="193" t="s">
        <v>118</v>
      </c>
      <c r="G100" s="194" t="s">
        <v>28</v>
      </c>
      <c r="H100" s="35">
        <v>3</v>
      </c>
      <c r="I100" s="35"/>
      <c r="J100" s="455"/>
      <c r="K100" s="38"/>
      <c r="M100" s="26"/>
    </row>
    <row r="101" spans="3:13">
      <c r="C101" s="198">
        <v>35</v>
      </c>
      <c r="D101" s="191" t="s">
        <v>589</v>
      </c>
      <c r="E101" s="192">
        <v>45783</v>
      </c>
      <c r="F101" s="193" t="s">
        <v>118</v>
      </c>
      <c r="G101" s="194" t="s">
        <v>28</v>
      </c>
      <c r="H101" s="35">
        <v>4</v>
      </c>
      <c r="I101" s="35"/>
      <c r="J101" s="455"/>
      <c r="K101" s="38"/>
      <c r="M101" s="26"/>
    </row>
    <row r="102" spans="3:13">
      <c r="C102" s="198">
        <v>28</v>
      </c>
      <c r="D102" s="191" t="s">
        <v>578</v>
      </c>
      <c r="E102" s="192">
        <v>45813</v>
      </c>
      <c r="F102" s="193" t="s">
        <v>118</v>
      </c>
      <c r="G102" s="194" t="s">
        <v>28</v>
      </c>
      <c r="H102" s="35">
        <v>3</v>
      </c>
      <c r="I102" s="35"/>
      <c r="J102" s="34">
        <v>105</v>
      </c>
      <c r="K102" s="38"/>
      <c r="M102" s="26"/>
    </row>
    <row r="103" spans="3:13">
      <c r="C103" s="198">
        <v>29</v>
      </c>
      <c r="D103" s="191" t="s">
        <v>243</v>
      </c>
      <c r="E103" s="192">
        <v>45804</v>
      </c>
      <c r="F103" s="193" t="s">
        <v>118</v>
      </c>
      <c r="G103" s="194" t="s">
        <v>28</v>
      </c>
      <c r="H103" s="35">
        <v>13</v>
      </c>
      <c r="I103" s="35"/>
      <c r="J103" s="455">
        <v>73</v>
      </c>
      <c r="K103" s="38"/>
      <c r="M103" s="26"/>
    </row>
    <row r="104" spans="3:13">
      <c r="C104" s="198">
        <v>30</v>
      </c>
      <c r="D104" s="191" t="s">
        <v>580</v>
      </c>
      <c r="E104" s="192">
        <v>45835</v>
      </c>
      <c r="F104" s="193" t="s">
        <v>118</v>
      </c>
      <c r="G104" s="194" t="s">
        <v>28</v>
      </c>
      <c r="H104" s="35">
        <v>6</v>
      </c>
      <c r="I104" s="35"/>
      <c r="J104" s="455">
        <v>134</v>
      </c>
      <c r="K104" s="38"/>
      <c r="M104" s="26"/>
    </row>
    <row r="105" spans="3:13" ht="15">
      <c r="C105" s="198"/>
      <c r="D105" s="191"/>
      <c r="E105" s="192"/>
      <c r="F105" s="193"/>
      <c r="G105" s="194"/>
      <c r="H105" s="35"/>
      <c r="I105" s="367">
        <f>SUM(H67:H104)</f>
        <v>201</v>
      </c>
      <c r="J105" s="34"/>
      <c r="K105" s="38"/>
    </row>
    <row r="106" spans="3:13" ht="15">
      <c r="C106" s="199"/>
      <c r="D106" s="191"/>
      <c r="E106" s="192"/>
      <c r="F106" s="193"/>
      <c r="G106" s="194"/>
      <c r="H106" s="35"/>
      <c r="I106" s="189"/>
      <c r="J106" s="34"/>
      <c r="K106" s="38"/>
    </row>
    <row r="107" spans="3:13" ht="15">
      <c r="C107" s="199">
        <v>1</v>
      </c>
      <c r="D107" s="191" t="s">
        <v>251</v>
      </c>
      <c r="E107" s="192">
        <v>45692</v>
      </c>
      <c r="F107" s="193" t="s">
        <v>250</v>
      </c>
      <c r="G107" s="194" t="s">
        <v>252</v>
      </c>
      <c r="H107" s="35">
        <v>28.86</v>
      </c>
      <c r="I107" s="367">
        <f>SUM(H107)</f>
        <v>28.86</v>
      </c>
      <c r="J107" s="34"/>
      <c r="K107" s="38"/>
    </row>
    <row r="108" spans="3:13" ht="15">
      <c r="C108" s="199"/>
      <c r="D108" s="191"/>
      <c r="E108" s="192"/>
      <c r="F108" s="193"/>
      <c r="G108" s="194"/>
      <c r="H108" s="35"/>
      <c r="I108" s="189"/>
      <c r="J108" s="34"/>
      <c r="K108" s="38"/>
    </row>
    <row r="109" spans="3:13" ht="15">
      <c r="C109" s="199">
        <v>1</v>
      </c>
      <c r="D109" s="191" t="s">
        <v>475</v>
      </c>
      <c r="E109" s="192">
        <v>45733</v>
      </c>
      <c r="F109" s="193" t="s">
        <v>476</v>
      </c>
      <c r="G109" s="194" t="s">
        <v>477</v>
      </c>
      <c r="H109" s="35">
        <v>300</v>
      </c>
      <c r="I109" s="189"/>
      <c r="J109" s="34"/>
      <c r="K109" s="38"/>
    </row>
    <row r="110" spans="3:13" ht="15">
      <c r="C110" s="199"/>
      <c r="D110" s="191"/>
      <c r="E110" s="192"/>
      <c r="F110" s="193"/>
      <c r="G110" s="194"/>
      <c r="H110" s="35"/>
      <c r="I110" s="367">
        <f>SUM(H109)</f>
        <v>300</v>
      </c>
      <c r="J110" s="34" t="s">
        <v>478</v>
      </c>
      <c r="K110" s="38"/>
    </row>
    <row r="111" spans="3:13" ht="15">
      <c r="C111" s="199"/>
      <c r="D111" s="191"/>
      <c r="E111" s="192"/>
      <c r="F111" s="190" t="s">
        <v>115</v>
      </c>
      <c r="G111" s="194"/>
      <c r="H111" s="35"/>
      <c r="I111" s="189"/>
      <c r="J111" s="34"/>
      <c r="K111" s="38"/>
    </row>
    <row r="112" spans="3:13" ht="15">
      <c r="C112" s="198">
        <v>1</v>
      </c>
      <c r="D112" s="191" t="s">
        <v>479</v>
      </c>
      <c r="E112" s="192">
        <v>45769</v>
      </c>
      <c r="F112" s="193" t="s">
        <v>417</v>
      </c>
      <c r="G112" s="194" t="s">
        <v>28</v>
      </c>
      <c r="H112" s="35">
        <v>98</v>
      </c>
      <c r="I112" s="189"/>
      <c r="J112" s="181" t="s">
        <v>480</v>
      </c>
      <c r="K112" s="38"/>
    </row>
    <row r="113" spans="3:11" ht="15">
      <c r="C113" s="198">
        <v>2</v>
      </c>
      <c r="D113" s="191" t="s">
        <v>75</v>
      </c>
      <c r="E113" s="192">
        <v>45742</v>
      </c>
      <c r="F113" s="193" t="s">
        <v>417</v>
      </c>
      <c r="G113" s="194" t="s">
        <v>28</v>
      </c>
      <c r="H113" s="35">
        <v>80</v>
      </c>
      <c r="I113" s="189"/>
      <c r="J113" s="181" t="s">
        <v>481</v>
      </c>
      <c r="K113" s="38"/>
    </row>
    <row r="114" spans="3:11" ht="15">
      <c r="C114" s="198">
        <v>3</v>
      </c>
      <c r="D114" s="191" t="s">
        <v>75</v>
      </c>
      <c r="E114" s="192"/>
      <c r="F114" s="193"/>
      <c r="G114" s="194" t="s">
        <v>28</v>
      </c>
      <c r="H114" s="35">
        <f>216-H112-H113</f>
        <v>38</v>
      </c>
      <c r="I114" s="189"/>
      <c r="J114" s="181"/>
      <c r="K114" s="38"/>
    </row>
    <row r="115" spans="3:11" ht="15">
      <c r="C115" s="198">
        <v>4</v>
      </c>
      <c r="D115" s="191" t="s">
        <v>578</v>
      </c>
      <c r="E115" s="192">
        <v>45813</v>
      </c>
      <c r="F115" s="193" t="s">
        <v>417</v>
      </c>
      <c r="G115" s="194" t="s">
        <v>28</v>
      </c>
      <c r="H115" s="35">
        <v>117</v>
      </c>
      <c r="I115" s="189"/>
      <c r="J115" s="34">
        <v>105</v>
      </c>
      <c r="K115" s="38"/>
    </row>
    <row r="116" spans="3:11" ht="15.75" thickBot="1">
      <c r="C116" s="466">
        <v>5</v>
      </c>
      <c r="D116" s="191" t="s">
        <v>243</v>
      </c>
      <c r="E116" s="192">
        <v>45804</v>
      </c>
      <c r="F116" s="34" t="s">
        <v>417</v>
      </c>
      <c r="G116" s="34" t="s">
        <v>28</v>
      </c>
      <c r="H116" s="34">
        <v>70</v>
      </c>
      <c r="I116" s="463"/>
      <c r="J116" s="200">
        <v>73</v>
      </c>
      <c r="K116" s="465"/>
    </row>
    <row r="117" spans="3:11" ht="15">
      <c r="C117" s="458">
        <v>6</v>
      </c>
      <c r="D117" s="459" t="s">
        <v>579</v>
      </c>
      <c r="E117" s="545">
        <v>45827</v>
      </c>
      <c r="F117" s="461" t="s">
        <v>417</v>
      </c>
      <c r="G117" s="57" t="s">
        <v>28</v>
      </c>
      <c r="H117" s="462">
        <v>55</v>
      </c>
      <c r="I117" s="463"/>
      <c r="J117" s="464">
        <v>118</v>
      </c>
      <c r="K117" s="465"/>
    </row>
    <row r="118" spans="3:11" ht="15">
      <c r="C118" s="546">
        <v>7</v>
      </c>
      <c r="D118" s="539" t="s">
        <v>594</v>
      </c>
      <c r="E118" s="540">
        <v>45841</v>
      </c>
      <c r="F118" s="541" t="s">
        <v>417</v>
      </c>
      <c r="G118" s="542" t="s">
        <v>28</v>
      </c>
      <c r="H118" s="538">
        <v>52</v>
      </c>
      <c r="I118" s="543">
        <f>SUM(H112:H118)</f>
        <v>510</v>
      </c>
      <c r="J118" s="544">
        <v>144</v>
      </c>
      <c r="K118" s="547"/>
    </row>
    <row r="119" spans="3:11" ht="15" thickBot="1">
      <c r="C119" s="548"/>
      <c r="D119" s="549"/>
      <c r="E119" s="550"/>
      <c r="F119" s="312"/>
      <c r="G119" s="312"/>
      <c r="H119" s="551"/>
      <c r="I119" s="552"/>
      <c r="J119" s="553"/>
      <c r="K119" s="554"/>
    </row>
  </sheetData>
  <mergeCells count="4">
    <mergeCell ref="C3:K3"/>
    <mergeCell ref="J5:K5"/>
    <mergeCell ref="H5:I5"/>
    <mergeCell ref="J67:J72"/>
  </mergeCells>
  <phoneticPr fontId="160" type="noConversion"/>
  <printOptions horizontalCentered="1"/>
  <pageMargins left="0.31496062992125984" right="0.31496062992125984" top="0.35433070866141736" bottom="0.35433070866141736" header="0" footer="0"/>
  <pageSetup paperSize="9" scale="72" fitToHeight="3" orientation="portrait" r:id="rId1"/>
  <headerFooter>
    <oddFooter>Page &amp;P of &amp;N</oddFooter>
  </headerFooter>
  <rowBreaks count="1" manualBreakCount="1">
    <brk id="61" min="2"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H19"/>
  <sheetViews>
    <sheetView workbookViewId="0">
      <selection activeCell="G9" sqref="G9"/>
    </sheetView>
  </sheetViews>
  <sheetFormatPr defaultRowHeight="15"/>
  <cols>
    <col min="2" max="2" width="21.85546875" bestFit="1" customWidth="1"/>
    <col min="3" max="4" width="10" customWidth="1"/>
    <col min="6" max="6" width="11.140625" customWidth="1"/>
    <col min="7" max="7" width="13.42578125" style="98" customWidth="1"/>
    <col min="8" max="8" width="18.42578125" customWidth="1"/>
  </cols>
  <sheetData>
    <row r="1" spans="1:8" ht="15.75" thickBot="1">
      <c r="A1" s="894" t="s">
        <v>135</v>
      </c>
      <c r="B1" s="895"/>
      <c r="C1" s="895"/>
      <c r="D1" s="895"/>
      <c r="E1" s="895"/>
      <c r="F1" s="895"/>
      <c r="G1" s="895"/>
      <c r="H1" s="896"/>
    </row>
    <row r="2" spans="1:8" ht="30.75" thickBot="1">
      <c r="A2" s="70" t="s">
        <v>136</v>
      </c>
      <c r="B2" s="71" t="s">
        <v>137</v>
      </c>
      <c r="C2" s="71" t="s">
        <v>138</v>
      </c>
      <c r="D2" s="71" t="s">
        <v>139</v>
      </c>
      <c r="E2" s="71" t="s">
        <v>140</v>
      </c>
      <c r="F2" s="71" t="s">
        <v>141</v>
      </c>
      <c r="G2" s="72" t="s">
        <v>142</v>
      </c>
      <c r="H2" s="73" t="s">
        <v>143</v>
      </c>
    </row>
    <row r="3" spans="1:8">
      <c r="A3" s="74"/>
      <c r="B3" s="75"/>
      <c r="C3" s="75"/>
      <c r="D3" s="75"/>
      <c r="E3" s="75"/>
      <c r="F3" s="75"/>
      <c r="G3" s="76"/>
      <c r="H3" s="77"/>
    </row>
    <row r="4" spans="1:8" s="82" customFormat="1" ht="21.95" customHeight="1">
      <c r="A4" s="383">
        <v>1</v>
      </c>
      <c r="B4" s="79" t="s">
        <v>144</v>
      </c>
      <c r="C4" s="79" t="s">
        <v>145</v>
      </c>
      <c r="D4" s="79" t="s">
        <v>409</v>
      </c>
      <c r="E4" s="80">
        <v>43</v>
      </c>
      <c r="F4" s="80">
        <v>3018</v>
      </c>
      <c r="G4" s="81">
        <f>E4*F4</f>
        <v>129774</v>
      </c>
      <c r="H4" s="897" t="s">
        <v>146</v>
      </c>
    </row>
    <row r="5" spans="1:8" ht="23.45" customHeight="1">
      <c r="A5" s="383">
        <v>2</v>
      </c>
      <c r="B5" s="79" t="s">
        <v>497</v>
      </c>
      <c r="C5" s="79" t="s">
        <v>145</v>
      </c>
      <c r="D5" s="79" t="s">
        <v>409</v>
      </c>
      <c r="E5" s="80">
        <v>54</v>
      </c>
      <c r="F5" s="80">
        <v>3018</v>
      </c>
      <c r="G5" s="81">
        <f>E5*F5</f>
        <v>162972</v>
      </c>
      <c r="H5" s="898"/>
    </row>
    <row r="6" spans="1:8" ht="23.45" customHeight="1">
      <c r="A6" s="388">
        <v>3</v>
      </c>
      <c r="B6" s="380" t="s">
        <v>544</v>
      </c>
      <c r="C6" s="79" t="s">
        <v>145</v>
      </c>
      <c r="D6" s="79" t="s">
        <v>409</v>
      </c>
      <c r="E6" s="381">
        <v>82</v>
      </c>
      <c r="F6" s="80">
        <v>3018</v>
      </c>
      <c r="G6" s="81">
        <f>E6*F6</f>
        <v>247476</v>
      </c>
      <c r="H6" s="391"/>
    </row>
    <row r="7" spans="1:8" ht="29.1" customHeight="1">
      <c r="A7" s="383">
        <v>4</v>
      </c>
      <c r="B7" s="79" t="s">
        <v>611</v>
      </c>
      <c r="C7" s="79" t="s">
        <v>145</v>
      </c>
      <c r="D7" s="79" t="s">
        <v>409</v>
      </c>
      <c r="E7" s="80">
        <f>'Pragathi RMC Details'!E133-E4-E5-E6</f>
        <v>12</v>
      </c>
      <c r="F7" s="80">
        <v>3018</v>
      </c>
      <c r="G7" s="81">
        <f>E7*F7</f>
        <v>36216</v>
      </c>
      <c r="H7" s="391" t="s">
        <v>629</v>
      </c>
    </row>
    <row r="8" spans="1:8" ht="15.75" thickBot="1">
      <c r="A8" s="668"/>
      <c r="B8" s="669"/>
      <c r="C8" s="669"/>
      <c r="D8" s="669"/>
      <c r="E8" s="669"/>
      <c r="F8" s="669"/>
      <c r="G8" s="670"/>
      <c r="H8" s="671"/>
    </row>
    <row r="9" spans="1:8" ht="15.75" thickBot="1">
      <c r="A9" s="90"/>
      <c r="B9" s="91" t="s">
        <v>147</v>
      </c>
      <c r="C9" s="91"/>
      <c r="D9" s="91"/>
      <c r="E9" s="91"/>
      <c r="F9" s="91"/>
      <c r="G9" s="92">
        <f>SUM(G4:G7)</f>
        <v>576438</v>
      </c>
      <c r="H9" s="93"/>
    </row>
    <row r="10" spans="1:8" ht="15.75" thickBot="1">
      <c r="A10" s="94"/>
      <c r="B10" s="95"/>
      <c r="C10" s="95"/>
      <c r="D10" s="95"/>
      <c r="E10" s="95"/>
      <c r="F10" s="95"/>
      <c r="G10" s="96"/>
      <c r="H10" s="97"/>
    </row>
    <row r="11" spans="1:8" ht="15.75" thickBot="1"/>
    <row r="12" spans="1:8" ht="15.75" thickBot="1">
      <c r="A12" s="894" t="s">
        <v>410</v>
      </c>
      <c r="B12" s="895"/>
      <c r="C12" s="895"/>
      <c r="D12" s="895"/>
      <c r="E12" s="895"/>
      <c r="F12" s="895"/>
      <c r="G12" s="895"/>
      <c r="H12" s="896"/>
    </row>
    <row r="13" spans="1:8" ht="30.75" thickBot="1">
      <c r="A13" s="70" t="s">
        <v>136</v>
      </c>
      <c r="B13" s="71" t="s">
        <v>137</v>
      </c>
      <c r="C13" s="71" t="s">
        <v>138</v>
      </c>
      <c r="D13" s="71" t="s">
        <v>139</v>
      </c>
      <c r="E13" s="71" t="s">
        <v>140</v>
      </c>
      <c r="F13" s="71" t="s">
        <v>141</v>
      </c>
      <c r="G13" s="72" t="s">
        <v>412</v>
      </c>
      <c r="H13" s="73" t="s">
        <v>143</v>
      </c>
    </row>
    <row r="14" spans="1:8">
      <c r="A14" s="74"/>
      <c r="B14" s="75"/>
      <c r="C14" s="75"/>
      <c r="D14" s="75"/>
      <c r="E14" s="75"/>
      <c r="F14" s="75"/>
      <c r="G14" s="76"/>
      <c r="H14" s="77"/>
    </row>
    <row r="15" spans="1:8">
      <c r="A15" s="78">
        <v>1</v>
      </c>
      <c r="B15" s="79" t="s">
        <v>411</v>
      </c>
      <c r="C15" s="79" t="s">
        <v>252</v>
      </c>
      <c r="D15" s="79">
        <v>43</v>
      </c>
      <c r="E15" s="80">
        <v>15</v>
      </c>
      <c r="F15" s="80">
        <v>5800</v>
      </c>
      <c r="G15" s="81">
        <f>E15*F15</f>
        <v>87000</v>
      </c>
      <c r="H15" s="77"/>
    </row>
    <row r="16" spans="1:8">
      <c r="A16" s="368"/>
      <c r="B16" s="369"/>
      <c r="C16" s="83"/>
      <c r="D16" s="83"/>
      <c r="E16" s="84"/>
      <c r="F16" s="84"/>
      <c r="G16" s="85"/>
      <c r="H16" s="77"/>
    </row>
    <row r="17" spans="1:8" ht="15.75" thickBot="1">
      <c r="A17" s="86"/>
      <c r="B17" s="87"/>
      <c r="C17" s="87"/>
      <c r="D17" s="87"/>
      <c r="E17" s="87"/>
      <c r="F17" s="87"/>
      <c r="G17" s="88"/>
      <c r="H17" s="89"/>
    </row>
    <row r="18" spans="1:8" ht="15.75" thickBot="1">
      <c r="A18" s="90"/>
      <c r="B18" s="91" t="s">
        <v>147</v>
      </c>
      <c r="C18" s="91"/>
      <c r="D18" s="91"/>
      <c r="E18" s="91"/>
      <c r="F18" s="91"/>
      <c r="G18" s="92">
        <f>SUM(G15:G17)</f>
        <v>87000</v>
      </c>
      <c r="H18" s="93"/>
    </row>
    <row r="19" spans="1:8" ht="15.75" thickBot="1">
      <c r="A19" s="94"/>
      <c r="B19" s="95"/>
      <c r="C19" s="95"/>
      <c r="D19" s="95"/>
      <c r="E19" s="95"/>
      <c r="F19" s="95"/>
      <c r="G19" s="96"/>
      <c r="H19" s="97"/>
    </row>
  </sheetData>
  <mergeCells count="3">
    <mergeCell ref="A1:H1"/>
    <mergeCell ref="H4:H5"/>
    <mergeCell ref="A12:H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14"/>
  <sheetViews>
    <sheetView topLeftCell="A6" workbookViewId="0">
      <selection activeCell="C17" sqref="C17"/>
    </sheetView>
  </sheetViews>
  <sheetFormatPr defaultColWidth="12.28515625" defaultRowHeight="15"/>
  <cols>
    <col min="2" max="2" width="15.7109375" bestFit="1" customWidth="1"/>
    <col min="8" max="8" width="12.85546875" bestFit="1" customWidth="1"/>
  </cols>
  <sheetData>
    <row r="1" spans="1:9" ht="15.75" thickBot="1">
      <c r="A1" s="894" t="s">
        <v>493</v>
      </c>
      <c r="B1" s="895"/>
      <c r="C1" s="895"/>
      <c r="D1" s="895"/>
      <c r="E1" s="895"/>
      <c r="F1" s="895"/>
      <c r="G1" s="895"/>
      <c r="H1" s="895"/>
      <c r="I1" s="896"/>
    </row>
    <row r="2" spans="1:9" ht="30.75" thickBot="1">
      <c r="A2" s="70" t="s">
        <v>136</v>
      </c>
      <c r="B2" s="71" t="s">
        <v>137</v>
      </c>
      <c r="C2" s="71" t="s">
        <v>138</v>
      </c>
      <c r="D2" s="71" t="s">
        <v>496</v>
      </c>
      <c r="E2" s="71" t="s">
        <v>495</v>
      </c>
      <c r="F2" s="382" t="s">
        <v>494</v>
      </c>
      <c r="G2" s="71" t="s">
        <v>141</v>
      </c>
      <c r="H2" s="382" t="s">
        <v>142</v>
      </c>
      <c r="I2" s="73" t="s">
        <v>143</v>
      </c>
    </row>
    <row r="3" spans="1:9">
      <c r="A3" s="74"/>
      <c r="B3" s="75"/>
      <c r="C3" s="75"/>
      <c r="D3" s="75"/>
      <c r="E3" s="75"/>
      <c r="F3" s="75"/>
      <c r="G3" s="75"/>
      <c r="H3" s="76"/>
      <c r="I3" s="77"/>
    </row>
    <row r="4" spans="1:9" s="82" customFormat="1" ht="51" customHeight="1">
      <c r="A4" s="383">
        <v>1</v>
      </c>
      <c r="B4" s="79" t="s">
        <v>491</v>
      </c>
      <c r="C4" s="79" t="s">
        <v>145</v>
      </c>
      <c r="D4" s="80" t="e">
        <f>#REF!</f>
        <v>#REF!</v>
      </c>
      <c r="E4" s="80" t="e">
        <f>#REF!</f>
        <v>#REF!</v>
      </c>
      <c r="F4" s="80" t="e">
        <f>D4-E4</f>
        <v>#REF!</v>
      </c>
      <c r="G4" s="80">
        <v>3570</v>
      </c>
      <c r="H4" s="81" t="e">
        <f>F4*G4</f>
        <v>#REF!</v>
      </c>
      <c r="I4" s="378" t="s">
        <v>492</v>
      </c>
    </row>
    <row r="5" spans="1:9" ht="15.75" thickBot="1">
      <c r="A5" s="86"/>
      <c r="B5" s="87"/>
      <c r="C5" s="87"/>
      <c r="D5" s="87"/>
      <c r="E5" s="87"/>
      <c r="F5" s="87"/>
      <c r="G5" s="87"/>
      <c r="H5" s="88"/>
      <c r="I5" s="89"/>
    </row>
    <row r="6" spans="1:9" ht="15.75" thickBot="1">
      <c r="A6" s="90"/>
      <c r="B6" s="91" t="s">
        <v>147</v>
      </c>
      <c r="C6" s="91"/>
      <c r="D6" s="91"/>
      <c r="E6" s="91"/>
      <c r="F6" s="91"/>
      <c r="G6" s="91"/>
      <c r="H6" s="92" t="e">
        <f>SUM(H4:H5)</f>
        <v>#REF!</v>
      </c>
      <c r="I6" s="93"/>
    </row>
    <row r="8" spans="1:9" ht="15.75" thickBot="1"/>
    <row r="9" spans="1:9" ht="15.75" thickBot="1">
      <c r="A9" s="894" t="s">
        <v>549</v>
      </c>
      <c r="B9" s="895"/>
      <c r="C9" s="895"/>
      <c r="D9" s="895"/>
      <c r="E9" s="895"/>
      <c r="F9" s="895"/>
      <c r="G9" s="896"/>
    </row>
    <row r="10" spans="1:9" ht="75.75" thickBot="1">
      <c r="A10" s="70" t="s">
        <v>136</v>
      </c>
      <c r="B10" s="71" t="s">
        <v>137</v>
      </c>
      <c r="C10" s="71"/>
      <c r="D10" s="71" t="s">
        <v>546</v>
      </c>
      <c r="E10" s="382" t="s">
        <v>547</v>
      </c>
      <c r="F10" s="382" t="s">
        <v>142</v>
      </c>
      <c r="G10" s="73" t="s">
        <v>143</v>
      </c>
    </row>
    <row r="11" spans="1:9">
      <c r="A11" s="74"/>
      <c r="B11" s="75"/>
      <c r="C11" s="75"/>
      <c r="D11" s="75"/>
      <c r="E11" s="75"/>
      <c r="F11" s="76"/>
      <c r="G11" s="77"/>
    </row>
    <row r="12" spans="1:9" s="82" customFormat="1" ht="77.45" customHeight="1">
      <c r="A12" s="383">
        <v>1</v>
      </c>
      <c r="B12" s="79" t="s">
        <v>545</v>
      </c>
      <c r="C12" s="79"/>
      <c r="D12" s="80">
        <v>1592229.7285513058</v>
      </c>
      <c r="E12" s="390">
        <v>0.1</v>
      </c>
      <c r="F12" s="81">
        <f>ROUNDUP(D12*E12,0)</f>
        <v>159223</v>
      </c>
      <c r="G12" s="389" t="s">
        <v>548</v>
      </c>
    </row>
    <row r="13" spans="1:9" ht="6.95" customHeight="1" thickBot="1">
      <c r="A13" s="86"/>
      <c r="B13" s="87"/>
      <c r="C13" s="87"/>
      <c r="D13" s="87"/>
      <c r="E13" s="87"/>
      <c r="F13" s="88"/>
      <c r="G13" s="89"/>
    </row>
    <row r="14" spans="1:9" ht="15.75" thickBot="1">
      <c r="A14" s="90"/>
      <c r="B14" s="91" t="s">
        <v>147</v>
      </c>
      <c r="C14" s="91"/>
      <c r="D14" s="91"/>
      <c r="E14" s="91"/>
      <c r="F14" s="92">
        <f>SUM(F12:F13)</f>
        <v>159223</v>
      </c>
      <c r="G14" s="93"/>
    </row>
  </sheetData>
  <mergeCells count="2">
    <mergeCell ref="A1:I1"/>
    <mergeCell ref="A9:G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L133"/>
  <sheetViews>
    <sheetView topLeftCell="A103" workbookViewId="0">
      <selection activeCell="J128" sqref="J128"/>
    </sheetView>
  </sheetViews>
  <sheetFormatPr defaultRowHeight="15"/>
  <cols>
    <col min="1" max="1" width="24.28515625" customWidth="1"/>
    <col min="2" max="2" width="13.28515625" customWidth="1"/>
    <col min="3" max="3" width="11.7109375" customWidth="1"/>
    <col min="8" max="8" width="15.5703125" customWidth="1"/>
    <col min="10" max="10" width="14.42578125" bestFit="1" customWidth="1"/>
  </cols>
  <sheetData>
    <row r="1" spans="1:8" ht="18.75">
      <c r="A1" s="899" t="s">
        <v>498</v>
      </c>
      <c r="B1" s="899"/>
      <c r="C1" s="899"/>
      <c r="D1" s="899"/>
      <c r="E1" s="899"/>
      <c r="F1" s="899"/>
      <c r="G1" s="899"/>
      <c r="H1" s="899"/>
    </row>
    <row r="2" spans="1:8" ht="21">
      <c r="A2" s="900" t="s">
        <v>499</v>
      </c>
      <c r="B2" s="901"/>
      <c r="C2" s="901"/>
      <c r="D2" s="901"/>
      <c r="E2" s="901"/>
      <c r="F2" s="901"/>
      <c r="G2" s="901"/>
      <c r="H2" s="902"/>
    </row>
    <row r="3" spans="1:8" ht="21">
      <c r="A3" s="384" t="s">
        <v>68</v>
      </c>
      <c r="B3" s="384" t="s">
        <v>500</v>
      </c>
      <c r="C3" s="384" t="s">
        <v>501</v>
      </c>
      <c r="D3" s="384" t="s">
        <v>0</v>
      </c>
      <c r="E3" s="384" t="s">
        <v>409</v>
      </c>
      <c r="F3" s="384" t="s">
        <v>502</v>
      </c>
      <c r="G3" s="384" t="s">
        <v>503</v>
      </c>
      <c r="H3" s="384" t="s">
        <v>504</v>
      </c>
    </row>
    <row r="4" spans="1:8">
      <c r="A4" s="369" t="s">
        <v>505</v>
      </c>
      <c r="B4" s="369" t="s">
        <v>506</v>
      </c>
      <c r="C4" s="369">
        <v>7791</v>
      </c>
      <c r="D4" s="369" t="s">
        <v>21</v>
      </c>
      <c r="E4" s="369">
        <v>7</v>
      </c>
      <c r="F4" s="369"/>
      <c r="G4" s="369"/>
      <c r="H4" s="369">
        <v>7</v>
      </c>
    </row>
    <row r="5" spans="1:8">
      <c r="A5" s="369" t="s">
        <v>505</v>
      </c>
      <c r="B5" s="369" t="s">
        <v>506</v>
      </c>
      <c r="C5" s="369">
        <v>7792</v>
      </c>
      <c r="D5" s="369" t="s">
        <v>21</v>
      </c>
      <c r="E5" s="369">
        <v>8</v>
      </c>
      <c r="F5" s="369"/>
      <c r="G5" s="369"/>
      <c r="H5" s="369">
        <v>8</v>
      </c>
    </row>
    <row r="6" spans="1:8">
      <c r="A6" s="369" t="s">
        <v>507</v>
      </c>
      <c r="B6" s="369" t="s">
        <v>506</v>
      </c>
      <c r="C6" s="369">
        <v>7801</v>
      </c>
      <c r="D6" s="369" t="s">
        <v>21</v>
      </c>
      <c r="E6" s="369">
        <v>8</v>
      </c>
      <c r="F6" s="369"/>
      <c r="G6" s="369"/>
      <c r="H6" s="369">
        <v>8</v>
      </c>
    </row>
    <row r="7" spans="1:8">
      <c r="A7" s="369" t="s">
        <v>508</v>
      </c>
      <c r="B7" s="369" t="s">
        <v>506</v>
      </c>
      <c r="C7" s="369">
        <v>7877</v>
      </c>
      <c r="D7" s="369" t="s">
        <v>21</v>
      </c>
      <c r="E7" s="369">
        <v>8</v>
      </c>
      <c r="F7" s="369"/>
      <c r="G7" s="369"/>
      <c r="H7" s="369">
        <v>8</v>
      </c>
    </row>
    <row r="8" spans="1:8">
      <c r="A8" s="369" t="s">
        <v>508</v>
      </c>
      <c r="B8" s="369" t="s">
        <v>506</v>
      </c>
      <c r="C8" s="369">
        <v>7879</v>
      </c>
      <c r="D8" s="369" t="s">
        <v>21</v>
      </c>
      <c r="E8" s="369">
        <v>7</v>
      </c>
      <c r="F8" s="369"/>
      <c r="G8" s="369"/>
      <c r="H8" s="369">
        <v>7</v>
      </c>
    </row>
    <row r="9" spans="1:8">
      <c r="A9" s="369" t="s">
        <v>508</v>
      </c>
      <c r="B9" s="369" t="s">
        <v>506</v>
      </c>
      <c r="C9" s="369">
        <v>7881</v>
      </c>
      <c r="D9" s="369" t="s">
        <v>21</v>
      </c>
      <c r="E9" s="369">
        <v>5</v>
      </c>
      <c r="F9" s="369"/>
      <c r="G9" s="369"/>
      <c r="H9" s="369">
        <v>5</v>
      </c>
    </row>
    <row r="10" spans="1:8">
      <c r="A10" s="385" t="s">
        <v>509</v>
      </c>
      <c r="B10" s="385"/>
      <c r="C10" s="385"/>
      <c r="D10" s="385"/>
      <c r="E10" s="385">
        <f>SUM(E4:E9)</f>
        <v>43</v>
      </c>
      <c r="F10" s="385">
        <v>0</v>
      </c>
      <c r="G10" s="385">
        <v>0</v>
      </c>
      <c r="H10" s="385">
        <v>43</v>
      </c>
    </row>
    <row r="11" spans="1:8">
      <c r="A11" s="369" t="s">
        <v>510</v>
      </c>
      <c r="B11" s="369" t="s">
        <v>506</v>
      </c>
      <c r="C11" s="369">
        <v>8334</v>
      </c>
      <c r="D11" s="369" t="s">
        <v>21</v>
      </c>
      <c r="E11" s="369">
        <v>6</v>
      </c>
      <c r="F11" s="369"/>
      <c r="G11" s="369"/>
      <c r="H11" s="369">
        <v>6</v>
      </c>
    </row>
    <row r="12" spans="1:8">
      <c r="A12" s="369" t="s">
        <v>510</v>
      </c>
      <c r="B12" s="369" t="s">
        <v>506</v>
      </c>
      <c r="C12" s="369">
        <v>8338</v>
      </c>
      <c r="D12" s="369" t="s">
        <v>21</v>
      </c>
      <c r="E12" s="369">
        <v>6</v>
      </c>
      <c r="F12" s="369"/>
      <c r="G12" s="369"/>
      <c r="H12" s="369">
        <v>6</v>
      </c>
    </row>
    <row r="13" spans="1:8">
      <c r="A13" s="369" t="s">
        <v>511</v>
      </c>
      <c r="B13" s="369" t="s">
        <v>506</v>
      </c>
      <c r="C13" s="369">
        <v>8362</v>
      </c>
      <c r="D13" s="369" t="s">
        <v>21</v>
      </c>
      <c r="E13" s="369">
        <v>8</v>
      </c>
      <c r="F13" s="369"/>
      <c r="G13" s="369"/>
      <c r="H13" s="369">
        <v>8</v>
      </c>
    </row>
    <row r="14" spans="1:8">
      <c r="A14" s="369" t="s">
        <v>512</v>
      </c>
      <c r="B14" s="369" t="s">
        <v>506</v>
      </c>
      <c r="C14" s="369">
        <v>8430</v>
      </c>
      <c r="D14" s="369" t="s">
        <v>21</v>
      </c>
      <c r="E14" s="369">
        <v>6</v>
      </c>
      <c r="F14" s="369"/>
      <c r="G14" s="369"/>
      <c r="H14" s="369">
        <v>6</v>
      </c>
    </row>
    <row r="15" spans="1:8">
      <c r="A15" s="369" t="s">
        <v>512</v>
      </c>
      <c r="B15" s="369" t="s">
        <v>506</v>
      </c>
      <c r="C15" s="369">
        <v>8431</v>
      </c>
      <c r="D15" s="369" t="s">
        <v>21</v>
      </c>
      <c r="E15" s="369">
        <v>7</v>
      </c>
      <c r="F15" s="369"/>
      <c r="G15" s="369"/>
      <c r="H15" s="369">
        <v>7</v>
      </c>
    </row>
    <row r="16" spans="1:8">
      <c r="A16" s="369" t="s">
        <v>512</v>
      </c>
      <c r="B16" s="369" t="s">
        <v>506</v>
      </c>
      <c r="C16" s="369">
        <v>8432</v>
      </c>
      <c r="D16" s="369" t="s">
        <v>21</v>
      </c>
      <c r="E16" s="369">
        <v>7</v>
      </c>
      <c r="F16" s="369"/>
      <c r="G16" s="369"/>
      <c r="H16" s="369">
        <v>7</v>
      </c>
    </row>
    <row r="17" spans="1:11">
      <c r="A17" s="369" t="s">
        <v>512</v>
      </c>
      <c r="B17" s="369" t="s">
        <v>506</v>
      </c>
      <c r="C17" s="369">
        <v>8433</v>
      </c>
      <c r="D17" s="369" t="s">
        <v>21</v>
      </c>
      <c r="E17" s="369">
        <v>7</v>
      </c>
      <c r="F17" s="369"/>
      <c r="G17" s="369"/>
      <c r="H17" s="369">
        <v>7</v>
      </c>
    </row>
    <row r="18" spans="1:11">
      <c r="A18" s="369" t="s">
        <v>512</v>
      </c>
      <c r="B18" s="369" t="s">
        <v>506</v>
      </c>
      <c r="C18" s="369">
        <v>8334</v>
      </c>
      <c r="D18" s="369" t="s">
        <v>21</v>
      </c>
      <c r="E18" s="369">
        <v>7</v>
      </c>
      <c r="F18" s="369"/>
      <c r="G18" s="369"/>
      <c r="H18" s="369">
        <v>7</v>
      </c>
    </row>
    <row r="19" spans="1:11">
      <c r="A19" s="385" t="s">
        <v>513</v>
      </c>
      <c r="B19" s="385"/>
      <c r="C19" s="385"/>
      <c r="D19" s="385"/>
      <c r="E19" s="385">
        <f>SUM(E11:E18)</f>
        <v>54</v>
      </c>
      <c r="F19" s="385"/>
      <c r="G19" s="385"/>
      <c r="H19" s="385">
        <v>54</v>
      </c>
    </row>
    <row r="20" spans="1:11">
      <c r="A20" s="386" t="s">
        <v>514</v>
      </c>
      <c r="B20" s="369" t="s">
        <v>506</v>
      </c>
      <c r="C20" s="386">
        <v>8509</v>
      </c>
      <c r="D20" s="386" t="s">
        <v>21</v>
      </c>
      <c r="E20" s="386">
        <v>6</v>
      </c>
      <c r="F20" s="386"/>
      <c r="G20" s="386"/>
      <c r="H20" s="386">
        <v>6</v>
      </c>
    </row>
    <row r="21" spans="1:11">
      <c r="A21" s="386" t="s">
        <v>514</v>
      </c>
      <c r="B21" s="369" t="s">
        <v>506</v>
      </c>
      <c r="C21" s="386">
        <v>8516</v>
      </c>
      <c r="D21" s="386" t="s">
        <v>21</v>
      </c>
      <c r="E21" s="386">
        <v>5</v>
      </c>
      <c r="F21" s="386"/>
      <c r="G21" s="386"/>
      <c r="H21" s="386">
        <v>5</v>
      </c>
    </row>
    <row r="22" spans="1:11">
      <c r="A22" s="386" t="s">
        <v>515</v>
      </c>
      <c r="B22" s="369" t="s">
        <v>506</v>
      </c>
      <c r="C22" s="386">
        <v>8581</v>
      </c>
      <c r="D22" s="386" t="s">
        <v>21</v>
      </c>
      <c r="E22" s="386">
        <v>6</v>
      </c>
      <c r="F22" s="386"/>
      <c r="G22" s="386"/>
      <c r="H22" s="386">
        <v>6</v>
      </c>
    </row>
    <row r="23" spans="1:11">
      <c r="A23" s="386" t="s">
        <v>516</v>
      </c>
      <c r="B23" s="369" t="s">
        <v>506</v>
      </c>
      <c r="C23" s="386">
        <v>8821</v>
      </c>
      <c r="D23" s="386" t="s">
        <v>21</v>
      </c>
      <c r="E23" s="386">
        <v>3</v>
      </c>
      <c r="F23" s="386"/>
      <c r="G23" s="386"/>
      <c r="H23" s="386">
        <v>3</v>
      </c>
    </row>
    <row r="24" spans="1:11">
      <c r="A24" s="386" t="s">
        <v>517</v>
      </c>
      <c r="B24" s="369" t="s">
        <v>506</v>
      </c>
      <c r="C24" s="386">
        <v>8957</v>
      </c>
      <c r="D24" s="386" t="s">
        <v>21</v>
      </c>
      <c r="E24" s="386"/>
      <c r="F24" s="386"/>
      <c r="G24" s="386">
        <v>7</v>
      </c>
      <c r="H24" s="386">
        <v>7</v>
      </c>
    </row>
    <row r="25" spans="1:11">
      <c r="A25" s="386" t="s">
        <v>517</v>
      </c>
      <c r="B25" s="369" t="s">
        <v>506</v>
      </c>
      <c r="C25" s="386">
        <v>9860</v>
      </c>
      <c r="D25" s="386" t="s">
        <v>21</v>
      </c>
      <c r="E25" s="386"/>
      <c r="F25" s="386"/>
      <c r="G25" s="386">
        <v>7</v>
      </c>
      <c r="H25" s="386">
        <v>7</v>
      </c>
    </row>
    <row r="26" spans="1:11">
      <c r="A26" s="386" t="s">
        <v>517</v>
      </c>
      <c r="B26" s="369" t="s">
        <v>506</v>
      </c>
      <c r="C26" s="386">
        <v>8966</v>
      </c>
      <c r="D26" s="386" t="s">
        <v>21</v>
      </c>
      <c r="E26" s="386"/>
      <c r="F26" s="386"/>
      <c r="G26" s="386">
        <v>7</v>
      </c>
      <c r="H26" s="386">
        <v>7</v>
      </c>
    </row>
    <row r="27" spans="1:11">
      <c r="A27" s="386" t="s">
        <v>517</v>
      </c>
      <c r="B27" s="369" t="s">
        <v>506</v>
      </c>
      <c r="C27" s="386">
        <v>8970</v>
      </c>
      <c r="D27" s="386" t="s">
        <v>21</v>
      </c>
      <c r="E27" s="386"/>
      <c r="F27" s="386"/>
      <c r="G27" s="386">
        <v>8</v>
      </c>
      <c r="H27" s="386">
        <v>8</v>
      </c>
    </row>
    <row r="28" spans="1:11">
      <c r="A28" s="386" t="s">
        <v>518</v>
      </c>
      <c r="B28" s="369" t="s">
        <v>506</v>
      </c>
      <c r="C28" s="386">
        <v>9063</v>
      </c>
      <c r="D28" s="386" t="s">
        <v>21</v>
      </c>
      <c r="E28" s="386">
        <v>5</v>
      </c>
      <c r="F28" s="386"/>
      <c r="G28" s="386"/>
      <c r="H28" s="386">
        <v>5</v>
      </c>
    </row>
    <row r="29" spans="1:11">
      <c r="A29" s="386" t="s">
        <v>518</v>
      </c>
      <c r="B29" s="369" t="s">
        <v>506</v>
      </c>
      <c r="C29" s="386">
        <v>9065</v>
      </c>
      <c r="D29" s="386" t="s">
        <v>21</v>
      </c>
      <c r="E29" s="386">
        <v>3</v>
      </c>
      <c r="F29" s="386"/>
      <c r="G29" s="386"/>
      <c r="H29" s="386">
        <v>3</v>
      </c>
      <c r="K29">
        <f>70+117+55+52+107</f>
        <v>401</v>
      </c>
    </row>
    <row r="30" spans="1:11">
      <c r="A30" s="386" t="s">
        <v>519</v>
      </c>
      <c r="B30" s="369" t="s">
        <v>506</v>
      </c>
      <c r="C30" s="386">
        <v>9141</v>
      </c>
      <c r="D30" s="386" t="s">
        <v>21</v>
      </c>
      <c r="E30" s="386">
        <v>3</v>
      </c>
      <c r="F30" s="386"/>
      <c r="G30" s="386"/>
      <c r="H30" s="386">
        <v>3</v>
      </c>
    </row>
    <row r="31" spans="1:11">
      <c r="A31" s="386" t="s">
        <v>520</v>
      </c>
      <c r="B31" s="369" t="s">
        <v>506</v>
      </c>
      <c r="C31" s="386">
        <v>9247</v>
      </c>
      <c r="D31" s="386" t="s">
        <v>21</v>
      </c>
      <c r="E31" s="386"/>
      <c r="F31" s="386"/>
      <c r="G31" s="386">
        <v>7</v>
      </c>
      <c r="H31" s="386">
        <v>7</v>
      </c>
    </row>
    <row r="32" spans="1:11">
      <c r="A32" s="386" t="s">
        <v>520</v>
      </c>
      <c r="B32" s="369" t="s">
        <v>506</v>
      </c>
      <c r="C32" s="386">
        <v>9249</v>
      </c>
      <c r="D32" s="386" t="s">
        <v>21</v>
      </c>
      <c r="E32" s="386"/>
      <c r="F32" s="386"/>
      <c r="G32" s="386">
        <v>7</v>
      </c>
      <c r="H32" s="386">
        <v>7</v>
      </c>
    </row>
    <row r="33" spans="1:8">
      <c r="A33" s="386" t="s">
        <v>520</v>
      </c>
      <c r="B33" s="369" t="s">
        <v>506</v>
      </c>
      <c r="C33" s="386">
        <v>9250</v>
      </c>
      <c r="D33" s="386" t="s">
        <v>21</v>
      </c>
      <c r="E33" s="386"/>
      <c r="F33" s="386"/>
      <c r="G33" s="386">
        <v>7</v>
      </c>
      <c r="H33" s="386">
        <v>7</v>
      </c>
    </row>
    <row r="34" spans="1:8">
      <c r="A34" s="386" t="s">
        <v>520</v>
      </c>
      <c r="B34" s="369" t="s">
        <v>506</v>
      </c>
      <c r="C34" s="386">
        <v>9253</v>
      </c>
      <c r="D34" s="386" t="s">
        <v>21</v>
      </c>
      <c r="E34" s="386"/>
      <c r="F34" s="386"/>
      <c r="G34" s="386">
        <v>7</v>
      </c>
      <c r="H34" s="386">
        <v>7</v>
      </c>
    </row>
    <row r="35" spans="1:8">
      <c r="A35" s="386" t="s">
        <v>520</v>
      </c>
      <c r="B35" s="369" t="s">
        <v>506</v>
      </c>
      <c r="C35" s="386">
        <v>9255</v>
      </c>
      <c r="D35" s="386" t="s">
        <v>21</v>
      </c>
      <c r="E35" s="386"/>
      <c r="F35" s="386"/>
      <c r="G35" s="386">
        <v>7</v>
      </c>
      <c r="H35" s="386">
        <v>7</v>
      </c>
    </row>
    <row r="36" spans="1:8">
      <c r="A36" s="386" t="s">
        <v>520</v>
      </c>
      <c r="B36" s="369" t="s">
        <v>506</v>
      </c>
      <c r="C36" s="386">
        <v>9256</v>
      </c>
      <c r="D36" s="386" t="s">
        <v>21</v>
      </c>
      <c r="E36" s="386"/>
      <c r="F36" s="386"/>
      <c r="G36" s="386">
        <v>7</v>
      </c>
      <c r="H36" s="386">
        <v>7</v>
      </c>
    </row>
    <row r="37" spans="1:8">
      <c r="A37" s="386" t="s">
        <v>520</v>
      </c>
      <c r="B37" s="369" t="s">
        <v>506</v>
      </c>
      <c r="C37" s="386">
        <v>9266</v>
      </c>
      <c r="D37" s="386" t="s">
        <v>21</v>
      </c>
      <c r="E37" s="386"/>
      <c r="F37" s="386"/>
      <c r="G37" s="386">
        <v>8</v>
      </c>
      <c r="H37" s="386">
        <v>8</v>
      </c>
    </row>
    <row r="38" spans="1:8">
      <c r="A38" s="386" t="s">
        <v>520</v>
      </c>
      <c r="B38" s="369" t="s">
        <v>506</v>
      </c>
      <c r="C38" s="386">
        <v>9270</v>
      </c>
      <c r="D38" s="386" t="s">
        <v>21</v>
      </c>
      <c r="E38" s="386"/>
      <c r="F38" s="386"/>
      <c r="G38" s="386">
        <v>1</v>
      </c>
      <c r="H38" s="386">
        <v>1</v>
      </c>
    </row>
    <row r="39" spans="1:8">
      <c r="A39" s="386" t="s">
        <v>521</v>
      </c>
      <c r="B39" s="369" t="s">
        <v>522</v>
      </c>
      <c r="C39" s="386">
        <v>157742</v>
      </c>
      <c r="D39" s="386" t="s">
        <v>21</v>
      </c>
      <c r="E39" s="386">
        <v>5</v>
      </c>
      <c r="F39" s="386"/>
      <c r="G39" s="386"/>
      <c r="H39" s="386">
        <v>5</v>
      </c>
    </row>
    <row r="40" spans="1:8">
      <c r="A40" s="386" t="s">
        <v>521</v>
      </c>
      <c r="B40" s="369" t="s">
        <v>522</v>
      </c>
      <c r="C40" s="386">
        <v>157763</v>
      </c>
      <c r="D40" s="386" t="s">
        <v>21</v>
      </c>
      <c r="E40" s="386">
        <v>5</v>
      </c>
      <c r="F40" s="386"/>
      <c r="G40" s="386"/>
      <c r="H40" s="386">
        <v>5</v>
      </c>
    </row>
    <row r="41" spans="1:8">
      <c r="A41" s="385" t="s">
        <v>523</v>
      </c>
      <c r="B41" s="385"/>
      <c r="C41" s="385"/>
      <c r="D41" s="385"/>
      <c r="E41" s="385">
        <f>SUM(E20:E40)</f>
        <v>41</v>
      </c>
      <c r="F41" s="385">
        <v>0</v>
      </c>
      <c r="G41" s="385">
        <f>SUM(G20:G39)</f>
        <v>80</v>
      </c>
      <c r="H41" s="385">
        <v>121</v>
      </c>
    </row>
    <row r="42" spans="1:8">
      <c r="A42" s="386" t="s">
        <v>524</v>
      </c>
      <c r="B42" s="369" t="s">
        <v>525</v>
      </c>
      <c r="C42" s="386">
        <v>9378</v>
      </c>
      <c r="D42" s="386" t="s">
        <v>526</v>
      </c>
      <c r="E42" s="386">
        <v>3</v>
      </c>
      <c r="F42" s="386"/>
      <c r="G42" s="386"/>
      <c r="H42" s="386">
        <v>3</v>
      </c>
    </row>
    <row r="43" spans="1:8">
      <c r="A43" s="386" t="s">
        <v>527</v>
      </c>
      <c r="B43" s="369" t="s">
        <v>525</v>
      </c>
      <c r="C43" s="386">
        <v>22</v>
      </c>
      <c r="D43" s="386" t="s">
        <v>526</v>
      </c>
      <c r="E43" s="386">
        <v>3</v>
      </c>
      <c r="F43" s="386"/>
      <c r="G43" s="386"/>
      <c r="H43" s="386">
        <v>3</v>
      </c>
    </row>
    <row r="44" spans="1:8">
      <c r="A44" s="386" t="s">
        <v>528</v>
      </c>
      <c r="B44" s="369" t="s">
        <v>525</v>
      </c>
      <c r="C44" s="386">
        <v>88</v>
      </c>
      <c r="D44" s="386" t="s">
        <v>526</v>
      </c>
      <c r="E44" s="386"/>
      <c r="F44" s="386"/>
      <c r="G44" s="386">
        <v>7</v>
      </c>
      <c r="H44" s="386">
        <v>7</v>
      </c>
    </row>
    <row r="45" spans="1:8">
      <c r="A45" s="386" t="s">
        <v>528</v>
      </c>
      <c r="B45" s="369" t="s">
        <v>525</v>
      </c>
      <c r="C45" s="386">
        <v>89</v>
      </c>
      <c r="D45" s="386" t="s">
        <v>526</v>
      </c>
      <c r="E45" s="386"/>
      <c r="F45" s="386"/>
      <c r="G45" s="386">
        <v>7</v>
      </c>
      <c r="H45" s="386">
        <v>7</v>
      </c>
    </row>
    <row r="46" spans="1:8">
      <c r="A46" s="386" t="s">
        <v>528</v>
      </c>
      <c r="B46" s="369" t="s">
        <v>525</v>
      </c>
      <c r="C46" s="386">
        <v>91</v>
      </c>
      <c r="D46" s="386" t="s">
        <v>526</v>
      </c>
      <c r="E46" s="386"/>
      <c r="F46" s="386"/>
      <c r="G46" s="386">
        <v>5</v>
      </c>
      <c r="H46" s="386">
        <v>5</v>
      </c>
    </row>
    <row r="47" spans="1:8">
      <c r="A47" s="386" t="s">
        <v>528</v>
      </c>
      <c r="B47" s="369" t="s">
        <v>525</v>
      </c>
      <c r="C47" s="386">
        <v>95</v>
      </c>
      <c r="D47" s="386" t="s">
        <v>526</v>
      </c>
      <c r="E47" s="386"/>
      <c r="F47" s="386"/>
      <c r="G47" s="386">
        <v>1</v>
      </c>
      <c r="H47" s="386">
        <v>1</v>
      </c>
    </row>
    <row r="48" spans="1:8">
      <c r="A48" s="386" t="s">
        <v>529</v>
      </c>
      <c r="B48" s="369" t="s">
        <v>525</v>
      </c>
      <c r="C48" s="386">
        <v>146</v>
      </c>
      <c r="D48" s="386" t="s">
        <v>526</v>
      </c>
      <c r="E48" s="386"/>
      <c r="F48" s="386"/>
      <c r="G48" s="386">
        <v>7</v>
      </c>
      <c r="H48" s="386">
        <v>7</v>
      </c>
    </row>
    <row r="49" spans="1:8">
      <c r="A49" s="386" t="s">
        <v>529</v>
      </c>
      <c r="B49" s="369" t="s">
        <v>525</v>
      </c>
      <c r="C49" s="386">
        <v>147</v>
      </c>
      <c r="D49" s="386" t="s">
        <v>526</v>
      </c>
      <c r="E49" s="386"/>
      <c r="F49" s="386"/>
      <c r="G49" s="386">
        <v>7</v>
      </c>
      <c r="H49" s="386">
        <v>7</v>
      </c>
    </row>
    <row r="50" spans="1:8">
      <c r="A50" s="386" t="s">
        <v>529</v>
      </c>
      <c r="B50" s="369" t="s">
        <v>525</v>
      </c>
      <c r="C50" s="386">
        <v>148</v>
      </c>
      <c r="D50" s="386" t="s">
        <v>526</v>
      </c>
      <c r="E50" s="386"/>
      <c r="F50" s="386"/>
      <c r="G50" s="386">
        <v>7</v>
      </c>
      <c r="H50" s="386">
        <v>7</v>
      </c>
    </row>
    <row r="51" spans="1:8">
      <c r="A51" s="386" t="s">
        <v>530</v>
      </c>
      <c r="B51" s="369" t="s">
        <v>525</v>
      </c>
      <c r="C51" s="386">
        <v>230</v>
      </c>
      <c r="D51" s="386" t="s">
        <v>526</v>
      </c>
      <c r="E51" s="386">
        <v>5</v>
      </c>
      <c r="F51" s="386"/>
      <c r="G51" s="386"/>
      <c r="H51" s="386">
        <v>5</v>
      </c>
    </row>
    <row r="52" spans="1:8">
      <c r="A52" s="386" t="s">
        <v>531</v>
      </c>
      <c r="B52" s="369" t="s">
        <v>525</v>
      </c>
      <c r="C52" s="386">
        <v>306</v>
      </c>
      <c r="D52" s="386" t="s">
        <v>526</v>
      </c>
      <c r="E52" s="386"/>
      <c r="F52" s="386"/>
      <c r="G52" s="386">
        <v>7</v>
      </c>
      <c r="H52" s="386">
        <v>7</v>
      </c>
    </row>
    <row r="53" spans="1:8">
      <c r="A53" s="386" t="s">
        <v>531</v>
      </c>
      <c r="B53" s="369" t="s">
        <v>525</v>
      </c>
      <c r="C53" s="386">
        <v>307</v>
      </c>
      <c r="D53" s="386" t="s">
        <v>526</v>
      </c>
      <c r="E53" s="386"/>
      <c r="F53" s="386"/>
      <c r="G53" s="386">
        <v>7</v>
      </c>
      <c r="H53" s="386">
        <v>7</v>
      </c>
    </row>
    <row r="54" spans="1:8">
      <c r="A54" s="386" t="s">
        <v>531</v>
      </c>
      <c r="B54" s="369" t="s">
        <v>525</v>
      </c>
      <c r="C54" s="386">
        <v>308</v>
      </c>
      <c r="D54" s="386" t="s">
        <v>526</v>
      </c>
      <c r="E54" s="386"/>
      <c r="F54" s="386"/>
      <c r="G54" s="386">
        <v>6</v>
      </c>
      <c r="H54" s="386">
        <v>6</v>
      </c>
    </row>
    <row r="55" spans="1:8">
      <c r="A55" s="386" t="s">
        <v>531</v>
      </c>
      <c r="B55" s="369" t="s">
        <v>525</v>
      </c>
      <c r="C55" s="386">
        <v>314</v>
      </c>
      <c r="D55" s="386" t="s">
        <v>526</v>
      </c>
      <c r="E55" s="386"/>
      <c r="F55" s="386"/>
      <c r="G55" s="386">
        <v>6</v>
      </c>
      <c r="H55" s="386">
        <v>6</v>
      </c>
    </row>
    <row r="56" spans="1:8">
      <c r="A56" s="386" t="s">
        <v>531</v>
      </c>
      <c r="B56" s="369" t="s">
        <v>525</v>
      </c>
      <c r="C56" s="386">
        <v>316</v>
      </c>
      <c r="D56" s="386" t="s">
        <v>526</v>
      </c>
      <c r="E56" s="386"/>
      <c r="F56" s="386"/>
      <c r="G56" s="386">
        <v>6</v>
      </c>
      <c r="H56" s="386">
        <v>6</v>
      </c>
    </row>
    <row r="57" spans="1:8">
      <c r="A57" s="386" t="s">
        <v>531</v>
      </c>
      <c r="B57" s="369" t="s">
        <v>525</v>
      </c>
      <c r="C57" s="386">
        <v>317</v>
      </c>
      <c r="D57" s="386" t="s">
        <v>526</v>
      </c>
      <c r="E57" s="386"/>
      <c r="F57" s="386"/>
      <c r="G57" s="386">
        <v>6</v>
      </c>
      <c r="H57" s="386">
        <v>6</v>
      </c>
    </row>
    <row r="58" spans="1:8">
      <c r="A58" s="386" t="s">
        <v>531</v>
      </c>
      <c r="B58" s="369" t="s">
        <v>525</v>
      </c>
      <c r="C58" s="386">
        <v>323</v>
      </c>
      <c r="D58" s="386" t="s">
        <v>526</v>
      </c>
      <c r="E58" s="386"/>
      <c r="F58" s="386"/>
      <c r="G58" s="386">
        <v>6</v>
      </c>
      <c r="H58" s="386">
        <v>6</v>
      </c>
    </row>
    <row r="59" spans="1:8">
      <c r="A59" s="386" t="s">
        <v>531</v>
      </c>
      <c r="B59" s="369" t="s">
        <v>525</v>
      </c>
      <c r="C59" s="386">
        <v>325</v>
      </c>
      <c r="D59" s="386" t="s">
        <v>526</v>
      </c>
      <c r="E59" s="386"/>
      <c r="F59" s="386"/>
      <c r="G59" s="386">
        <v>7</v>
      </c>
      <c r="H59" s="386">
        <v>7</v>
      </c>
    </row>
    <row r="60" spans="1:8">
      <c r="A60" s="386" t="s">
        <v>531</v>
      </c>
      <c r="B60" s="369" t="s">
        <v>525</v>
      </c>
      <c r="C60" s="386">
        <v>326</v>
      </c>
      <c r="D60" s="386" t="s">
        <v>526</v>
      </c>
      <c r="E60" s="386"/>
      <c r="F60" s="386"/>
      <c r="G60" s="386">
        <v>6</v>
      </c>
      <c r="H60" s="386">
        <v>6</v>
      </c>
    </row>
    <row r="61" spans="1:8">
      <c r="A61" s="386" t="s">
        <v>532</v>
      </c>
      <c r="B61" s="369" t="s">
        <v>525</v>
      </c>
      <c r="C61" s="386">
        <v>556</v>
      </c>
      <c r="D61" s="386" t="s">
        <v>526</v>
      </c>
      <c r="E61" s="386">
        <v>5</v>
      </c>
      <c r="F61" s="386"/>
      <c r="G61" s="386"/>
      <c r="H61" s="386">
        <v>5</v>
      </c>
    </row>
    <row r="62" spans="1:8">
      <c r="A62" s="385" t="s">
        <v>533</v>
      </c>
      <c r="B62" s="385"/>
      <c r="C62" s="385"/>
      <c r="D62" s="385"/>
      <c r="E62" s="385">
        <f>SUM(E42:E61)</f>
        <v>16</v>
      </c>
      <c r="F62" s="385">
        <v>0</v>
      </c>
      <c r="G62" s="385">
        <f>SUM(G42:G61)</f>
        <v>98</v>
      </c>
      <c r="H62" s="385">
        <v>114</v>
      </c>
    </row>
    <row r="63" spans="1:8">
      <c r="A63" s="386" t="s">
        <v>534</v>
      </c>
      <c r="B63" s="369" t="s">
        <v>525</v>
      </c>
      <c r="C63" s="386">
        <v>235</v>
      </c>
      <c r="D63" s="386" t="s">
        <v>21</v>
      </c>
      <c r="E63" s="386">
        <v>3</v>
      </c>
      <c r="F63" s="386"/>
      <c r="G63" s="386"/>
      <c r="H63" s="386">
        <v>3</v>
      </c>
    </row>
    <row r="64" spans="1:8">
      <c r="A64" s="386" t="s">
        <v>535</v>
      </c>
      <c r="B64" s="369" t="s">
        <v>525</v>
      </c>
      <c r="C64" s="386">
        <v>675</v>
      </c>
      <c r="D64" s="386" t="s">
        <v>21</v>
      </c>
      <c r="E64" s="386">
        <v>3</v>
      </c>
      <c r="F64" s="386"/>
      <c r="G64" s="386"/>
      <c r="H64" s="386">
        <v>3</v>
      </c>
    </row>
    <row r="65" spans="1:10">
      <c r="A65" s="386" t="s">
        <v>536</v>
      </c>
      <c r="B65" s="369" t="s">
        <v>525</v>
      </c>
      <c r="C65" s="386">
        <v>786</v>
      </c>
      <c r="D65" s="386" t="s">
        <v>21</v>
      </c>
      <c r="E65" s="386">
        <v>3</v>
      </c>
      <c r="F65" s="386"/>
      <c r="G65" s="386"/>
      <c r="H65" s="386">
        <v>3</v>
      </c>
    </row>
    <row r="66" spans="1:10">
      <c r="A66" s="386" t="s">
        <v>537</v>
      </c>
      <c r="B66" s="369" t="s">
        <v>525</v>
      </c>
      <c r="C66" s="386">
        <v>804</v>
      </c>
      <c r="D66" s="386" t="s">
        <v>21</v>
      </c>
      <c r="E66" s="386">
        <v>3</v>
      </c>
      <c r="F66" s="386"/>
      <c r="G66" s="386"/>
      <c r="H66" s="386">
        <v>3</v>
      </c>
    </row>
    <row r="67" spans="1:10">
      <c r="A67" s="386" t="s">
        <v>538</v>
      </c>
      <c r="B67" s="369" t="s">
        <v>525</v>
      </c>
      <c r="C67" s="386">
        <v>825</v>
      </c>
      <c r="D67" s="386" t="s">
        <v>21</v>
      </c>
      <c r="E67" s="386">
        <v>3</v>
      </c>
      <c r="F67" s="386"/>
      <c r="G67" s="386"/>
      <c r="H67" s="386">
        <v>3</v>
      </c>
    </row>
    <row r="68" spans="1:10">
      <c r="A68" s="386" t="s">
        <v>539</v>
      </c>
      <c r="B68" s="369" t="s">
        <v>525</v>
      </c>
      <c r="C68" s="386">
        <v>840</v>
      </c>
      <c r="D68" s="386" t="s">
        <v>21</v>
      </c>
      <c r="E68" s="386"/>
      <c r="F68" s="386"/>
      <c r="G68" s="386">
        <v>6</v>
      </c>
      <c r="H68" s="386">
        <v>6</v>
      </c>
    </row>
    <row r="69" spans="1:10">
      <c r="A69" s="386" t="s">
        <v>539</v>
      </c>
      <c r="B69" s="369" t="s">
        <v>525</v>
      </c>
      <c r="C69" s="386">
        <v>841</v>
      </c>
      <c r="D69" s="386" t="s">
        <v>21</v>
      </c>
      <c r="E69" s="386"/>
      <c r="F69" s="386"/>
      <c r="G69" s="386">
        <v>6</v>
      </c>
      <c r="H69" s="386">
        <v>6</v>
      </c>
    </row>
    <row r="70" spans="1:10">
      <c r="A70" s="386" t="s">
        <v>539</v>
      </c>
      <c r="B70" s="369" t="s">
        <v>525</v>
      </c>
      <c r="C70" s="386">
        <v>842</v>
      </c>
      <c r="D70" s="386" t="s">
        <v>21</v>
      </c>
      <c r="E70" s="386"/>
      <c r="F70" s="386"/>
      <c r="G70" s="386">
        <v>7</v>
      </c>
      <c r="H70" s="386">
        <v>7</v>
      </c>
      <c r="J70">
        <f>179-154</f>
        <v>25</v>
      </c>
    </row>
    <row r="71" spans="1:10">
      <c r="A71" s="386" t="s">
        <v>539</v>
      </c>
      <c r="B71" s="369" t="s">
        <v>525</v>
      </c>
      <c r="C71" s="386">
        <v>844</v>
      </c>
      <c r="D71" s="386" t="s">
        <v>21</v>
      </c>
      <c r="E71" s="386"/>
      <c r="F71" s="386"/>
      <c r="G71" s="386">
        <v>7</v>
      </c>
      <c r="H71" s="386">
        <v>7</v>
      </c>
      <c r="J71">
        <f>16+6</f>
        <v>22</v>
      </c>
    </row>
    <row r="72" spans="1:10">
      <c r="A72" s="386" t="s">
        <v>539</v>
      </c>
      <c r="B72" s="369" t="s">
        <v>525</v>
      </c>
      <c r="C72" s="386">
        <v>845</v>
      </c>
      <c r="D72" s="386" t="s">
        <v>21</v>
      </c>
      <c r="E72" s="386"/>
      <c r="F72" s="386"/>
      <c r="G72" s="386">
        <v>6</v>
      </c>
      <c r="H72" s="386">
        <v>6</v>
      </c>
      <c r="J72" s="467" t="s">
        <v>581</v>
      </c>
    </row>
    <row r="73" spans="1:10">
      <c r="A73" s="386" t="s">
        <v>539</v>
      </c>
      <c r="B73" s="369" t="s">
        <v>525</v>
      </c>
      <c r="C73" s="386">
        <v>849</v>
      </c>
      <c r="D73" s="386" t="s">
        <v>21</v>
      </c>
      <c r="E73" s="386"/>
      <c r="F73" s="386"/>
      <c r="G73" s="386">
        <v>6</v>
      </c>
      <c r="H73" s="386">
        <v>6</v>
      </c>
    </row>
    <row r="74" spans="1:10">
      <c r="A74" s="385" t="s">
        <v>540</v>
      </c>
      <c r="B74" s="385"/>
      <c r="C74" s="385"/>
      <c r="D74" s="385"/>
      <c r="E74" s="385">
        <f>SUM(E63:E73)</f>
        <v>15</v>
      </c>
      <c r="F74" s="385">
        <v>0</v>
      </c>
      <c r="G74" s="385">
        <f>SUM(G63:G73)</f>
        <v>38</v>
      </c>
      <c r="H74" s="385">
        <v>53</v>
      </c>
    </row>
    <row r="75" spans="1:10">
      <c r="A75" s="369" t="s">
        <v>541</v>
      </c>
      <c r="B75" s="369" t="s">
        <v>506</v>
      </c>
      <c r="C75" s="369">
        <v>1088</v>
      </c>
      <c r="D75" s="369" t="s">
        <v>21</v>
      </c>
      <c r="E75" s="369">
        <v>3</v>
      </c>
      <c r="F75" s="369"/>
      <c r="G75" s="369"/>
      <c r="H75" s="369"/>
    </row>
    <row r="76" spans="1:10">
      <c r="A76" s="369" t="s">
        <v>542</v>
      </c>
      <c r="B76" s="369" t="s">
        <v>506</v>
      </c>
      <c r="C76" s="369">
        <v>1182</v>
      </c>
      <c r="D76" s="369" t="s">
        <v>21</v>
      </c>
      <c r="E76" s="369">
        <v>3</v>
      </c>
      <c r="F76" s="369"/>
      <c r="G76" s="369"/>
      <c r="H76" s="369"/>
    </row>
    <row r="77" spans="1:10">
      <c r="A77" s="369" t="s">
        <v>542</v>
      </c>
      <c r="B77" s="369" t="s">
        <v>506</v>
      </c>
      <c r="C77" s="369">
        <v>1153</v>
      </c>
      <c r="D77" s="369" t="s">
        <v>21</v>
      </c>
      <c r="E77" s="369">
        <v>4</v>
      </c>
      <c r="F77" s="369"/>
      <c r="G77" s="369"/>
      <c r="H77" s="369"/>
    </row>
    <row r="78" spans="1:10">
      <c r="A78" s="369" t="s">
        <v>612</v>
      </c>
      <c r="B78" s="369" t="s">
        <v>506</v>
      </c>
      <c r="C78" s="369">
        <v>1293</v>
      </c>
      <c r="D78" s="369" t="s">
        <v>21</v>
      </c>
      <c r="E78" s="369"/>
      <c r="F78" s="369"/>
      <c r="G78" s="369">
        <v>7</v>
      </c>
      <c r="H78" s="369"/>
    </row>
    <row r="79" spans="1:10">
      <c r="A79" s="369" t="s">
        <v>612</v>
      </c>
      <c r="B79" s="369" t="s">
        <v>506</v>
      </c>
      <c r="C79" s="369">
        <v>1298</v>
      </c>
      <c r="D79" s="369" t="s">
        <v>21</v>
      </c>
      <c r="E79" s="369"/>
      <c r="F79" s="369"/>
      <c r="G79" s="369">
        <v>7</v>
      </c>
      <c r="H79" s="369"/>
    </row>
    <row r="80" spans="1:10">
      <c r="A80" s="369" t="s">
        <v>612</v>
      </c>
      <c r="B80" s="369" t="s">
        <v>506</v>
      </c>
      <c r="C80" s="369">
        <v>1303</v>
      </c>
      <c r="D80" s="369" t="s">
        <v>21</v>
      </c>
      <c r="E80" s="369"/>
      <c r="F80" s="369"/>
      <c r="G80" s="369">
        <v>7</v>
      </c>
      <c r="H80" s="369"/>
    </row>
    <row r="81" spans="1:8">
      <c r="A81" s="369" t="s">
        <v>612</v>
      </c>
      <c r="B81" s="369" t="s">
        <v>506</v>
      </c>
      <c r="C81" s="369">
        <v>1312</v>
      </c>
      <c r="D81" s="369" t="s">
        <v>21</v>
      </c>
      <c r="E81" s="369"/>
      <c r="F81" s="369"/>
      <c r="G81" s="369">
        <v>7</v>
      </c>
      <c r="H81" s="369"/>
    </row>
    <row r="82" spans="1:8">
      <c r="A82" s="369" t="s">
        <v>613</v>
      </c>
      <c r="B82" s="369" t="s">
        <v>506</v>
      </c>
      <c r="C82" s="369">
        <v>1351</v>
      </c>
      <c r="D82" s="369" t="s">
        <v>21</v>
      </c>
      <c r="E82" s="369"/>
      <c r="F82" s="369"/>
      <c r="G82" s="369">
        <v>7</v>
      </c>
      <c r="H82" s="369"/>
    </row>
    <row r="83" spans="1:8">
      <c r="A83" s="369" t="s">
        <v>613</v>
      </c>
      <c r="B83" s="369" t="s">
        <v>506</v>
      </c>
      <c r="C83" s="369">
        <v>1353</v>
      </c>
      <c r="D83" s="369" t="s">
        <v>21</v>
      </c>
      <c r="E83" s="369"/>
      <c r="F83" s="369"/>
      <c r="G83" s="369">
        <v>7</v>
      </c>
      <c r="H83" s="369"/>
    </row>
    <row r="84" spans="1:8">
      <c r="A84" s="369" t="s">
        <v>613</v>
      </c>
      <c r="B84" s="369" t="s">
        <v>506</v>
      </c>
      <c r="C84" s="369">
        <v>1357</v>
      </c>
      <c r="D84" s="369" t="s">
        <v>21</v>
      </c>
      <c r="E84" s="369"/>
      <c r="F84" s="369"/>
      <c r="G84" s="369">
        <v>7</v>
      </c>
      <c r="H84" s="369"/>
    </row>
    <row r="85" spans="1:8">
      <c r="A85" s="369" t="s">
        <v>614</v>
      </c>
      <c r="B85" s="369" t="s">
        <v>506</v>
      </c>
      <c r="C85" s="369">
        <v>1359</v>
      </c>
      <c r="D85" s="369" t="s">
        <v>21</v>
      </c>
      <c r="E85" s="369"/>
      <c r="F85" s="369"/>
      <c r="G85" s="369">
        <v>7</v>
      </c>
      <c r="H85" s="369"/>
    </row>
    <row r="86" spans="1:8">
      <c r="A86" s="369" t="s">
        <v>615</v>
      </c>
      <c r="B86" s="369" t="s">
        <v>506</v>
      </c>
      <c r="C86" s="369">
        <v>1361</v>
      </c>
      <c r="D86" s="369" t="s">
        <v>21</v>
      </c>
      <c r="E86" s="369"/>
      <c r="F86" s="369"/>
      <c r="G86" s="369">
        <v>7</v>
      </c>
      <c r="H86" s="369"/>
    </row>
    <row r="87" spans="1:8">
      <c r="A87" s="369" t="s">
        <v>616</v>
      </c>
      <c r="B87" s="369" t="s">
        <v>506</v>
      </c>
      <c r="C87" s="369">
        <v>1363</v>
      </c>
      <c r="D87" s="369" t="s">
        <v>21</v>
      </c>
      <c r="E87" s="369"/>
      <c r="F87" s="369"/>
      <c r="G87" s="369">
        <v>7</v>
      </c>
      <c r="H87" s="369"/>
    </row>
    <row r="88" spans="1:8">
      <c r="A88" s="369" t="s">
        <v>617</v>
      </c>
      <c r="B88" s="369" t="s">
        <v>506</v>
      </c>
      <c r="C88" s="369">
        <v>1394</v>
      </c>
      <c r="D88" s="369" t="s">
        <v>21</v>
      </c>
      <c r="E88" s="369">
        <v>3</v>
      </c>
      <c r="F88" s="369"/>
      <c r="G88" s="369"/>
      <c r="H88" s="369"/>
    </row>
    <row r="89" spans="1:8">
      <c r="A89" s="385" t="s">
        <v>543</v>
      </c>
      <c r="B89" s="385"/>
      <c r="C89" s="385"/>
      <c r="D89" s="385"/>
      <c r="E89" s="385">
        <f>SUM(E75:E88)</f>
        <v>13</v>
      </c>
      <c r="F89" s="385">
        <f t="shared" ref="F89:H89" si="0">SUM(F75:F88)</f>
        <v>0</v>
      </c>
      <c r="G89" s="385">
        <f>SUM(G75:G88)</f>
        <v>70</v>
      </c>
      <c r="H89" s="385">
        <f t="shared" si="0"/>
        <v>0</v>
      </c>
    </row>
    <row r="90" spans="1:8">
      <c r="A90" s="369" t="s">
        <v>618</v>
      </c>
      <c r="B90" s="369" t="s">
        <v>506</v>
      </c>
      <c r="C90" s="369">
        <v>1698</v>
      </c>
      <c r="D90" s="369" t="s">
        <v>21</v>
      </c>
      <c r="E90" s="369">
        <v>3</v>
      </c>
      <c r="F90" s="369"/>
      <c r="G90" s="369"/>
      <c r="H90" s="369">
        <f>SUM(E90:G90)</f>
        <v>3</v>
      </c>
    </row>
    <row r="91" spans="1:8">
      <c r="A91" s="369" t="s">
        <v>619</v>
      </c>
      <c r="B91" s="369" t="s">
        <v>506</v>
      </c>
      <c r="C91" s="369">
        <v>1756</v>
      </c>
      <c r="D91" s="369" t="s">
        <v>21</v>
      </c>
      <c r="E91" s="369"/>
      <c r="F91" s="369"/>
      <c r="G91" s="369">
        <v>6</v>
      </c>
      <c r="H91" s="369">
        <f t="shared" ref="H91:H108" si="1">SUM(E91:G91)</f>
        <v>6</v>
      </c>
    </row>
    <row r="92" spans="1:8">
      <c r="A92" s="369" t="s">
        <v>619</v>
      </c>
      <c r="B92" s="369" t="s">
        <v>506</v>
      </c>
      <c r="C92" s="369">
        <v>1757</v>
      </c>
      <c r="D92" s="369" t="s">
        <v>21</v>
      </c>
      <c r="E92" s="369"/>
      <c r="F92" s="369"/>
      <c r="G92" s="369">
        <v>8</v>
      </c>
      <c r="H92" s="369">
        <f t="shared" si="1"/>
        <v>8</v>
      </c>
    </row>
    <row r="93" spans="1:8">
      <c r="A93" s="369" t="s">
        <v>619</v>
      </c>
      <c r="B93" s="369" t="s">
        <v>506</v>
      </c>
      <c r="C93" s="369">
        <v>1763</v>
      </c>
      <c r="D93" s="369" t="s">
        <v>21</v>
      </c>
      <c r="E93" s="369"/>
      <c r="F93" s="369"/>
      <c r="G93" s="369">
        <v>3</v>
      </c>
      <c r="H93" s="369">
        <f t="shared" si="1"/>
        <v>3</v>
      </c>
    </row>
    <row r="94" spans="1:8">
      <c r="A94" s="369" t="s">
        <v>619</v>
      </c>
      <c r="B94" s="369" t="s">
        <v>506</v>
      </c>
      <c r="C94" s="369">
        <v>1767</v>
      </c>
      <c r="D94" s="369" t="s">
        <v>21</v>
      </c>
      <c r="E94" s="369"/>
      <c r="F94" s="369"/>
      <c r="G94" s="369">
        <v>7</v>
      </c>
      <c r="H94" s="369">
        <f t="shared" si="1"/>
        <v>7</v>
      </c>
    </row>
    <row r="95" spans="1:8">
      <c r="A95" s="369" t="s">
        <v>619</v>
      </c>
      <c r="B95" s="369" t="s">
        <v>506</v>
      </c>
      <c r="C95" s="369">
        <v>1769</v>
      </c>
      <c r="D95" s="369" t="s">
        <v>21</v>
      </c>
      <c r="E95" s="369"/>
      <c r="F95" s="369"/>
      <c r="G95" s="369">
        <v>6</v>
      </c>
      <c r="H95" s="369">
        <f t="shared" si="1"/>
        <v>6</v>
      </c>
    </row>
    <row r="96" spans="1:8">
      <c r="A96" s="369" t="s">
        <v>619</v>
      </c>
      <c r="B96" s="369" t="s">
        <v>506</v>
      </c>
      <c r="C96" s="369">
        <v>1771</v>
      </c>
      <c r="D96" s="369" t="s">
        <v>21</v>
      </c>
      <c r="E96" s="369"/>
      <c r="F96" s="369"/>
      <c r="G96" s="369">
        <v>7</v>
      </c>
      <c r="H96" s="369">
        <f t="shared" si="1"/>
        <v>7</v>
      </c>
    </row>
    <row r="97" spans="1:8">
      <c r="A97" s="369" t="s">
        <v>619</v>
      </c>
      <c r="B97" s="369" t="s">
        <v>506</v>
      </c>
      <c r="C97" s="369">
        <v>1780</v>
      </c>
      <c r="D97" s="369" t="s">
        <v>21</v>
      </c>
      <c r="E97" s="369"/>
      <c r="F97" s="369"/>
      <c r="G97" s="369">
        <v>6</v>
      </c>
      <c r="H97" s="369">
        <f t="shared" si="1"/>
        <v>6</v>
      </c>
    </row>
    <row r="98" spans="1:8">
      <c r="A98" s="369" t="s">
        <v>619</v>
      </c>
      <c r="B98" s="369" t="s">
        <v>506</v>
      </c>
      <c r="C98" s="369">
        <v>1781</v>
      </c>
      <c r="D98" s="369" t="s">
        <v>21</v>
      </c>
      <c r="E98" s="369"/>
      <c r="F98" s="369"/>
      <c r="G98" s="369">
        <v>7</v>
      </c>
      <c r="H98" s="369">
        <f t="shared" si="1"/>
        <v>7</v>
      </c>
    </row>
    <row r="99" spans="1:8">
      <c r="A99" s="369" t="s">
        <v>619</v>
      </c>
      <c r="B99" s="369" t="s">
        <v>506</v>
      </c>
      <c r="C99" s="369">
        <v>1782</v>
      </c>
      <c r="D99" s="369" t="s">
        <v>21</v>
      </c>
      <c r="E99" s="369"/>
      <c r="F99" s="369"/>
      <c r="G99" s="369">
        <v>7</v>
      </c>
      <c r="H99" s="369">
        <f t="shared" si="1"/>
        <v>7</v>
      </c>
    </row>
    <row r="100" spans="1:8">
      <c r="A100" s="369" t="s">
        <v>620</v>
      </c>
      <c r="B100" s="369" t="s">
        <v>506</v>
      </c>
      <c r="C100" s="369">
        <v>1944</v>
      </c>
      <c r="D100" s="369" t="s">
        <v>21</v>
      </c>
      <c r="E100" s="369"/>
      <c r="F100" s="369"/>
      <c r="G100" s="369">
        <v>7</v>
      </c>
      <c r="H100" s="369">
        <f t="shared" si="1"/>
        <v>7</v>
      </c>
    </row>
    <row r="101" spans="1:8">
      <c r="A101" s="369" t="s">
        <v>620</v>
      </c>
      <c r="B101" s="369" t="s">
        <v>506</v>
      </c>
      <c r="C101" s="369">
        <v>1945</v>
      </c>
      <c r="D101" s="369" t="s">
        <v>21</v>
      </c>
      <c r="E101" s="369"/>
      <c r="F101" s="369"/>
      <c r="G101" s="369">
        <v>7</v>
      </c>
      <c r="H101" s="369">
        <f t="shared" si="1"/>
        <v>7</v>
      </c>
    </row>
    <row r="102" spans="1:8">
      <c r="A102" s="369" t="s">
        <v>620</v>
      </c>
      <c r="B102" s="369" t="s">
        <v>506</v>
      </c>
      <c r="C102" s="369">
        <v>1946</v>
      </c>
      <c r="D102" s="369" t="s">
        <v>21</v>
      </c>
      <c r="E102" s="369"/>
      <c r="F102" s="369"/>
      <c r="G102" s="369">
        <v>7</v>
      </c>
      <c r="H102" s="369">
        <f t="shared" si="1"/>
        <v>7</v>
      </c>
    </row>
    <row r="103" spans="1:8">
      <c r="A103" s="369" t="s">
        <v>620</v>
      </c>
      <c r="B103" s="369" t="s">
        <v>506</v>
      </c>
      <c r="C103" s="369">
        <v>1947</v>
      </c>
      <c r="D103" s="369" t="s">
        <v>21</v>
      </c>
      <c r="E103" s="369"/>
      <c r="F103" s="369"/>
      <c r="G103" s="369">
        <v>7</v>
      </c>
      <c r="H103" s="369">
        <f t="shared" si="1"/>
        <v>7</v>
      </c>
    </row>
    <row r="104" spans="1:8">
      <c r="A104" s="369" t="s">
        <v>620</v>
      </c>
      <c r="B104" s="369" t="s">
        <v>506</v>
      </c>
      <c r="C104" s="369">
        <v>1948</v>
      </c>
      <c r="D104" s="369" t="s">
        <v>21</v>
      </c>
      <c r="E104" s="369"/>
      <c r="F104" s="369"/>
      <c r="G104" s="369">
        <v>6</v>
      </c>
      <c r="H104" s="369">
        <f t="shared" si="1"/>
        <v>6</v>
      </c>
    </row>
    <row r="105" spans="1:8">
      <c r="A105" s="369" t="s">
        <v>620</v>
      </c>
      <c r="B105" s="369" t="s">
        <v>506</v>
      </c>
      <c r="C105" s="369">
        <v>1949</v>
      </c>
      <c r="D105" s="369" t="s">
        <v>21</v>
      </c>
      <c r="E105" s="369"/>
      <c r="F105" s="369"/>
      <c r="G105" s="369">
        <v>6</v>
      </c>
      <c r="H105" s="369">
        <f t="shared" si="1"/>
        <v>6</v>
      </c>
    </row>
    <row r="106" spans="1:8">
      <c r="A106" s="369" t="s">
        <v>620</v>
      </c>
      <c r="B106" s="369" t="s">
        <v>506</v>
      </c>
      <c r="C106" s="369">
        <v>1950</v>
      </c>
      <c r="D106" s="369" t="s">
        <v>21</v>
      </c>
      <c r="E106" s="369"/>
      <c r="F106" s="369"/>
      <c r="G106" s="369">
        <v>7</v>
      </c>
      <c r="H106" s="369">
        <f t="shared" si="1"/>
        <v>7</v>
      </c>
    </row>
    <row r="107" spans="1:8">
      <c r="A107" s="369" t="s">
        <v>620</v>
      </c>
      <c r="B107" s="369" t="s">
        <v>506</v>
      </c>
      <c r="C107" s="369">
        <v>1951</v>
      </c>
      <c r="D107" s="369" t="s">
        <v>21</v>
      </c>
      <c r="E107" s="369"/>
      <c r="F107" s="369"/>
      <c r="G107" s="369">
        <v>7</v>
      </c>
      <c r="H107" s="369">
        <f t="shared" si="1"/>
        <v>7</v>
      </c>
    </row>
    <row r="108" spans="1:8">
      <c r="A108" s="369" t="s">
        <v>620</v>
      </c>
      <c r="B108" s="369" t="s">
        <v>506</v>
      </c>
      <c r="C108" s="369">
        <v>1952</v>
      </c>
      <c r="D108" s="369" t="s">
        <v>21</v>
      </c>
      <c r="E108" s="369"/>
      <c r="F108" s="369"/>
      <c r="G108" s="369">
        <v>6</v>
      </c>
      <c r="H108" s="369">
        <f t="shared" si="1"/>
        <v>6</v>
      </c>
    </row>
    <row r="109" spans="1:8">
      <c r="A109" s="385" t="s">
        <v>621</v>
      </c>
      <c r="B109" s="385"/>
      <c r="C109" s="385"/>
      <c r="D109" s="385"/>
      <c r="E109" s="385">
        <f>SUM(E90:E108)</f>
        <v>3</v>
      </c>
      <c r="F109" s="385">
        <f t="shared" ref="F109:H109" si="2">SUM(F90:F108)</f>
        <v>0</v>
      </c>
      <c r="G109" s="385">
        <f>SUM(G90:G108)</f>
        <v>117</v>
      </c>
      <c r="H109" s="385">
        <f t="shared" si="2"/>
        <v>120</v>
      </c>
    </row>
    <row r="110" spans="1:8">
      <c r="A110" s="369" t="s">
        <v>622</v>
      </c>
      <c r="B110" s="369" t="s">
        <v>506</v>
      </c>
      <c r="C110" s="369">
        <v>2224</v>
      </c>
      <c r="D110" s="369" t="s">
        <v>21</v>
      </c>
      <c r="E110" s="369"/>
      <c r="F110" s="369"/>
      <c r="G110" s="369">
        <v>6</v>
      </c>
      <c r="H110" s="369">
        <f>SUM(E110:G110)</f>
        <v>6</v>
      </c>
    </row>
    <row r="111" spans="1:8">
      <c r="A111" s="369" t="s">
        <v>622</v>
      </c>
      <c r="B111" s="369" t="s">
        <v>506</v>
      </c>
      <c r="C111" s="369">
        <v>2228</v>
      </c>
      <c r="D111" s="369" t="s">
        <v>21</v>
      </c>
      <c r="E111" s="369"/>
      <c r="F111" s="369"/>
      <c r="G111" s="369">
        <v>6</v>
      </c>
      <c r="H111" s="369">
        <f t="shared" ref="H111:H118" si="3">SUM(E111:G111)</f>
        <v>6</v>
      </c>
    </row>
    <row r="112" spans="1:8">
      <c r="A112" s="369" t="s">
        <v>622</v>
      </c>
      <c r="B112" s="369" t="s">
        <v>506</v>
      </c>
      <c r="C112" s="369">
        <v>2229</v>
      </c>
      <c r="D112" s="369" t="s">
        <v>21</v>
      </c>
      <c r="E112" s="369"/>
      <c r="F112" s="369"/>
      <c r="G112" s="369">
        <v>7</v>
      </c>
      <c r="H112" s="369">
        <f t="shared" si="3"/>
        <v>7</v>
      </c>
    </row>
    <row r="113" spans="1:8">
      <c r="A113" s="369" t="s">
        <v>622</v>
      </c>
      <c r="B113" s="369" t="s">
        <v>506</v>
      </c>
      <c r="C113" s="369">
        <v>2233</v>
      </c>
      <c r="D113" s="369" t="s">
        <v>21</v>
      </c>
      <c r="E113" s="369"/>
      <c r="F113" s="369"/>
      <c r="G113" s="369">
        <v>7</v>
      </c>
      <c r="H113" s="369">
        <f t="shared" si="3"/>
        <v>7</v>
      </c>
    </row>
    <row r="114" spans="1:8">
      <c r="A114" s="369" t="s">
        <v>622</v>
      </c>
      <c r="B114" s="369" t="s">
        <v>506</v>
      </c>
      <c r="C114" s="369">
        <v>2234</v>
      </c>
      <c r="D114" s="369" t="s">
        <v>21</v>
      </c>
      <c r="E114" s="369"/>
      <c r="F114" s="369"/>
      <c r="G114" s="369">
        <v>7</v>
      </c>
      <c r="H114" s="369">
        <f t="shared" si="3"/>
        <v>7</v>
      </c>
    </row>
    <row r="115" spans="1:8">
      <c r="A115" s="369" t="s">
        <v>622</v>
      </c>
      <c r="B115" s="369" t="s">
        <v>506</v>
      </c>
      <c r="C115" s="369">
        <v>2237</v>
      </c>
      <c r="D115" s="369" t="s">
        <v>21</v>
      </c>
      <c r="E115" s="369"/>
      <c r="F115" s="369"/>
      <c r="G115" s="369">
        <v>7</v>
      </c>
      <c r="H115" s="369">
        <f t="shared" si="3"/>
        <v>7</v>
      </c>
    </row>
    <row r="116" spans="1:8">
      <c r="A116" s="369" t="s">
        <v>622</v>
      </c>
      <c r="B116" s="369" t="s">
        <v>506</v>
      </c>
      <c r="C116" s="369">
        <v>2242</v>
      </c>
      <c r="D116" s="369" t="s">
        <v>21</v>
      </c>
      <c r="E116" s="369"/>
      <c r="F116" s="369"/>
      <c r="G116" s="369">
        <v>6</v>
      </c>
      <c r="H116" s="369">
        <f t="shared" si="3"/>
        <v>6</v>
      </c>
    </row>
    <row r="117" spans="1:8">
      <c r="A117" s="369" t="s">
        <v>622</v>
      </c>
      <c r="B117" s="369" t="s">
        <v>506</v>
      </c>
      <c r="C117" s="369">
        <v>2243</v>
      </c>
      <c r="D117" s="369" t="s">
        <v>21</v>
      </c>
      <c r="E117" s="369"/>
      <c r="F117" s="369"/>
      <c r="G117" s="369">
        <v>6</v>
      </c>
      <c r="H117" s="369">
        <f t="shared" si="3"/>
        <v>6</v>
      </c>
    </row>
    <row r="118" spans="1:8">
      <c r="A118" s="369" t="s">
        <v>622</v>
      </c>
      <c r="B118" s="369" t="s">
        <v>506</v>
      </c>
      <c r="C118" s="369">
        <v>2247</v>
      </c>
      <c r="D118" s="369" t="s">
        <v>21</v>
      </c>
      <c r="E118" s="369"/>
      <c r="F118" s="369"/>
      <c r="G118" s="369">
        <v>3</v>
      </c>
      <c r="H118" s="369">
        <f t="shared" si="3"/>
        <v>3</v>
      </c>
    </row>
    <row r="119" spans="1:8">
      <c r="A119" s="369" t="s">
        <v>628</v>
      </c>
      <c r="B119" s="369" t="s">
        <v>506</v>
      </c>
      <c r="C119" s="369">
        <v>2170</v>
      </c>
      <c r="D119" s="369" t="s">
        <v>21</v>
      </c>
      <c r="E119" s="369">
        <v>3</v>
      </c>
      <c r="F119" s="369"/>
      <c r="G119" s="369"/>
      <c r="H119" s="369">
        <f>SUM(E119:G119)</f>
        <v>3</v>
      </c>
    </row>
    <row r="120" spans="1:8">
      <c r="A120" s="369" t="s">
        <v>628</v>
      </c>
      <c r="B120" s="369" t="s">
        <v>506</v>
      </c>
      <c r="C120" s="369">
        <v>2183</v>
      </c>
      <c r="D120" s="369" t="s">
        <v>21</v>
      </c>
      <c r="E120" s="369">
        <v>3</v>
      </c>
      <c r="F120" s="369"/>
      <c r="G120" s="369"/>
      <c r="H120" s="369">
        <f>SUM(E120:G120)</f>
        <v>3</v>
      </c>
    </row>
    <row r="121" spans="1:8">
      <c r="A121" s="385" t="s">
        <v>623</v>
      </c>
      <c r="B121" s="385"/>
      <c r="C121" s="385"/>
      <c r="D121" s="385"/>
      <c r="E121" s="385">
        <f>SUM(E110:E120)</f>
        <v>6</v>
      </c>
      <c r="F121" s="385">
        <f t="shared" ref="F121:H121" si="4">SUM(F110:F120)</f>
        <v>0</v>
      </c>
      <c r="G121" s="385">
        <f>SUM(G110:G120)</f>
        <v>55</v>
      </c>
      <c r="H121" s="385">
        <f t="shared" si="4"/>
        <v>61</v>
      </c>
    </row>
    <row r="122" spans="1:8">
      <c r="A122" s="369" t="s">
        <v>624</v>
      </c>
      <c r="B122" s="369" t="s">
        <v>506</v>
      </c>
      <c r="C122" s="369">
        <v>2751</v>
      </c>
      <c r="D122" s="369" t="s">
        <v>21</v>
      </c>
      <c r="E122" s="369"/>
      <c r="F122" s="369"/>
      <c r="G122" s="369">
        <v>6</v>
      </c>
      <c r="H122" s="369">
        <f>SUM(E122:G122)</f>
        <v>6</v>
      </c>
    </row>
    <row r="123" spans="1:8">
      <c r="A123" s="369" t="s">
        <v>624</v>
      </c>
      <c r="B123" s="369" t="s">
        <v>506</v>
      </c>
      <c r="C123" s="369">
        <v>2752</v>
      </c>
      <c r="D123" s="369" t="s">
        <v>21</v>
      </c>
      <c r="E123" s="369"/>
      <c r="F123" s="369"/>
      <c r="G123" s="369">
        <v>7</v>
      </c>
      <c r="H123" s="369">
        <f t="shared" ref="H123:H132" si="5">SUM(E123:G123)</f>
        <v>7</v>
      </c>
    </row>
    <row r="124" spans="1:8">
      <c r="A124" s="369" t="s">
        <v>624</v>
      </c>
      <c r="B124" s="369" t="s">
        <v>506</v>
      </c>
      <c r="C124" s="369">
        <v>2756</v>
      </c>
      <c r="D124" s="369" t="s">
        <v>21</v>
      </c>
      <c r="E124" s="369"/>
      <c r="F124" s="369"/>
      <c r="G124" s="369">
        <v>7</v>
      </c>
      <c r="H124" s="369">
        <f t="shared" si="5"/>
        <v>7</v>
      </c>
    </row>
    <row r="125" spans="1:8">
      <c r="A125" s="369" t="s">
        <v>624</v>
      </c>
      <c r="B125" s="369" t="s">
        <v>506</v>
      </c>
      <c r="C125" s="369">
        <v>2757</v>
      </c>
      <c r="D125" s="369" t="s">
        <v>21</v>
      </c>
      <c r="E125" s="369"/>
      <c r="F125" s="369"/>
      <c r="G125" s="369">
        <v>7</v>
      </c>
      <c r="H125" s="369">
        <f t="shared" si="5"/>
        <v>7</v>
      </c>
    </row>
    <row r="126" spans="1:8">
      <c r="A126" s="369" t="s">
        <v>624</v>
      </c>
      <c r="B126" s="369" t="s">
        <v>506</v>
      </c>
      <c r="C126" s="369">
        <v>2760</v>
      </c>
      <c r="D126" s="369" t="s">
        <v>21</v>
      </c>
      <c r="E126" s="369"/>
      <c r="F126" s="369"/>
      <c r="G126" s="369">
        <v>7</v>
      </c>
      <c r="H126" s="369">
        <f t="shared" si="5"/>
        <v>7</v>
      </c>
    </row>
    <row r="127" spans="1:8">
      <c r="A127" s="369" t="s">
        <v>624</v>
      </c>
      <c r="B127" s="369" t="s">
        <v>506</v>
      </c>
      <c r="C127" s="369">
        <v>2761</v>
      </c>
      <c r="D127" s="369" t="s">
        <v>21</v>
      </c>
      <c r="E127" s="369"/>
      <c r="F127" s="369"/>
      <c r="G127" s="369">
        <v>8</v>
      </c>
      <c r="H127" s="369">
        <f t="shared" si="5"/>
        <v>8</v>
      </c>
    </row>
    <row r="128" spans="1:8">
      <c r="A128" s="369" t="s">
        <v>624</v>
      </c>
      <c r="B128" s="369" t="s">
        <v>506</v>
      </c>
      <c r="C128" s="369">
        <v>2763</v>
      </c>
      <c r="D128" s="369" t="s">
        <v>21</v>
      </c>
      <c r="E128" s="369"/>
      <c r="F128" s="369"/>
      <c r="G128" s="369">
        <v>4</v>
      </c>
      <c r="H128" s="369">
        <f t="shared" si="5"/>
        <v>4</v>
      </c>
    </row>
    <row r="129" spans="1:12">
      <c r="A129" s="369" t="s">
        <v>624</v>
      </c>
      <c r="B129" s="369" t="s">
        <v>506</v>
      </c>
      <c r="C129" s="369">
        <v>2764</v>
      </c>
      <c r="D129" s="369" t="s">
        <v>21</v>
      </c>
      <c r="E129" s="369"/>
      <c r="F129" s="369"/>
      <c r="G129" s="369">
        <v>6</v>
      </c>
      <c r="H129" s="369">
        <f t="shared" si="5"/>
        <v>6</v>
      </c>
    </row>
    <row r="130" spans="1:12">
      <c r="A130" s="369" t="s">
        <v>637</v>
      </c>
      <c r="B130" s="369" t="s">
        <v>506</v>
      </c>
      <c r="C130" s="369"/>
      <c r="D130" s="369" t="s">
        <v>21</v>
      </c>
      <c r="E130" s="369"/>
      <c r="F130" s="369"/>
      <c r="G130" s="369">
        <v>107</v>
      </c>
      <c r="H130" s="369">
        <f t="shared" si="5"/>
        <v>107</v>
      </c>
      <c r="L130">
        <f>77+18</f>
        <v>95</v>
      </c>
    </row>
    <row r="131" spans="1:12">
      <c r="A131" s="369"/>
      <c r="B131" s="369"/>
      <c r="C131" s="369"/>
      <c r="D131" s="369"/>
      <c r="E131" s="369"/>
      <c r="F131" s="369"/>
      <c r="G131" s="369"/>
      <c r="H131" s="369"/>
      <c r="L131">
        <f>510+95</f>
        <v>605</v>
      </c>
    </row>
    <row r="132" spans="1:12">
      <c r="A132" s="385" t="s">
        <v>625</v>
      </c>
      <c r="B132" s="385"/>
      <c r="C132" s="385"/>
      <c r="D132" s="385"/>
      <c r="E132" s="385">
        <f t="shared" ref="E132:F132" si="6">SUM(E122:E129)</f>
        <v>0</v>
      </c>
      <c r="F132" s="385">
        <f t="shared" si="6"/>
        <v>0</v>
      </c>
      <c r="G132" s="385">
        <f>SUM(G122:G130)</f>
        <v>159</v>
      </c>
      <c r="H132" s="385">
        <f t="shared" si="5"/>
        <v>159</v>
      </c>
    </row>
    <row r="133" spans="1:12">
      <c r="D133" s="387" t="s">
        <v>21</v>
      </c>
      <c r="E133">
        <f>SUM(E4:E129)/2</f>
        <v>191</v>
      </c>
      <c r="F133">
        <f t="shared" ref="F133" si="7">SUM(F4:F129)/2</f>
        <v>0</v>
      </c>
      <c r="G133">
        <f>SUM(G4:G132)/2</f>
        <v>617</v>
      </c>
    </row>
  </sheetData>
  <mergeCells count="2">
    <mergeCell ref="A1:H1"/>
    <mergeCell ref="A2:H2"/>
  </mergeCells>
  <pageMargins left="0.7" right="0.7" top="0.75" bottom="0.75" header="0.3" footer="0.3"/>
  <pageSetup paperSize="9" orientation="portrait" r:id="rId1"/>
  <ignoredErrors>
    <ignoredError sqref="H89" formulaRange="1"/>
    <ignoredError sqref="H109 H12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Bill Tracker</vt:lpstr>
      <vt:lpstr>Checklist</vt:lpstr>
      <vt:lpstr>PRAG SUMMURY </vt:lpstr>
      <vt:lpstr>PRAG SUM</vt:lpstr>
      <vt:lpstr>PRAG SUMMURY</vt:lpstr>
      <vt:lpstr>Abstract </vt:lpstr>
      <vt:lpstr>NT MEAS</vt:lpstr>
      <vt:lpstr>M BOOK</vt:lpstr>
      <vt:lpstr>BBS</vt:lpstr>
      <vt:lpstr>DC S </vt:lpstr>
      <vt:lpstr>NT</vt:lpstr>
      <vt:lpstr>DCS</vt:lpstr>
      <vt:lpstr>ISSUE DETAILS</vt:lpstr>
      <vt:lpstr>RECON</vt:lpstr>
      <vt:lpstr>RLS</vt:lpstr>
      <vt:lpstr>ISSUE BACKUP</vt:lpstr>
      <vt:lpstr>Recovery details</vt:lpstr>
      <vt:lpstr>Hold Amount Details</vt:lpstr>
      <vt:lpstr>Pragathi RMC Details</vt:lpstr>
      <vt:lpstr>'Abstract '!Print_Area</vt:lpstr>
      <vt:lpstr>BBS!Print_Area</vt:lpstr>
      <vt:lpstr>'Bill Tracker'!Print_Area</vt:lpstr>
      <vt:lpstr>'DC S '!Print_Area</vt:lpstr>
      <vt:lpstr>DCS!Print_Area</vt:lpstr>
      <vt:lpstr>'ISSUE BACKUP'!Print_Area</vt:lpstr>
      <vt:lpstr>'ISSUE DETAILS'!Print_Area</vt:lpstr>
      <vt:lpstr>'M BOOK'!Print_Area</vt:lpstr>
      <vt:lpstr>NT!Print_Area</vt:lpstr>
      <vt:lpstr>'NT MEAS'!Print_Area</vt:lpstr>
      <vt:lpstr>'PRAG SUMMURY'!Print_Area</vt:lpstr>
      <vt:lpstr>'PRAG SUMMURY '!Print_Area</vt:lpstr>
      <vt:lpstr>RECON!Print_Area</vt:lpstr>
      <vt:lpstr>RLS!Print_Area</vt:lpstr>
      <vt:lpstr>'Abstract '!Print_Titles</vt:lpstr>
      <vt:lpstr>DCS!Print_Titles</vt:lpstr>
      <vt:lpstr>'M BOOK'!Print_Titles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Shwetha Manjunath</dc:creator>
  <cp:lastModifiedBy>Pragathi</cp:lastModifiedBy>
  <cp:lastPrinted>2025-12-08T07:03:50Z</cp:lastPrinted>
  <dcterms:created xsi:type="dcterms:W3CDTF">2025-01-09T10:04:32Z</dcterms:created>
  <dcterms:modified xsi:type="dcterms:W3CDTF">2025-12-08T07:16:52Z</dcterms:modified>
</cp:coreProperties>
</file>